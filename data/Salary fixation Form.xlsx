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240" yWindow="105" windowWidth="14805" windowHeight="8010"/>
  </bookViews>
  <sheets>
    <sheet name="Fixation " sheetId="1" r:id="rId1"/>
    <sheet name="Inforation" sheetId="5" r:id="rId2"/>
    <sheet name="Sheet1" sheetId="6" r:id="rId3"/>
    <sheet name="Sheet2" sheetId="2" r:id="rId4"/>
    <sheet name="Sheet3" sheetId="3" r:id="rId5"/>
    <sheet name="Sheet4" sheetId="4" r:id="rId6"/>
    <sheet name="Sheet5" sheetId="7" r:id="rId7"/>
    <sheet name="Sheet6" sheetId="8" r:id="rId8"/>
  </sheets>
  <definedNames>
    <definedName name="_xlnm.Print_Area" localSheetId="0">'Fixation '!$A$1:$D$56</definedName>
  </definedNames>
  <calcPr calcId="152511"/>
</workbook>
</file>

<file path=xl/calcChain.xml><?xml version="1.0" encoding="utf-8"?>
<calcChain xmlns="http://schemas.openxmlformats.org/spreadsheetml/2006/main">
  <c r="D33" i="1" l="1"/>
  <c r="D32" i="1"/>
  <c r="D34" i="1"/>
  <c r="D31" i="1"/>
  <c r="D37" i="7" l="1"/>
  <c r="D24" i="7"/>
  <c r="D10" i="8" l="1"/>
  <c r="D7" i="8"/>
  <c r="D6" i="8"/>
  <c r="D11" i="8" s="1"/>
  <c r="D9" i="8" l="1"/>
  <c r="D6" i="7" l="1"/>
  <c r="G31" i="1"/>
  <c r="D11" i="7" l="1"/>
  <c r="D10" i="7"/>
  <c r="D7" i="7"/>
  <c r="D9" i="7"/>
  <c r="D6" i="1"/>
  <c r="D12" i="8" l="1"/>
  <c r="D13" i="7"/>
  <c r="D10" i="1"/>
  <c r="D11" i="1"/>
  <c r="D7" i="1"/>
  <c r="D12" i="1"/>
  <c r="D9" i="1"/>
  <c r="G377" i="5"/>
  <c r="G252" i="5"/>
  <c r="AI193" i="2"/>
  <c r="AF193" i="2"/>
  <c r="AE193" i="2"/>
  <c r="AD193" i="2"/>
  <c r="AC193" i="2"/>
  <c r="AB193" i="2"/>
  <c r="AA193" i="2"/>
  <c r="Z193" i="2"/>
  <c r="Y193" i="2"/>
  <c r="X193" i="2"/>
  <c r="W193" i="2"/>
  <c r="V193" i="2"/>
  <c r="T193" i="2"/>
  <c r="Q193" i="2"/>
  <c r="P193" i="2"/>
  <c r="O193" i="2"/>
  <c r="N193" i="2"/>
  <c r="K193" i="2"/>
  <c r="H193" i="2"/>
  <c r="S192" i="2"/>
  <c r="U191" i="2"/>
  <c r="S191" i="2"/>
  <c r="AG191" i="2" s="1"/>
  <c r="J191" i="2"/>
  <c r="I191" i="2"/>
  <c r="R191" i="2" s="1"/>
  <c r="U190" i="2"/>
  <c r="S190" i="2"/>
  <c r="AG190" i="2" s="1"/>
  <c r="J190" i="2"/>
  <c r="R190" i="2" s="1"/>
  <c r="AH190" i="2" s="1"/>
  <c r="I190" i="2"/>
  <c r="U189" i="2"/>
  <c r="AG189" i="2" s="1"/>
  <c r="AH189" i="2" s="1"/>
  <c r="S189" i="2"/>
  <c r="R189" i="2"/>
  <c r="J189" i="2"/>
  <c r="I189" i="2"/>
  <c r="AG188" i="2"/>
  <c r="U188" i="2"/>
  <c r="S188" i="2"/>
  <c r="J188" i="2"/>
  <c r="I188" i="2"/>
  <c r="R188" i="2" s="1"/>
  <c r="AH188" i="2" s="1"/>
  <c r="U187" i="2"/>
  <c r="S187" i="2"/>
  <c r="AG187" i="2" s="1"/>
  <c r="J187" i="2"/>
  <c r="I187" i="2"/>
  <c r="R187" i="2" s="1"/>
  <c r="AH187" i="2" s="1"/>
  <c r="U186" i="2"/>
  <c r="S186" i="2"/>
  <c r="AG186" i="2" s="1"/>
  <c r="J186" i="2"/>
  <c r="R186" i="2" s="1"/>
  <c r="AH186" i="2" s="1"/>
  <c r="I186" i="2"/>
  <c r="U185" i="2"/>
  <c r="AG185" i="2" s="1"/>
  <c r="S185" i="2"/>
  <c r="R185" i="2"/>
  <c r="AH185" i="2" s="1"/>
  <c r="J185" i="2"/>
  <c r="I185" i="2"/>
  <c r="AG184" i="2"/>
  <c r="U184" i="2"/>
  <c r="S184" i="2"/>
  <c r="J184" i="2"/>
  <c r="I184" i="2"/>
  <c r="R184" i="2" s="1"/>
  <c r="AH184" i="2" s="1"/>
  <c r="U183" i="2"/>
  <c r="S183" i="2"/>
  <c r="J183" i="2"/>
  <c r="I183" i="2"/>
  <c r="R183" i="2" s="1"/>
  <c r="U182" i="2"/>
  <c r="S182" i="2"/>
  <c r="AG182" i="2" s="1"/>
  <c r="M182" i="2"/>
  <c r="J182" i="2"/>
  <c r="I182" i="2"/>
  <c r="R182" i="2" s="1"/>
  <c r="AH182" i="2" s="1"/>
  <c r="U181" i="2"/>
  <c r="S181" i="2"/>
  <c r="AG181" i="2" s="1"/>
  <c r="J181" i="2"/>
  <c r="R181" i="2" s="1"/>
  <c r="AH181" i="2" s="1"/>
  <c r="I181" i="2"/>
  <c r="U180" i="2"/>
  <c r="AG180" i="2" s="1"/>
  <c r="S180" i="2"/>
  <c r="R180" i="2"/>
  <c r="J180" i="2"/>
  <c r="I180" i="2"/>
  <c r="AG179" i="2"/>
  <c r="U179" i="2"/>
  <c r="S179" i="2"/>
  <c r="J179" i="2"/>
  <c r="I179" i="2"/>
  <c r="U178" i="2"/>
  <c r="S178" i="2"/>
  <c r="J178" i="2"/>
  <c r="I178" i="2"/>
  <c r="R178" i="2" s="1"/>
  <c r="U177" i="2"/>
  <c r="S177" i="2"/>
  <c r="AG177" i="2" s="1"/>
  <c r="J177" i="2"/>
  <c r="R177" i="2" s="1"/>
  <c r="AH177" i="2" s="1"/>
  <c r="I177" i="2"/>
  <c r="AH176" i="2"/>
  <c r="U176" i="2"/>
  <c r="AG176" i="2" s="1"/>
  <c r="S176" i="2"/>
  <c r="R176" i="2"/>
  <c r="J176" i="2"/>
  <c r="I176" i="2"/>
  <c r="AG175" i="2"/>
  <c r="U175" i="2"/>
  <c r="S175" i="2"/>
  <c r="J175" i="2"/>
  <c r="I175" i="2"/>
  <c r="R175" i="2" s="1"/>
  <c r="AH175" i="2" s="1"/>
  <c r="U174" i="2"/>
  <c r="S174" i="2"/>
  <c r="AG174" i="2" s="1"/>
  <c r="J174" i="2"/>
  <c r="I174" i="2"/>
  <c r="R174" i="2" s="1"/>
  <c r="AH174" i="2" s="1"/>
  <c r="U173" i="2"/>
  <c r="S173" i="2"/>
  <c r="AG173" i="2" s="1"/>
  <c r="J173" i="2"/>
  <c r="R173" i="2" s="1"/>
  <c r="I173" i="2"/>
  <c r="U172" i="2"/>
  <c r="AG172" i="2" s="1"/>
  <c r="S172" i="2"/>
  <c r="R172" i="2"/>
  <c r="AH172" i="2" s="1"/>
  <c r="J172" i="2"/>
  <c r="I172" i="2"/>
  <c r="AG171" i="2"/>
  <c r="U171" i="2"/>
  <c r="S171" i="2"/>
  <c r="J171" i="2"/>
  <c r="I171" i="2"/>
  <c r="U170" i="2"/>
  <c r="S170" i="2"/>
  <c r="P170" i="2"/>
  <c r="M170" i="2"/>
  <c r="J170" i="2"/>
  <c r="I170" i="2"/>
  <c r="R170" i="2" s="1"/>
  <c r="AG169" i="2"/>
  <c r="U169" i="2"/>
  <c r="S169" i="2"/>
  <c r="M169" i="2"/>
  <c r="J169" i="2"/>
  <c r="I169" i="2"/>
  <c r="AG168" i="2"/>
  <c r="U168" i="2"/>
  <c r="S168" i="2"/>
  <c r="J168" i="2"/>
  <c r="I168" i="2"/>
  <c r="R168" i="2" s="1"/>
  <c r="AH168" i="2" s="1"/>
  <c r="U167" i="2"/>
  <c r="S167" i="2"/>
  <c r="AG167" i="2" s="1"/>
  <c r="J167" i="2"/>
  <c r="I167" i="2"/>
  <c r="R167" i="2" s="1"/>
  <c r="AH167" i="2" s="1"/>
  <c r="U166" i="2"/>
  <c r="S166" i="2"/>
  <c r="AG166" i="2" s="1"/>
  <c r="J166" i="2"/>
  <c r="R166" i="2" s="1"/>
  <c r="I166" i="2"/>
  <c r="U165" i="2"/>
  <c r="AG165" i="2" s="1"/>
  <c r="S165" i="2"/>
  <c r="R165" i="2"/>
  <c r="AH165" i="2" s="1"/>
  <c r="J165" i="2"/>
  <c r="I165" i="2"/>
  <c r="AG164" i="2"/>
  <c r="U164" i="2"/>
  <c r="S164" i="2"/>
  <c r="J164" i="2"/>
  <c r="I164" i="2"/>
  <c r="U163" i="2"/>
  <c r="S163" i="2"/>
  <c r="R163" i="2"/>
  <c r="I163" i="2"/>
  <c r="AH162" i="2"/>
  <c r="U162" i="2"/>
  <c r="AG162" i="2" s="1"/>
  <c r="S162" i="2"/>
  <c r="R162" i="2"/>
  <c r="J162" i="2"/>
  <c r="I162" i="2"/>
  <c r="AG161" i="2"/>
  <c r="U161" i="2"/>
  <c r="S161" i="2"/>
  <c r="J161" i="2"/>
  <c r="I161" i="2"/>
  <c r="R161" i="2" s="1"/>
  <c r="AH161" i="2" s="1"/>
  <c r="U160" i="2"/>
  <c r="S160" i="2"/>
  <c r="AG160" i="2" s="1"/>
  <c r="M160" i="2"/>
  <c r="I160" i="2"/>
  <c r="R160" i="2" s="1"/>
  <c r="U159" i="2"/>
  <c r="S159" i="2"/>
  <c r="AG159" i="2" s="1"/>
  <c r="J159" i="2"/>
  <c r="R159" i="2" s="1"/>
  <c r="I159" i="2"/>
  <c r="U158" i="2"/>
  <c r="AG158" i="2" s="1"/>
  <c r="S158" i="2"/>
  <c r="R158" i="2"/>
  <c r="M158" i="2"/>
  <c r="J158" i="2"/>
  <c r="I158" i="2"/>
  <c r="AG157" i="2"/>
  <c r="U157" i="2"/>
  <c r="S157" i="2"/>
  <c r="I157" i="2"/>
  <c r="U156" i="2"/>
  <c r="AG156" i="2" s="1"/>
  <c r="S156" i="2"/>
  <c r="R156" i="2"/>
  <c r="AH156" i="2" s="1"/>
  <c r="I156" i="2"/>
  <c r="U155" i="2"/>
  <c r="S155" i="2"/>
  <c r="AG155" i="2" s="1"/>
  <c r="J155" i="2"/>
  <c r="I155" i="2"/>
  <c r="R155" i="2" s="1"/>
  <c r="U154" i="2"/>
  <c r="S154" i="2"/>
  <c r="AG154" i="2" s="1"/>
  <c r="I154" i="2"/>
  <c r="R154" i="2" s="1"/>
  <c r="AH154" i="2" s="1"/>
  <c r="AG153" i="2"/>
  <c r="U153" i="2"/>
  <c r="S153" i="2"/>
  <c r="I153" i="2"/>
  <c r="R153" i="2" s="1"/>
  <c r="AH153" i="2" s="1"/>
  <c r="U152" i="2"/>
  <c r="S152" i="2"/>
  <c r="AG152" i="2" s="1"/>
  <c r="P152" i="2"/>
  <c r="M152" i="2"/>
  <c r="I152" i="2"/>
  <c r="R152" i="2" s="1"/>
  <c r="AH152" i="2" s="1"/>
  <c r="U151" i="2"/>
  <c r="S151" i="2"/>
  <c r="AG151" i="2" s="1"/>
  <c r="I151" i="2"/>
  <c r="R151" i="2" s="1"/>
  <c r="AH151" i="2" s="1"/>
  <c r="AG150" i="2"/>
  <c r="U150" i="2"/>
  <c r="S150" i="2"/>
  <c r="I150" i="2"/>
  <c r="R150" i="2" s="1"/>
  <c r="AH150" i="2" s="1"/>
  <c r="U149" i="2"/>
  <c r="S149" i="2"/>
  <c r="AG149" i="2" s="1"/>
  <c r="P149" i="2"/>
  <c r="M149" i="2"/>
  <c r="I149" i="2"/>
  <c r="R149" i="2" s="1"/>
  <c r="AH149" i="2" s="1"/>
  <c r="U148" i="2"/>
  <c r="S148" i="2"/>
  <c r="AG148" i="2" s="1"/>
  <c r="I148" i="2"/>
  <c r="R148" i="2" s="1"/>
  <c r="AH148" i="2" s="1"/>
  <c r="AG147" i="2"/>
  <c r="U147" i="2"/>
  <c r="S147" i="2"/>
  <c r="M147" i="2"/>
  <c r="I147" i="2"/>
  <c r="U146" i="2"/>
  <c r="S146" i="2"/>
  <c r="AG146" i="2" s="1"/>
  <c r="J146" i="2"/>
  <c r="I146" i="2"/>
  <c r="R146" i="2" s="1"/>
  <c r="U145" i="2"/>
  <c r="S145" i="2"/>
  <c r="AG145" i="2" s="1"/>
  <c r="J145" i="2"/>
  <c r="R145" i="2" s="1"/>
  <c r="AH145" i="2" s="1"/>
  <c r="I145" i="2"/>
  <c r="U144" i="2"/>
  <c r="AG144" i="2" s="1"/>
  <c r="S144" i="2"/>
  <c r="R144" i="2"/>
  <c r="AH144" i="2" s="1"/>
  <c r="J144" i="2"/>
  <c r="I144" i="2"/>
  <c r="AG143" i="2"/>
  <c r="U143" i="2"/>
  <c r="S143" i="2"/>
  <c r="I143" i="2"/>
  <c r="R143" i="2" s="1"/>
  <c r="U142" i="2"/>
  <c r="S142" i="2"/>
  <c r="AG142" i="2" s="1"/>
  <c r="I142" i="2"/>
  <c r="R142" i="2" s="1"/>
  <c r="AG141" i="2"/>
  <c r="U141" i="2"/>
  <c r="S141" i="2"/>
  <c r="J141" i="2"/>
  <c r="I141" i="2"/>
  <c r="R141" i="2" s="1"/>
  <c r="AH141" i="2" s="1"/>
  <c r="U140" i="2"/>
  <c r="S140" i="2"/>
  <c r="AG140" i="2" s="1"/>
  <c r="J140" i="2"/>
  <c r="I140" i="2"/>
  <c r="R140" i="2" s="1"/>
  <c r="U139" i="2"/>
  <c r="S139" i="2"/>
  <c r="AG139" i="2" s="1"/>
  <c r="J139" i="2"/>
  <c r="R139" i="2" s="1"/>
  <c r="I139" i="2"/>
  <c r="U138" i="2"/>
  <c r="AG138" i="2" s="1"/>
  <c r="AH138" i="2" s="1"/>
  <c r="S138" i="2"/>
  <c r="R138" i="2"/>
  <c r="M138" i="2"/>
  <c r="J138" i="2"/>
  <c r="I138" i="2"/>
  <c r="U137" i="2"/>
  <c r="AG137" i="2" s="1"/>
  <c r="AH137" i="2" s="1"/>
  <c r="S137" i="2"/>
  <c r="R137" i="2"/>
  <c r="I137" i="2"/>
  <c r="U136" i="2"/>
  <c r="S136" i="2"/>
  <c r="AG136" i="2" s="1"/>
  <c r="J136" i="2"/>
  <c r="I136" i="2"/>
  <c r="R136" i="2" s="1"/>
  <c r="U135" i="2"/>
  <c r="S135" i="2"/>
  <c r="AG135" i="2" s="1"/>
  <c r="J135" i="2"/>
  <c r="R135" i="2" s="1"/>
  <c r="I135" i="2"/>
  <c r="U134" i="2"/>
  <c r="AG134" i="2" s="1"/>
  <c r="AH134" i="2" s="1"/>
  <c r="S134" i="2"/>
  <c r="R134" i="2"/>
  <c r="J134" i="2"/>
  <c r="I134" i="2"/>
  <c r="AG133" i="2"/>
  <c r="U133" i="2"/>
  <c r="S133" i="2"/>
  <c r="J133" i="2"/>
  <c r="I133" i="2"/>
  <c r="U132" i="2"/>
  <c r="S132" i="2"/>
  <c r="AG132" i="2" s="1"/>
  <c r="J132" i="2"/>
  <c r="I132" i="2"/>
  <c r="R132" i="2" s="1"/>
  <c r="U131" i="2"/>
  <c r="S131" i="2"/>
  <c r="AG131" i="2" s="1"/>
  <c r="P131" i="2"/>
  <c r="M131" i="2"/>
  <c r="I131" i="2"/>
  <c r="R131" i="2" s="1"/>
  <c r="U130" i="2"/>
  <c r="S130" i="2"/>
  <c r="AG130" i="2" s="1"/>
  <c r="J130" i="2"/>
  <c r="R130" i="2" s="1"/>
  <c r="I130" i="2"/>
  <c r="U129" i="2"/>
  <c r="AG129" i="2" s="1"/>
  <c r="AH129" i="2" s="1"/>
  <c r="S129" i="2"/>
  <c r="R129" i="2"/>
  <c r="J129" i="2"/>
  <c r="I129" i="2"/>
  <c r="AG128" i="2"/>
  <c r="U128" i="2"/>
  <c r="S128" i="2"/>
  <c r="J128" i="2"/>
  <c r="I128" i="2"/>
  <c r="U127" i="2"/>
  <c r="S127" i="2"/>
  <c r="AG127" i="2" s="1"/>
  <c r="J127" i="2"/>
  <c r="I127" i="2"/>
  <c r="R127" i="2" s="1"/>
  <c r="U126" i="2"/>
  <c r="S126" i="2"/>
  <c r="AG126" i="2" s="1"/>
  <c r="J126" i="2"/>
  <c r="R126" i="2" s="1"/>
  <c r="AH126" i="2" s="1"/>
  <c r="I126" i="2"/>
  <c r="U125" i="2"/>
  <c r="AG125" i="2" s="1"/>
  <c r="AH125" i="2" s="1"/>
  <c r="S125" i="2"/>
  <c r="R125" i="2"/>
  <c r="J125" i="2"/>
  <c r="I125" i="2"/>
  <c r="AG124" i="2"/>
  <c r="U124" i="2"/>
  <c r="S124" i="2"/>
  <c r="M124" i="2"/>
  <c r="J124" i="2"/>
  <c r="I124" i="2"/>
  <c r="AG123" i="2"/>
  <c r="U123" i="2"/>
  <c r="S123" i="2"/>
  <c r="J123" i="2"/>
  <c r="I123" i="2"/>
  <c r="R123" i="2" s="1"/>
  <c r="AH123" i="2" s="1"/>
  <c r="U122" i="2"/>
  <c r="S122" i="2"/>
  <c r="AG122" i="2" s="1"/>
  <c r="J122" i="2"/>
  <c r="I122" i="2"/>
  <c r="R122" i="2" s="1"/>
  <c r="U121" i="2"/>
  <c r="S121" i="2"/>
  <c r="AG121" i="2" s="1"/>
  <c r="M121" i="2"/>
  <c r="R121" i="2" s="1"/>
  <c r="I121" i="2"/>
  <c r="U120" i="2"/>
  <c r="AG120" i="2" s="1"/>
  <c r="S120" i="2"/>
  <c r="M120" i="2"/>
  <c r="I120" i="2"/>
  <c r="R120" i="2" s="1"/>
  <c r="AH120" i="2" s="1"/>
  <c r="U119" i="2"/>
  <c r="S119" i="2"/>
  <c r="AG119" i="2" s="1"/>
  <c r="M119" i="2"/>
  <c r="J119" i="2"/>
  <c r="I119" i="2"/>
  <c r="U118" i="2"/>
  <c r="AG118" i="2" s="1"/>
  <c r="S118" i="2"/>
  <c r="J118" i="2"/>
  <c r="I118" i="2"/>
  <c r="R118" i="2" s="1"/>
  <c r="AH117" i="2"/>
  <c r="U117" i="2"/>
  <c r="S117" i="2"/>
  <c r="AG117" i="2" s="1"/>
  <c r="R117" i="2"/>
  <c r="M117" i="2"/>
  <c r="I117" i="2"/>
  <c r="AG116" i="2"/>
  <c r="U116" i="2"/>
  <c r="S116" i="2"/>
  <c r="J116" i="2"/>
  <c r="R116" i="2" s="1"/>
  <c r="AH116" i="2" s="1"/>
  <c r="I116" i="2"/>
  <c r="AG115" i="2"/>
  <c r="U115" i="2"/>
  <c r="S115" i="2"/>
  <c r="J115" i="2"/>
  <c r="I115" i="2"/>
  <c r="R115" i="2" s="1"/>
  <c r="AH115" i="2" s="1"/>
  <c r="U114" i="2"/>
  <c r="S114" i="2"/>
  <c r="AG114" i="2" s="1"/>
  <c r="J114" i="2"/>
  <c r="I114" i="2"/>
  <c r="U113" i="2"/>
  <c r="S113" i="2"/>
  <c r="AG113" i="2" s="1"/>
  <c r="R113" i="2"/>
  <c r="AH113" i="2" s="1"/>
  <c r="J113" i="2"/>
  <c r="I113" i="2"/>
  <c r="AG112" i="2"/>
  <c r="U112" i="2"/>
  <c r="S112" i="2"/>
  <c r="I112" i="2"/>
  <c r="R112" i="2" s="1"/>
  <c r="AH112" i="2" s="1"/>
  <c r="U111" i="2"/>
  <c r="S111" i="2"/>
  <c r="AG111" i="2" s="1"/>
  <c r="J111" i="2"/>
  <c r="I111" i="2"/>
  <c r="U110" i="2"/>
  <c r="S110" i="2"/>
  <c r="AG110" i="2" s="1"/>
  <c r="J110" i="2"/>
  <c r="I110" i="2"/>
  <c r="R110" i="2" s="1"/>
  <c r="AH110" i="2" s="1"/>
  <c r="U109" i="2"/>
  <c r="S109" i="2"/>
  <c r="AG109" i="2" s="1"/>
  <c r="AH109" i="2" s="1"/>
  <c r="R109" i="2"/>
  <c r="I109" i="2"/>
  <c r="AG108" i="2"/>
  <c r="AH108" i="2" s="1"/>
  <c r="J108" i="2"/>
  <c r="I108" i="2"/>
  <c r="U107" i="2"/>
  <c r="S107" i="2"/>
  <c r="AG107" i="2" s="1"/>
  <c r="I107" i="2"/>
  <c r="R107" i="2" s="1"/>
  <c r="AH107" i="2" s="1"/>
  <c r="U106" i="2"/>
  <c r="S106" i="2"/>
  <c r="AG106" i="2" s="1"/>
  <c r="I106" i="2"/>
  <c r="R106" i="2" s="1"/>
  <c r="U105" i="2"/>
  <c r="AG105" i="2" s="1"/>
  <c r="S105" i="2"/>
  <c r="J105" i="2"/>
  <c r="I105" i="2"/>
  <c r="U104" i="2"/>
  <c r="S104" i="2"/>
  <c r="AG104" i="2" s="1"/>
  <c r="AH104" i="2" s="1"/>
  <c r="R104" i="2"/>
  <c r="I104" i="2"/>
  <c r="U103" i="2"/>
  <c r="AG103" i="2" s="1"/>
  <c r="S103" i="2"/>
  <c r="J103" i="2"/>
  <c r="I103" i="2"/>
  <c r="R103" i="2" s="1"/>
  <c r="AG102" i="2"/>
  <c r="U102" i="2"/>
  <c r="S102" i="2"/>
  <c r="I102" i="2"/>
  <c r="R102" i="2" s="1"/>
  <c r="AH101" i="2"/>
  <c r="U101" i="2"/>
  <c r="S101" i="2"/>
  <c r="AG101" i="2" s="1"/>
  <c r="R101" i="2"/>
  <c r="J101" i="2"/>
  <c r="I101" i="2"/>
  <c r="AG100" i="2"/>
  <c r="U100" i="2"/>
  <c r="S100" i="2"/>
  <c r="J100" i="2"/>
  <c r="R100" i="2" s="1"/>
  <c r="AH100" i="2" s="1"/>
  <c r="I100" i="2"/>
  <c r="U99" i="2"/>
  <c r="S99" i="2"/>
  <c r="AG99" i="2" s="1"/>
  <c r="J99" i="2"/>
  <c r="I99" i="2"/>
  <c r="R99" i="2" s="1"/>
  <c r="U98" i="2"/>
  <c r="S98" i="2"/>
  <c r="M98" i="2"/>
  <c r="J98" i="2"/>
  <c r="R98" i="2" s="1"/>
  <c r="I98" i="2"/>
  <c r="U97" i="2"/>
  <c r="S97" i="2"/>
  <c r="AG97" i="2" s="1"/>
  <c r="J97" i="2"/>
  <c r="I97" i="2"/>
  <c r="R97" i="2" s="1"/>
  <c r="AH97" i="2" s="1"/>
  <c r="U96" i="2"/>
  <c r="S96" i="2"/>
  <c r="AG96" i="2" s="1"/>
  <c r="AH96" i="2" s="1"/>
  <c r="R96" i="2"/>
  <c r="J96" i="2"/>
  <c r="I96" i="2"/>
  <c r="AG95" i="2"/>
  <c r="U95" i="2"/>
  <c r="S95" i="2"/>
  <c r="R95" i="2"/>
  <c r="AH95" i="2" s="1"/>
  <c r="I95" i="2"/>
  <c r="U94" i="2"/>
  <c r="S94" i="2"/>
  <c r="AG94" i="2" s="1"/>
  <c r="R94" i="2"/>
  <c r="AH94" i="2" s="1"/>
  <c r="J94" i="2"/>
  <c r="I94" i="2"/>
  <c r="AG93" i="2"/>
  <c r="U93" i="2"/>
  <c r="S93" i="2"/>
  <c r="J93" i="2"/>
  <c r="R93" i="2" s="1"/>
  <c r="AH93" i="2" s="1"/>
  <c r="I93" i="2"/>
  <c r="U92" i="2"/>
  <c r="AG92" i="2" s="1"/>
  <c r="S92" i="2"/>
  <c r="J92" i="2"/>
  <c r="I92" i="2"/>
  <c r="R92" i="2" s="1"/>
  <c r="U91" i="2"/>
  <c r="S91" i="2"/>
  <c r="AG91" i="2" s="1"/>
  <c r="J91" i="2"/>
  <c r="I91" i="2"/>
  <c r="U90" i="2"/>
  <c r="S90" i="2"/>
  <c r="AG90" i="2" s="1"/>
  <c r="J90" i="2"/>
  <c r="I90" i="2"/>
  <c r="R90" i="2" s="1"/>
  <c r="AH90" i="2" s="1"/>
  <c r="U89" i="2"/>
  <c r="S89" i="2"/>
  <c r="AG89" i="2" s="1"/>
  <c r="AH89" i="2" s="1"/>
  <c r="R89" i="2"/>
  <c r="J89" i="2"/>
  <c r="I89" i="2"/>
  <c r="AG88" i="2"/>
  <c r="U88" i="2"/>
  <c r="S88" i="2"/>
  <c r="R88" i="2"/>
  <c r="AH88" i="2" s="1"/>
  <c r="J88" i="2"/>
  <c r="I88" i="2"/>
  <c r="U87" i="2"/>
  <c r="AG87" i="2" s="1"/>
  <c r="S87" i="2"/>
  <c r="J87" i="2"/>
  <c r="I87" i="2"/>
  <c r="R87" i="2" s="1"/>
  <c r="AG86" i="2"/>
  <c r="I86" i="2"/>
  <c r="AG85" i="2"/>
  <c r="I85" i="2"/>
  <c r="AG84" i="2"/>
  <c r="I84" i="2"/>
  <c r="AG83" i="2"/>
  <c r="I83" i="2"/>
  <c r="U82" i="2"/>
  <c r="S82" i="2"/>
  <c r="AG82" i="2" s="1"/>
  <c r="R82" i="2"/>
  <c r="J82" i="2"/>
  <c r="I82" i="2"/>
  <c r="AG81" i="2"/>
  <c r="U81" i="2"/>
  <c r="S81" i="2"/>
  <c r="J81" i="2"/>
  <c r="R81" i="2" s="1"/>
  <c r="AH81" i="2" s="1"/>
  <c r="I81" i="2"/>
  <c r="U80" i="2"/>
  <c r="S80" i="2"/>
  <c r="AG80" i="2" s="1"/>
  <c r="J80" i="2"/>
  <c r="I80" i="2"/>
  <c r="R80" i="2" s="1"/>
  <c r="AG79" i="2"/>
  <c r="I79" i="2"/>
  <c r="U78" i="2"/>
  <c r="AG78" i="2" s="1"/>
  <c r="S78" i="2"/>
  <c r="J78" i="2"/>
  <c r="I78" i="2"/>
  <c r="R78" i="2" s="1"/>
  <c r="AH78" i="2" s="1"/>
  <c r="AG77" i="2"/>
  <c r="U77" i="2"/>
  <c r="S77" i="2"/>
  <c r="J77" i="2"/>
  <c r="I77" i="2"/>
  <c r="R77" i="2" s="1"/>
  <c r="AH77" i="2" s="1"/>
  <c r="U76" i="2"/>
  <c r="S76" i="2"/>
  <c r="AG76" i="2" s="1"/>
  <c r="R76" i="2"/>
  <c r="AH76" i="2" s="1"/>
  <c r="J76" i="2"/>
  <c r="I76" i="2"/>
  <c r="AG75" i="2"/>
  <c r="U75" i="2"/>
  <c r="S75" i="2"/>
  <c r="J75" i="2"/>
  <c r="R75" i="2" s="1"/>
  <c r="AH75" i="2" s="1"/>
  <c r="I75" i="2"/>
  <c r="U74" i="2"/>
  <c r="AG74" i="2" s="1"/>
  <c r="S74" i="2"/>
  <c r="J74" i="2"/>
  <c r="I74" i="2"/>
  <c r="R74" i="2" s="1"/>
  <c r="U73" i="2"/>
  <c r="S73" i="2"/>
  <c r="AG73" i="2" s="1"/>
  <c r="J73" i="2"/>
  <c r="I73" i="2"/>
  <c r="U72" i="2"/>
  <c r="S72" i="2"/>
  <c r="AG72" i="2" s="1"/>
  <c r="J72" i="2"/>
  <c r="I72" i="2"/>
  <c r="R72" i="2" s="1"/>
  <c r="AH72" i="2" s="1"/>
  <c r="U71" i="2"/>
  <c r="S71" i="2"/>
  <c r="AG71" i="2" s="1"/>
  <c r="R71" i="2"/>
  <c r="AH71" i="2" s="1"/>
  <c r="I71" i="2"/>
  <c r="U70" i="2"/>
  <c r="S70" i="2"/>
  <c r="AG70" i="2" s="1"/>
  <c r="I70" i="2"/>
  <c r="R70" i="2" s="1"/>
  <c r="AG69" i="2"/>
  <c r="I69" i="2"/>
  <c r="AG68" i="2"/>
  <c r="I68" i="2"/>
  <c r="AG67" i="2"/>
  <c r="U67" i="2"/>
  <c r="S67" i="2"/>
  <c r="J67" i="2"/>
  <c r="R67" i="2" s="1"/>
  <c r="AH67" i="2" s="1"/>
  <c r="I67" i="2"/>
  <c r="U66" i="2"/>
  <c r="AG66" i="2" s="1"/>
  <c r="S66" i="2"/>
  <c r="J66" i="2"/>
  <c r="I66" i="2"/>
  <c r="R66" i="2" s="1"/>
  <c r="AG65" i="2"/>
  <c r="U65" i="2"/>
  <c r="S65" i="2"/>
  <c r="J65" i="2"/>
  <c r="I65" i="2"/>
  <c r="R65" i="2" s="1"/>
  <c r="AH65" i="2" s="1"/>
  <c r="AG64" i="2"/>
  <c r="I64" i="2"/>
  <c r="AG63" i="2"/>
  <c r="U63" i="2"/>
  <c r="S63" i="2"/>
  <c r="J63" i="2"/>
  <c r="R63" i="2" s="1"/>
  <c r="AH63" i="2" s="1"/>
  <c r="I63" i="2"/>
  <c r="U62" i="2"/>
  <c r="S62" i="2"/>
  <c r="AG62" i="2" s="1"/>
  <c r="I62" i="2"/>
  <c r="R62" i="2" s="1"/>
  <c r="AG61" i="2"/>
  <c r="AH61" i="2" s="1"/>
  <c r="I61" i="2"/>
  <c r="AG60" i="2"/>
  <c r="I60" i="2"/>
  <c r="AG59" i="2"/>
  <c r="I59" i="2"/>
  <c r="AG58" i="2"/>
  <c r="I58" i="2"/>
  <c r="AG57" i="2"/>
  <c r="I57" i="2"/>
  <c r="U56" i="2"/>
  <c r="AG56" i="2" s="1"/>
  <c r="S56" i="2"/>
  <c r="J56" i="2"/>
  <c r="I56" i="2"/>
  <c r="R56" i="2" s="1"/>
  <c r="AH56" i="2" s="1"/>
  <c r="AG55" i="2"/>
  <c r="U55" i="2"/>
  <c r="S55" i="2"/>
  <c r="J55" i="2"/>
  <c r="I55" i="2"/>
  <c r="R55" i="2" s="1"/>
  <c r="AH55" i="2" s="1"/>
  <c r="AG54" i="2"/>
  <c r="J54" i="2"/>
  <c r="R54" i="2" s="1"/>
  <c r="AH54" i="2" s="1"/>
  <c r="I54" i="2"/>
  <c r="U53" i="2"/>
  <c r="S53" i="2"/>
  <c r="AG53" i="2" s="1"/>
  <c r="J53" i="2"/>
  <c r="I53" i="2"/>
  <c r="R53" i="2" s="1"/>
  <c r="U52" i="2"/>
  <c r="S52" i="2"/>
  <c r="J52" i="2"/>
  <c r="I52" i="2"/>
  <c r="R52" i="2" s="1"/>
  <c r="U51" i="2"/>
  <c r="S51" i="2"/>
  <c r="AG51" i="2" s="1"/>
  <c r="J51" i="2"/>
  <c r="R51" i="2" s="1"/>
  <c r="I51" i="2"/>
  <c r="U50" i="2"/>
  <c r="AG50" i="2" s="1"/>
  <c r="S50" i="2"/>
  <c r="R50" i="2"/>
  <c r="AH50" i="2" s="1"/>
  <c r="J50" i="2"/>
  <c r="I50" i="2"/>
  <c r="U49" i="2"/>
  <c r="AG49" i="2" s="1"/>
  <c r="S49" i="2"/>
  <c r="J49" i="2"/>
  <c r="I49" i="2"/>
  <c r="R49" i="2" s="1"/>
  <c r="AH48" i="2"/>
  <c r="U48" i="2"/>
  <c r="S48" i="2"/>
  <c r="AG48" i="2" s="1"/>
  <c r="R48" i="2"/>
  <c r="M48" i="2"/>
  <c r="J48" i="2"/>
  <c r="I48" i="2"/>
  <c r="U47" i="2"/>
  <c r="S47" i="2"/>
  <c r="M47" i="2"/>
  <c r="I47" i="2"/>
  <c r="R47" i="2" s="1"/>
  <c r="U46" i="2"/>
  <c r="S46" i="2"/>
  <c r="AG46" i="2" s="1"/>
  <c r="J46" i="2"/>
  <c r="R46" i="2" s="1"/>
  <c r="I46" i="2"/>
  <c r="U45" i="2"/>
  <c r="AG45" i="2" s="1"/>
  <c r="S45" i="2"/>
  <c r="R45" i="2"/>
  <c r="AH45" i="2" s="1"/>
  <c r="J45" i="2"/>
  <c r="I45" i="2"/>
  <c r="U44" i="2"/>
  <c r="AG44" i="2" s="1"/>
  <c r="S44" i="2"/>
  <c r="J44" i="2"/>
  <c r="I44" i="2"/>
  <c r="R44" i="2" s="1"/>
  <c r="AH43" i="2"/>
  <c r="U43" i="2"/>
  <c r="S43" i="2"/>
  <c r="AG43" i="2" s="1"/>
  <c r="R43" i="2"/>
  <c r="J43" i="2"/>
  <c r="I43" i="2"/>
  <c r="AG42" i="2"/>
  <c r="I42" i="2"/>
  <c r="R42" i="2" s="1"/>
  <c r="AH42" i="2" s="1"/>
  <c r="U41" i="2"/>
  <c r="S41" i="2"/>
  <c r="AG41" i="2" s="1"/>
  <c r="J41" i="2"/>
  <c r="R41" i="2" s="1"/>
  <c r="AH41" i="2" s="1"/>
  <c r="I41" i="2"/>
  <c r="U40" i="2"/>
  <c r="AG40" i="2" s="1"/>
  <c r="S40" i="2"/>
  <c r="R40" i="2"/>
  <c r="M40" i="2"/>
  <c r="J40" i="2"/>
  <c r="I40" i="2"/>
  <c r="U39" i="2"/>
  <c r="AG39" i="2" s="1"/>
  <c r="S39" i="2"/>
  <c r="R39" i="2"/>
  <c r="AH39" i="2" s="1"/>
  <c r="M39" i="2"/>
  <c r="J39" i="2"/>
  <c r="I39" i="2"/>
  <c r="U38" i="2"/>
  <c r="AG38" i="2" s="1"/>
  <c r="S38" i="2"/>
  <c r="R38" i="2"/>
  <c r="P38" i="2"/>
  <c r="I38" i="2"/>
  <c r="U37" i="2"/>
  <c r="AG37" i="2" s="1"/>
  <c r="S37" i="2"/>
  <c r="M37" i="2"/>
  <c r="I37" i="2"/>
  <c r="R37" i="2" s="1"/>
  <c r="AH36" i="2"/>
  <c r="U36" i="2"/>
  <c r="S36" i="2"/>
  <c r="AG36" i="2" s="1"/>
  <c r="R36" i="2"/>
  <c r="M36" i="2"/>
  <c r="I36" i="2"/>
  <c r="AG35" i="2"/>
  <c r="U35" i="2"/>
  <c r="S35" i="2"/>
  <c r="M35" i="2"/>
  <c r="R35" i="2" s="1"/>
  <c r="AH35" i="2" s="1"/>
  <c r="J35" i="2"/>
  <c r="I35" i="2"/>
  <c r="AG34" i="2"/>
  <c r="U34" i="2"/>
  <c r="S34" i="2"/>
  <c r="M34" i="2"/>
  <c r="R34" i="2" s="1"/>
  <c r="AH34" i="2" s="1"/>
  <c r="I34" i="2"/>
  <c r="U33" i="2"/>
  <c r="AG33" i="2" s="1"/>
  <c r="S33" i="2"/>
  <c r="M33" i="2"/>
  <c r="J33" i="2"/>
  <c r="R33" i="2" s="1"/>
  <c r="I33" i="2"/>
  <c r="U32" i="2"/>
  <c r="AG32" i="2" s="1"/>
  <c r="S32" i="2"/>
  <c r="M32" i="2"/>
  <c r="J32" i="2"/>
  <c r="R32" i="2" s="1"/>
  <c r="AH32" i="2" s="1"/>
  <c r="I32" i="2"/>
  <c r="U31" i="2"/>
  <c r="AG31" i="2" s="1"/>
  <c r="S31" i="2"/>
  <c r="M31" i="2"/>
  <c r="I31" i="2"/>
  <c r="R31" i="2" s="1"/>
  <c r="AG30" i="2"/>
  <c r="U30" i="2"/>
  <c r="S30" i="2"/>
  <c r="J30" i="2"/>
  <c r="I30" i="2"/>
  <c r="R30" i="2" s="1"/>
  <c r="AH30" i="2" s="1"/>
  <c r="U29" i="2"/>
  <c r="S29" i="2"/>
  <c r="AG29" i="2" s="1"/>
  <c r="R29" i="2"/>
  <c r="AH29" i="2" s="1"/>
  <c r="M29" i="2"/>
  <c r="J29" i="2"/>
  <c r="I29" i="2"/>
  <c r="AH28" i="2"/>
  <c r="U28" i="2"/>
  <c r="S28" i="2"/>
  <c r="AG28" i="2" s="1"/>
  <c r="R28" i="2"/>
  <c r="J28" i="2"/>
  <c r="I28" i="2"/>
  <c r="AG27" i="2"/>
  <c r="U27" i="2"/>
  <c r="S27" i="2"/>
  <c r="I27" i="2"/>
  <c r="R27" i="2" s="1"/>
  <c r="AH27" i="2" s="1"/>
  <c r="AG26" i="2"/>
  <c r="U26" i="2"/>
  <c r="S26" i="2"/>
  <c r="M26" i="2"/>
  <c r="L26" i="2"/>
  <c r="I26" i="2"/>
  <c r="U25" i="2"/>
  <c r="S25" i="2"/>
  <c r="AG25" i="2" s="1"/>
  <c r="M25" i="2"/>
  <c r="J25" i="2"/>
  <c r="I25" i="2"/>
  <c r="R25" i="2" s="1"/>
  <c r="AG24" i="2"/>
  <c r="U24" i="2"/>
  <c r="S24" i="2"/>
  <c r="M24" i="2"/>
  <c r="J24" i="2"/>
  <c r="I24" i="2"/>
  <c r="U23" i="2"/>
  <c r="S23" i="2"/>
  <c r="AG23" i="2" s="1"/>
  <c r="M23" i="2"/>
  <c r="L23" i="2"/>
  <c r="L193" i="2" s="1"/>
  <c r="I23" i="2"/>
  <c r="R23" i="2" s="1"/>
  <c r="AH23" i="2" s="1"/>
  <c r="U22" i="2"/>
  <c r="S22" i="2"/>
  <c r="AG22" i="2" s="1"/>
  <c r="M22" i="2"/>
  <c r="J22" i="2"/>
  <c r="I22" i="2"/>
  <c r="R22" i="2" s="1"/>
  <c r="U21" i="2"/>
  <c r="S21" i="2"/>
  <c r="AG21" i="2" s="1"/>
  <c r="M21" i="2"/>
  <c r="J21" i="2"/>
  <c r="I21" i="2"/>
  <c r="R21" i="2" s="1"/>
  <c r="AH21" i="2" s="1"/>
  <c r="U20" i="2"/>
  <c r="S20" i="2"/>
  <c r="AG20" i="2" s="1"/>
  <c r="M20" i="2"/>
  <c r="J20" i="2"/>
  <c r="I20" i="2"/>
  <c r="R20" i="2" s="1"/>
  <c r="U19" i="2"/>
  <c r="S19" i="2"/>
  <c r="AG19" i="2" s="1"/>
  <c r="M19" i="2"/>
  <c r="J19" i="2"/>
  <c r="I19" i="2"/>
  <c r="R19" i="2" s="1"/>
  <c r="AH19" i="2" s="1"/>
  <c r="U18" i="2"/>
  <c r="S18" i="2"/>
  <c r="AG18" i="2" s="1"/>
  <c r="M18" i="2"/>
  <c r="J18" i="2"/>
  <c r="I18" i="2"/>
  <c r="R18" i="2" s="1"/>
  <c r="U17" i="2"/>
  <c r="S17" i="2"/>
  <c r="AG17" i="2" s="1"/>
  <c r="M17" i="2"/>
  <c r="I17" i="2"/>
  <c r="R17" i="2" s="1"/>
  <c r="U16" i="2"/>
  <c r="S16" i="2"/>
  <c r="AG16" i="2" s="1"/>
  <c r="R16" i="2"/>
  <c r="AH16" i="2" s="1"/>
  <c r="M16" i="2"/>
  <c r="J16" i="2"/>
  <c r="I16" i="2"/>
  <c r="U15" i="2"/>
  <c r="S15" i="2"/>
  <c r="AG15" i="2" s="1"/>
  <c r="R15" i="2"/>
  <c r="AH15" i="2" s="1"/>
  <c r="M15" i="2"/>
  <c r="J15" i="2"/>
  <c r="I15" i="2"/>
  <c r="U14" i="2"/>
  <c r="S14" i="2"/>
  <c r="AG14" i="2" s="1"/>
  <c r="R14" i="2"/>
  <c r="AH14" i="2" s="1"/>
  <c r="M14" i="2"/>
  <c r="J14" i="2"/>
  <c r="I14" i="2"/>
  <c r="U13" i="2"/>
  <c r="S13" i="2"/>
  <c r="AG13" i="2" s="1"/>
  <c r="R13" i="2"/>
  <c r="AH13" i="2" s="1"/>
  <c r="M13" i="2"/>
  <c r="I13" i="2"/>
  <c r="AG12" i="2"/>
  <c r="U12" i="2"/>
  <c r="S12" i="2"/>
  <c r="J12" i="2"/>
  <c r="J193" i="2" s="1"/>
  <c r="I12" i="2"/>
  <c r="U11" i="2"/>
  <c r="U193" i="2" s="1"/>
  <c r="S11" i="2"/>
  <c r="I11" i="2"/>
  <c r="AI130" i="4"/>
  <c r="AH130" i="4"/>
  <c r="AE130" i="4"/>
  <c r="AD130" i="4"/>
  <c r="AC130" i="4"/>
  <c r="AB130" i="4"/>
  <c r="AA130" i="4"/>
  <c r="Z130" i="4"/>
  <c r="Y130" i="4"/>
  <c r="X130" i="4"/>
  <c r="W130" i="4"/>
  <c r="V130" i="4"/>
  <c r="U130" i="4"/>
  <c r="S130" i="4"/>
  <c r="P130" i="4"/>
  <c r="O130" i="4"/>
  <c r="N130" i="4"/>
  <c r="M130" i="4"/>
  <c r="L130" i="4"/>
  <c r="K130" i="4"/>
  <c r="T129" i="4"/>
  <c r="R129" i="4"/>
  <c r="AF129" i="4" s="1"/>
  <c r="Q129" i="4"/>
  <c r="J129" i="4"/>
  <c r="AF128" i="4"/>
  <c r="T128" i="4"/>
  <c r="R128" i="4"/>
  <c r="Q128" i="4"/>
  <c r="AG128" i="4" s="1"/>
  <c r="AF127" i="4"/>
  <c r="T127" i="4"/>
  <c r="R127" i="4"/>
  <c r="Q127" i="4"/>
  <c r="AG127" i="4" s="1"/>
  <c r="T126" i="4"/>
  <c r="R126" i="4"/>
  <c r="AF126" i="4" s="1"/>
  <c r="Q126" i="4"/>
  <c r="AG126" i="4" s="1"/>
  <c r="T125" i="4"/>
  <c r="R125" i="4"/>
  <c r="AF125" i="4" s="1"/>
  <c r="Q125" i="4"/>
  <c r="AF124" i="4"/>
  <c r="T124" i="4"/>
  <c r="R124" i="4"/>
  <c r="J124" i="4"/>
  <c r="Q124" i="4" s="1"/>
  <c r="T123" i="4"/>
  <c r="R123" i="4"/>
  <c r="AF123" i="4" s="1"/>
  <c r="Q123" i="4"/>
  <c r="AG123" i="4" s="1"/>
  <c r="J123" i="4"/>
  <c r="AF122" i="4"/>
  <c r="T122" i="4"/>
  <c r="R122" i="4"/>
  <c r="Q122" i="4"/>
  <c r="AF121" i="4"/>
  <c r="T121" i="4"/>
  <c r="R121" i="4"/>
  <c r="Q121" i="4"/>
  <c r="AG121" i="4" s="1"/>
  <c r="T120" i="4"/>
  <c r="R120" i="4"/>
  <c r="AF120" i="4" s="1"/>
  <c r="Q120" i="4"/>
  <c r="J120" i="4"/>
  <c r="AF119" i="4"/>
  <c r="T119" i="4"/>
  <c r="R119" i="4"/>
  <c r="J119" i="4"/>
  <c r="Q119" i="4" s="1"/>
  <c r="AG119" i="4" s="1"/>
  <c r="T118" i="4"/>
  <c r="R118" i="4"/>
  <c r="AF118" i="4" s="1"/>
  <c r="Q118" i="4"/>
  <c r="J118" i="4"/>
  <c r="AF117" i="4"/>
  <c r="T117" i="4"/>
  <c r="R117" i="4"/>
  <c r="J117" i="4"/>
  <c r="Q117" i="4" s="1"/>
  <c r="AG117" i="4" s="1"/>
  <c r="T116" i="4"/>
  <c r="R116" i="4"/>
  <c r="AF116" i="4" s="1"/>
  <c r="Q116" i="4"/>
  <c r="J116" i="4"/>
  <c r="I116" i="4"/>
  <c r="AF115" i="4"/>
  <c r="T115" i="4"/>
  <c r="R115" i="4"/>
  <c r="Q115" i="4"/>
  <c r="AG115" i="4" s="1"/>
  <c r="T114" i="4"/>
  <c r="R114" i="4"/>
  <c r="AF114" i="4" s="1"/>
  <c r="Q114" i="4"/>
  <c r="T113" i="4"/>
  <c r="R113" i="4"/>
  <c r="Q113" i="4"/>
  <c r="AF112" i="4"/>
  <c r="T112" i="4"/>
  <c r="R112" i="4"/>
  <c r="Q112" i="4"/>
  <c r="AG112" i="4" s="1"/>
  <c r="AF111" i="4"/>
  <c r="T111" i="4"/>
  <c r="R111" i="4"/>
  <c r="Q111" i="4"/>
  <c r="AG111" i="4" s="1"/>
  <c r="T110" i="4"/>
  <c r="R110" i="4"/>
  <c r="AF110" i="4" s="1"/>
  <c r="Q110" i="4"/>
  <c r="AG110" i="4" s="1"/>
  <c r="T109" i="4"/>
  <c r="R109" i="4"/>
  <c r="AF109" i="4" s="1"/>
  <c r="J109" i="4"/>
  <c r="Q109" i="4" s="1"/>
  <c r="AF108" i="4"/>
  <c r="T108" i="4"/>
  <c r="R108" i="4"/>
  <c r="Q108" i="4"/>
  <c r="AG108" i="4" s="1"/>
  <c r="J108" i="4"/>
  <c r="I108" i="4"/>
  <c r="AF107" i="4"/>
  <c r="T107" i="4"/>
  <c r="R107" i="4"/>
  <c r="J107" i="4"/>
  <c r="I107" i="4"/>
  <c r="T106" i="4"/>
  <c r="R106" i="4"/>
  <c r="J106" i="4"/>
  <c r="I106" i="4"/>
  <c r="Q106" i="4" s="1"/>
  <c r="T105" i="4"/>
  <c r="R105" i="4"/>
  <c r="AF105" i="4" s="1"/>
  <c r="Q105" i="4"/>
  <c r="AG105" i="4" s="1"/>
  <c r="J105" i="4"/>
  <c r="I105" i="4"/>
  <c r="AF104" i="4"/>
  <c r="T104" i="4"/>
  <c r="R104" i="4"/>
  <c r="Q104" i="4"/>
  <c r="AG104" i="4" s="1"/>
  <c r="J104" i="4"/>
  <c r="I104" i="4"/>
  <c r="AF103" i="4"/>
  <c r="T103" i="4"/>
  <c r="R103" i="4"/>
  <c r="J103" i="4"/>
  <c r="I103" i="4"/>
  <c r="Q103" i="4" s="1"/>
  <c r="AG103" i="4" s="1"/>
  <c r="T102" i="4"/>
  <c r="R102" i="4"/>
  <c r="AF102" i="4" s="1"/>
  <c r="J102" i="4"/>
  <c r="I102" i="4"/>
  <c r="Q102" i="4" s="1"/>
  <c r="AG102" i="4" s="1"/>
  <c r="T101" i="4"/>
  <c r="R101" i="4"/>
  <c r="AF101" i="4" s="1"/>
  <c r="Q101" i="4"/>
  <c r="J101" i="4"/>
  <c r="I101" i="4"/>
  <c r="AF100" i="4"/>
  <c r="T100" i="4"/>
  <c r="R100" i="4"/>
  <c r="Q100" i="4"/>
  <c r="AG100" i="4" s="1"/>
  <c r="J100" i="4"/>
  <c r="I100" i="4"/>
  <c r="AF99" i="4"/>
  <c r="T99" i="4"/>
  <c r="R99" i="4"/>
  <c r="J99" i="4"/>
  <c r="I99" i="4"/>
  <c r="T98" i="4"/>
  <c r="R98" i="4"/>
  <c r="J98" i="4"/>
  <c r="I98" i="4"/>
  <c r="Q98" i="4" s="1"/>
  <c r="T97" i="4"/>
  <c r="R97" i="4"/>
  <c r="AF97" i="4" s="1"/>
  <c r="Q97" i="4"/>
  <c r="AG97" i="4" s="1"/>
  <c r="I97" i="4"/>
  <c r="AF96" i="4"/>
  <c r="T96" i="4"/>
  <c r="R96" i="4"/>
  <c r="J96" i="4"/>
  <c r="I96" i="4"/>
  <c r="Q96" i="4" s="1"/>
  <c r="AG96" i="4" s="1"/>
  <c r="AF95" i="4"/>
  <c r="Q95" i="4"/>
  <c r="AG95" i="4" s="1"/>
  <c r="H95" i="4"/>
  <c r="H130" i="4" s="1"/>
  <c r="T94" i="4"/>
  <c r="R94" i="4"/>
  <c r="J94" i="4"/>
  <c r="I94" i="4"/>
  <c r="Q94" i="4" s="1"/>
  <c r="AG93" i="4"/>
  <c r="AF93" i="4"/>
  <c r="AF92" i="4"/>
  <c r="T92" i="4"/>
  <c r="R92" i="4"/>
  <c r="I92" i="4"/>
  <c r="Q92" i="4" s="1"/>
  <c r="T91" i="4"/>
  <c r="R91" i="4"/>
  <c r="AF91" i="4" s="1"/>
  <c r="Q91" i="4"/>
  <c r="AG91" i="4" s="1"/>
  <c r="J91" i="4"/>
  <c r="I91" i="4"/>
  <c r="AF90" i="4"/>
  <c r="T90" i="4"/>
  <c r="R90" i="4"/>
  <c r="Q90" i="4"/>
  <c r="AG90" i="4" s="1"/>
  <c r="J90" i="4"/>
  <c r="I90" i="4"/>
  <c r="AF89" i="4"/>
  <c r="T89" i="4"/>
  <c r="R89" i="4"/>
  <c r="J89" i="4"/>
  <c r="I89" i="4"/>
  <c r="Q89" i="4" s="1"/>
  <c r="AG89" i="4" s="1"/>
  <c r="T88" i="4"/>
  <c r="R88" i="4"/>
  <c r="AF88" i="4" s="1"/>
  <c r="J88" i="4"/>
  <c r="I88" i="4"/>
  <c r="Q88" i="4" s="1"/>
  <c r="AG88" i="4" s="1"/>
  <c r="T87" i="4"/>
  <c r="R87" i="4"/>
  <c r="AF87" i="4" s="1"/>
  <c r="Q87" i="4"/>
  <c r="J87" i="4"/>
  <c r="I87" i="4"/>
  <c r="AF86" i="4"/>
  <c r="T86" i="4"/>
  <c r="R86" i="4"/>
  <c r="Q86" i="4"/>
  <c r="AG86" i="4" s="1"/>
  <c r="J86" i="4"/>
  <c r="I86" i="4"/>
  <c r="AF85" i="4"/>
  <c r="T85" i="4"/>
  <c r="R85" i="4"/>
  <c r="I85" i="4"/>
  <c r="Q85" i="4" s="1"/>
  <c r="AG85" i="4" s="1"/>
  <c r="T84" i="4"/>
  <c r="R84" i="4"/>
  <c r="AF84" i="4" s="1"/>
  <c r="Q84" i="4"/>
  <c r="I84" i="4"/>
  <c r="AF83" i="4"/>
  <c r="T83" i="4"/>
  <c r="R83" i="4"/>
  <c r="I83" i="4"/>
  <c r="Q83" i="4" s="1"/>
  <c r="AG83" i="4" s="1"/>
  <c r="T82" i="4"/>
  <c r="R82" i="4"/>
  <c r="AF82" i="4" s="1"/>
  <c r="Q82" i="4"/>
  <c r="J82" i="4"/>
  <c r="I82" i="4"/>
  <c r="T81" i="4"/>
  <c r="R81" i="4"/>
  <c r="AF81" i="4" s="1"/>
  <c r="AG81" i="4" s="1"/>
  <c r="Q81" i="4"/>
  <c r="J81" i="4"/>
  <c r="I81" i="4"/>
  <c r="AF80" i="4"/>
  <c r="T80" i="4"/>
  <c r="R80" i="4"/>
  <c r="J80" i="4"/>
  <c r="I80" i="4"/>
  <c r="Q80" i="4" s="1"/>
  <c r="AG80" i="4" s="1"/>
  <c r="T79" i="4"/>
  <c r="R79" i="4"/>
  <c r="AF79" i="4" s="1"/>
  <c r="J79" i="4"/>
  <c r="I79" i="4"/>
  <c r="Q79" i="4" s="1"/>
  <c r="AG79" i="4" s="1"/>
  <c r="T78" i="4"/>
  <c r="R78" i="4"/>
  <c r="AF78" i="4" s="1"/>
  <c r="J78" i="4"/>
  <c r="I78" i="4"/>
  <c r="Q78" i="4" s="1"/>
  <c r="AG78" i="4" s="1"/>
  <c r="T77" i="4"/>
  <c r="R77" i="4"/>
  <c r="AF77" i="4" s="1"/>
  <c r="Q77" i="4"/>
  <c r="AG77" i="4" s="1"/>
  <c r="J77" i="4"/>
  <c r="I77" i="4"/>
  <c r="AF76" i="4"/>
  <c r="T76" i="4"/>
  <c r="R76" i="4"/>
  <c r="J76" i="4"/>
  <c r="I76" i="4"/>
  <c r="T75" i="4"/>
  <c r="R75" i="4"/>
  <c r="J75" i="4"/>
  <c r="I75" i="4"/>
  <c r="Q75" i="4" s="1"/>
  <c r="T74" i="4"/>
  <c r="R74" i="4"/>
  <c r="AF74" i="4" s="1"/>
  <c r="J74" i="4"/>
  <c r="I74" i="4"/>
  <c r="Q74" i="4" s="1"/>
  <c r="AG73" i="4"/>
  <c r="T73" i="4"/>
  <c r="R73" i="4"/>
  <c r="AF73" i="4" s="1"/>
  <c r="Q73" i="4"/>
  <c r="J73" i="4"/>
  <c r="I73" i="4"/>
  <c r="AF72" i="4"/>
  <c r="T72" i="4"/>
  <c r="R72" i="4"/>
  <c r="J72" i="4"/>
  <c r="I72" i="4"/>
  <c r="Q72" i="4" s="1"/>
  <c r="AG72" i="4" s="1"/>
  <c r="T71" i="4"/>
  <c r="R71" i="4"/>
  <c r="AF71" i="4" s="1"/>
  <c r="I71" i="4"/>
  <c r="Q71" i="4" s="1"/>
  <c r="T70" i="4"/>
  <c r="R70" i="4"/>
  <c r="AF70" i="4" s="1"/>
  <c r="AG70" i="4" s="1"/>
  <c r="Q70" i="4"/>
  <c r="J70" i="4"/>
  <c r="I70" i="4"/>
  <c r="AF69" i="4"/>
  <c r="T69" i="4"/>
  <c r="R69" i="4"/>
  <c r="J69" i="4"/>
  <c r="I69" i="4"/>
  <c r="Q69" i="4" s="1"/>
  <c r="AG69" i="4" s="1"/>
  <c r="T68" i="4"/>
  <c r="R68" i="4"/>
  <c r="AF68" i="4" s="1"/>
  <c r="I68" i="4"/>
  <c r="Q68" i="4" s="1"/>
  <c r="AG67" i="4"/>
  <c r="T67" i="4"/>
  <c r="R67" i="4"/>
  <c r="AF67" i="4" s="1"/>
  <c r="Q67" i="4"/>
  <c r="J67" i="4"/>
  <c r="I67" i="4"/>
  <c r="AF66" i="4"/>
  <c r="T66" i="4"/>
  <c r="R66" i="4"/>
  <c r="I66" i="4"/>
  <c r="Q66" i="4" s="1"/>
  <c r="T65" i="4"/>
  <c r="R65" i="4"/>
  <c r="AF65" i="4" s="1"/>
  <c r="J65" i="4"/>
  <c r="I65" i="4"/>
  <c r="Q65" i="4" s="1"/>
  <c r="AG65" i="4" s="1"/>
  <c r="T64" i="4"/>
  <c r="R64" i="4"/>
  <c r="AF64" i="4" s="1"/>
  <c r="AG64" i="4" s="1"/>
  <c r="Q64" i="4"/>
  <c r="I64" i="4"/>
  <c r="T63" i="4"/>
  <c r="AF63" i="4" s="1"/>
  <c r="R63" i="4"/>
  <c r="I63" i="4"/>
  <c r="Q63" i="4" s="1"/>
  <c r="AG63" i="4" s="1"/>
  <c r="T62" i="4"/>
  <c r="R62" i="4"/>
  <c r="AF62" i="4" s="1"/>
  <c r="AG62" i="4" s="1"/>
  <c r="Q62" i="4"/>
  <c r="J62" i="4"/>
  <c r="I62" i="4"/>
  <c r="AF61" i="4"/>
  <c r="T61" i="4"/>
  <c r="R61" i="4"/>
  <c r="J61" i="4"/>
  <c r="I61" i="4"/>
  <c r="Q61" i="4" s="1"/>
  <c r="AG61" i="4" s="1"/>
  <c r="T60" i="4"/>
  <c r="R60" i="4"/>
  <c r="AF60" i="4" s="1"/>
  <c r="J60" i="4"/>
  <c r="I60" i="4"/>
  <c r="Q60" i="4" s="1"/>
  <c r="AG60" i="4" s="1"/>
  <c r="T59" i="4"/>
  <c r="R59" i="4"/>
  <c r="AF59" i="4" s="1"/>
  <c r="I59" i="4"/>
  <c r="Q59" i="4" s="1"/>
  <c r="AF58" i="4"/>
  <c r="T58" i="4"/>
  <c r="R58" i="4"/>
  <c r="I58" i="4"/>
  <c r="Q58" i="4" s="1"/>
  <c r="T57" i="4"/>
  <c r="R57" i="4"/>
  <c r="AF57" i="4" s="1"/>
  <c r="I57" i="4"/>
  <c r="Q57" i="4" s="1"/>
  <c r="AG57" i="4" s="1"/>
  <c r="AF56" i="4"/>
  <c r="T56" i="4"/>
  <c r="R56" i="4"/>
  <c r="I56" i="4"/>
  <c r="Q56" i="4" s="1"/>
  <c r="AG56" i="4" s="1"/>
  <c r="T55" i="4"/>
  <c r="R55" i="4"/>
  <c r="AF55" i="4" s="1"/>
  <c r="J55" i="4"/>
  <c r="I55" i="4"/>
  <c r="Q55" i="4" s="1"/>
  <c r="T54" i="4"/>
  <c r="R54" i="4"/>
  <c r="AF54" i="4" s="1"/>
  <c r="Q54" i="4"/>
  <c r="AG54" i="4" s="1"/>
  <c r="J54" i="4"/>
  <c r="I54" i="4"/>
  <c r="AF53" i="4"/>
  <c r="T53" i="4"/>
  <c r="R53" i="4"/>
  <c r="J53" i="4"/>
  <c r="I53" i="4"/>
  <c r="T52" i="4"/>
  <c r="R52" i="4"/>
  <c r="I52" i="4"/>
  <c r="Q52" i="4" s="1"/>
  <c r="T51" i="4"/>
  <c r="R51" i="4"/>
  <c r="AF51" i="4" s="1"/>
  <c r="Q51" i="4"/>
  <c r="AG51" i="4" s="1"/>
  <c r="I51" i="4"/>
  <c r="T50" i="4"/>
  <c r="AF50" i="4" s="1"/>
  <c r="R50" i="4"/>
  <c r="I50" i="4"/>
  <c r="Q50" i="4" s="1"/>
  <c r="AG50" i="4" s="1"/>
  <c r="T49" i="4"/>
  <c r="R49" i="4"/>
  <c r="AF49" i="4" s="1"/>
  <c r="Q49" i="4"/>
  <c r="AG49" i="4" s="1"/>
  <c r="I49" i="4"/>
  <c r="T48" i="4"/>
  <c r="AF48" i="4" s="1"/>
  <c r="R48" i="4"/>
  <c r="I48" i="4"/>
  <c r="Q48" i="4" s="1"/>
  <c r="AG48" i="4" s="1"/>
  <c r="T47" i="4"/>
  <c r="R47" i="4"/>
  <c r="AF47" i="4" s="1"/>
  <c r="Q47" i="4"/>
  <c r="AG47" i="4" s="1"/>
  <c r="J47" i="4"/>
  <c r="I47" i="4"/>
  <c r="AF46" i="4"/>
  <c r="T46" i="4"/>
  <c r="R46" i="4"/>
  <c r="I46" i="4"/>
  <c r="Q46" i="4" s="1"/>
  <c r="AG46" i="4" s="1"/>
  <c r="T45" i="4"/>
  <c r="R45" i="4"/>
  <c r="AF45" i="4" s="1"/>
  <c r="I45" i="4"/>
  <c r="Q45" i="4" s="1"/>
  <c r="AF44" i="4"/>
  <c r="T44" i="4"/>
  <c r="R44" i="4"/>
  <c r="I44" i="4"/>
  <c r="Q44" i="4" s="1"/>
  <c r="T43" i="4"/>
  <c r="R43" i="4"/>
  <c r="AF43" i="4" s="1"/>
  <c r="I43" i="4"/>
  <c r="Q43" i="4" s="1"/>
  <c r="AG43" i="4" s="1"/>
  <c r="AF42" i="4"/>
  <c r="T42" i="4"/>
  <c r="R42" i="4"/>
  <c r="J42" i="4"/>
  <c r="Q42" i="4" s="1"/>
  <c r="AG42" i="4" s="1"/>
  <c r="I42" i="4"/>
  <c r="T41" i="4"/>
  <c r="AF41" i="4" s="1"/>
  <c r="R41" i="4"/>
  <c r="J41" i="4"/>
  <c r="I41" i="4"/>
  <c r="Q41" i="4" s="1"/>
  <c r="T40" i="4"/>
  <c r="R40" i="4"/>
  <c r="AF40" i="4" s="1"/>
  <c r="J40" i="4"/>
  <c r="I40" i="4"/>
  <c r="Q40" i="4" s="1"/>
  <c r="AG40" i="4" s="1"/>
  <c r="T39" i="4"/>
  <c r="R39" i="4"/>
  <c r="AF39" i="4" s="1"/>
  <c r="AG39" i="4" s="1"/>
  <c r="Q39" i="4"/>
  <c r="I39" i="4"/>
  <c r="T38" i="4"/>
  <c r="AF38" i="4" s="1"/>
  <c r="R38" i="4"/>
  <c r="J38" i="4"/>
  <c r="I38" i="4"/>
  <c r="Q38" i="4" s="1"/>
  <c r="AG38" i="4" s="1"/>
  <c r="T37" i="4"/>
  <c r="R37" i="4"/>
  <c r="AF37" i="4" s="1"/>
  <c r="J37" i="4"/>
  <c r="I37" i="4"/>
  <c r="Q37" i="4" s="1"/>
  <c r="T36" i="4"/>
  <c r="R36" i="4"/>
  <c r="AF36" i="4" s="1"/>
  <c r="Q36" i="4"/>
  <c r="AG36" i="4" s="1"/>
  <c r="I36" i="4"/>
  <c r="T35" i="4"/>
  <c r="AF35" i="4" s="1"/>
  <c r="R35" i="4"/>
  <c r="I35" i="4"/>
  <c r="Q35" i="4" s="1"/>
  <c r="T34" i="4"/>
  <c r="R34" i="4"/>
  <c r="AF34" i="4" s="1"/>
  <c r="Q34" i="4"/>
  <c r="AG34" i="4" s="1"/>
  <c r="J34" i="4"/>
  <c r="I34" i="4"/>
  <c r="AF33" i="4"/>
  <c r="T33" i="4"/>
  <c r="R33" i="4"/>
  <c r="J33" i="4"/>
  <c r="Q33" i="4" s="1"/>
  <c r="AG33" i="4" s="1"/>
  <c r="I33" i="4"/>
  <c r="T32" i="4"/>
  <c r="AF32" i="4" s="1"/>
  <c r="R32" i="4"/>
  <c r="J32" i="4"/>
  <c r="I32" i="4"/>
  <c r="Q32" i="4" s="1"/>
  <c r="T31" i="4"/>
  <c r="R31" i="4"/>
  <c r="AF31" i="4" s="1"/>
  <c r="I31" i="4"/>
  <c r="Q31" i="4" s="1"/>
  <c r="AG31" i="4" s="1"/>
  <c r="AF30" i="4"/>
  <c r="T30" i="4"/>
  <c r="R30" i="4"/>
  <c r="J30" i="4"/>
  <c r="Q30" i="4" s="1"/>
  <c r="AG30" i="4" s="1"/>
  <c r="I30" i="4"/>
  <c r="T29" i="4"/>
  <c r="AF29" i="4" s="1"/>
  <c r="R29" i="4"/>
  <c r="J29" i="4"/>
  <c r="I29" i="4"/>
  <c r="Q29" i="4" s="1"/>
  <c r="T28" i="4"/>
  <c r="R28" i="4"/>
  <c r="AF28" i="4" s="1"/>
  <c r="J28" i="4"/>
  <c r="I28" i="4"/>
  <c r="Q28" i="4" s="1"/>
  <c r="AG28" i="4" s="1"/>
  <c r="T27" i="4"/>
  <c r="R27" i="4"/>
  <c r="AF27" i="4" s="1"/>
  <c r="AG27" i="4" s="1"/>
  <c r="Q27" i="4"/>
  <c r="J27" i="4"/>
  <c r="I27" i="4"/>
  <c r="AF26" i="4"/>
  <c r="T26" i="4"/>
  <c r="R26" i="4"/>
  <c r="J26" i="4"/>
  <c r="Q26" i="4" s="1"/>
  <c r="I26" i="4"/>
  <c r="T25" i="4"/>
  <c r="AF25" i="4" s="1"/>
  <c r="R25" i="4"/>
  <c r="J25" i="4"/>
  <c r="I25" i="4"/>
  <c r="Q25" i="4" s="1"/>
  <c r="AG25" i="4" s="1"/>
  <c r="T24" i="4"/>
  <c r="R24" i="4"/>
  <c r="AF24" i="4" s="1"/>
  <c r="J24" i="4"/>
  <c r="I24" i="4"/>
  <c r="Q24" i="4" s="1"/>
  <c r="AG24" i="4" s="1"/>
  <c r="T23" i="4"/>
  <c r="R23" i="4"/>
  <c r="AF23" i="4" s="1"/>
  <c r="Q23" i="4"/>
  <c r="AG23" i="4" s="1"/>
  <c r="J23" i="4"/>
  <c r="I23" i="4"/>
  <c r="AF22" i="4"/>
  <c r="T22" i="4"/>
  <c r="R22" i="4"/>
  <c r="J22" i="4"/>
  <c r="Q22" i="4" s="1"/>
  <c r="AG22" i="4" s="1"/>
  <c r="I22" i="4"/>
  <c r="T21" i="4"/>
  <c r="AF21" i="4" s="1"/>
  <c r="R21" i="4"/>
  <c r="J21" i="4"/>
  <c r="I21" i="4"/>
  <c r="Q21" i="4" s="1"/>
  <c r="T20" i="4"/>
  <c r="R20" i="4"/>
  <c r="AF20" i="4" s="1"/>
  <c r="J20" i="4"/>
  <c r="I20" i="4"/>
  <c r="Q20" i="4" s="1"/>
  <c r="AG19" i="4"/>
  <c r="T19" i="4"/>
  <c r="R19" i="4"/>
  <c r="AF19" i="4" s="1"/>
  <c r="Q19" i="4"/>
  <c r="J19" i="4"/>
  <c r="I19" i="4"/>
  <c r="AF18" i="4"/>
  <c r="T18" i="4"/>
  <c r="R18" i="4"/>
  <c r="I18" i="4"/>
  <c r="Q18" i="4" s="1"/>
  <c r="AG18" i="4" s="1"/>
  <c r="T17" i="4"/>
  <c r="R17" i="4"/>
  <c r="AF17" i="4" s="1"/>
  <c r="I17" i="4"/>
  <c r="Q17" i="4" s="1"/>
  <c r="T16" i="4"/>
  <c r="R16" i="4"/>
  <c r="AF16" i="4" s="1"/>
  <c r="J16" i="4"/>
  <c r="I16" i="4"/>
  <c r="Q16" i="4" s="1"/>
  <c r="AG16" i="4" s="1"/>
  <c r="T15" i="4"/>
  <c r="R15" i="4"/>
  <c r="AF15" i="4" s="1"/>
  <c r="J15" i="4"/>
  <c r="Q15" i="4" s="1"/>
  <c r="AG15" i="4" s="1"/>
  <c r="I15" i="4"/>
  <c r="T14" i="4"/>
  <c r="AF14" i="4" s="1"/>
  <c r="R14" i="4"/>
  <c r="Q14" i="4"/>
  <c r="AG14" i="4" s="1"/>
  <c r="J14" i="4"/>
  <c r="I14" i="4"/>
  <c r="AF13" i="4"/>
  <c r="T13" i="4"/>
  <c r="R13" i="4"/>
  <c r="J13" i="4"/>
  <c r="I13" i="4"/>
  <c r="Q13" i="4" s="1"/>
  <c r="AG13" i="4" s="1"/>
  <c r="T12" i="4"/>
  <c r="R12" i="4"/>
  <c r="AF12" i="4" s="1"/>
  <c r="J12" i="4"/>
  <c r="I12" i="4"/>
  <c r="Q12" i="4" s="1"/>
  <c r="T11" i="4"/>
  <c r="R11" i="4"/>
  <c r="AF11" i="4" s="1"/>
  <c r="J11" i="4"/>
  <c r="Q11" i="4" s="1"/>
  <c r="I11" i="4"/>
  <c r="T10" i="4"/>
  <c r="AF10" i="4" s="1"/>
  <c r="R10" i="4"/>
  <c r="Q10" i="4"/>
  <c r="I10" i="4"/>
  <c r="T9" i="4"/>
  <c r="R9" i="4"/>
  <c r="AF9" i="4" s="1"/>
  <c r="Q9" i="4"/>
  <c r="I9" i="4"/>
  <c r="T8" i="4"/>
  <c r="R8" i="4"/>
  <c r="Q8" i="4"/>
  <c r="J8" i="4"/>
  <c r="I8" i="4"/>
  <c r="D25" i="7" l="1"/>
  <c r="D17" i="7"/>
  <c r="D21" i="7" s="1"/>
  <c r="D23" i="8"/>
  <c r="D16" i="8"/>
  <c r="D20" i="8" s="1"/>
  <c r="D23" i="1"/>
  <c r="D16" i="1"/>
  <c r="D20" i="1" s="1"/>
  <c r="AH17" i="2"/>
  <c r="AH18" i="2"/>
  <c r="AH22" i="2"/>
  <c r="AH31" i="2"/>
  <c r="AH92" i="2"/>
  <c r="AH38" i="2"/>
  <c r="AH40" i="2"/>
  <c r="AH47" i="2"/>
  <c r="AH52" i="2"/>
  <c r="AH20" i="2"/>
  <c r="AH33" i="2"/>
  <c r="AH46" i="2"/>
  <c r="AH51" i="2"/>
  <c r="AH66" i="2"/>
  <c r="AH74" i="2"/>
  <c r="AH82" i="2"/>
  <c r="I193" i="2"/>
  <c r="AG11" i="2"/>
  <c r="R12" i="2"/>
  <c r="AH12" i="2" s="1"/>
  <c r="AH25" i="2"/>
  <c r="AH37" i="2"/>
  <c r="AH44" i="2"/>
  <c r="AH49" i="2"/>
  <c r="AH87" i="2"/>
  <c r="AH102" i="2"/>
  <c r="AH103" i="2"/>
  <c r="R11" i="2"/>
  <c r="AH53" i="2"/>
  <c r="AH80" i="2"/>
  <c r="AH118" i="2"/>
  <c r="AH122" i="2"/>
  <c r="AH131" i="2"/>
  <c r="AH136" i="2"/>
  <c r="AH140" i="2"/>
  <c r="AH143" i="2"/>
  <c r="AH160" i="2"/>
  <c r="AH180" i="2"/>
  <c r="AH106" i="2"/>
  <c r="S193" i="2"/>
  <c r="M193" i="2"/>
  <c r="R24" i="2"/>
  <c r="AH24" i="2" s="1"/>
  <c r="R26" i="2"/>
  <c r="AH26" i="2" s="1"/>
  <c r="AG47" i="2"/>
  <c r="AG52" i="2"/>
  <c r="AH62" i="2"/>
  <c r="AH70" i="2"/>
  <c r="R73" i="2"/>
  <c r="AH73" i="2" s="1"/>
  <c r="AH99" i="2"/>
  <c r="R105" i="2"/>
  <c r="AH105" i="2" s="1"/>
  <c r="R114" i="2"/>
  <c r="AH114" i="2" s="1"/>
  <c r="R119" i="2"/>
  <c r="AH119" i="2" s="1"/>
  <c r="AH146" i="2"/>
  <c r="R147" i="2"/>
  <c r="AH147" i="2" s="1"/>
  <c r="AH155" i="2"/>
  <c r="AH158" i="2"/>
  <c r="AH159" i="2"/>
  <c r="AG163" i="2"/>
  <c r="AH163" i="2" s="1"/>
  <c r="AH170" i="2"/>
  <c r="AG170" i="2"/>
  <c r="R179" i="2"/>
  <c r="AH179" i="2" s="1"/>
  <c r="R91" i="2"/>
  <c r="AH91" i="2" s="1"/>
  <c r="AG98" i="2"/>
  <c r="AH98" i="2" s="1"/>
  <c r="R111" i="2"/>
  <c r="AH111" i="2" s="1"/>
  <c r="AH121" i="2"/>
  <c r="R124" i="2"/>
  <c r="AH124" i="2" s="1"/>
  <c r="AH127" i="2"/>
  <c r="R128" i="2"/>
  <c r="AH128" i="2" s="1"/>
  <c r="AH130" i="2"/>
  <c r="AH132" i="2"/>
  <c r="R133" i="2"/>
  <c r="AH133" i="2" s="1"/>
  <c r="AH135" i="2"/>
  <c r="AH139" i="2"/>
  <c r="AH142" i="2"/>
  <c r="R164" i="2"/>
  <c r="AH164" i="2" s="1"/>
  <c r="AH166" i="2"/>
  <c r="R169" i="2"/>
  <c r="AH169" i="2" s="1"/>
  <c r="R171" i="2"/>
  <c r="AH171" i="2" s="1"/>
  <c r="AH173" i="2"/>
  <c r="AG178" i="2"/>
  <c r="AH178" i="2" s="1"/>
  <c r="AG183" i="2"/>
  <c r="AH183" i="2" s="1"/>
  <c r="AH191" i="2"/>
  <c r="AG12" i="4"/>
  <c r="AG9" i="4"/>
  <c r="AG10" i="4"/>
  <c r="AG11" i="4"/>
  <c r="AG113" i="4"/>
  <c r="R130" i="4"/>
  <c r="AG20" i="4"/>
  <c r="AG21" i="4"/>
  <c r="AG26" i="4"/>
  <c r="AF52" i="4"/>
  <c r="AG52" i="4" s="1"/>
  <c r="AG58" i="4"/>
  <c r="AG59" i="4"/>
  <c r="AG68" i="4"/>
  <c r="AG74" i="4"/>
  <c r="Q76" i="4"/>
  <c r="AG76" i="4" s="1"/>
  <c r="AG82" i="4"/>
  <c r="AG84" i="4"/>
  <c r="AG87" i="4"/>
  <c r="AG92" i="4"/>
  <c r="AF94" i="4"/>
  <c r="AF98" i="4"/>
  <c r="AG101" i="4"/>
  <c r="Q107" i="4"/>
  <c r="AG107" i="4" s="1"/>
  <c r="AG109" i="4"/>
  <c r="AF113" i="4"/>
  <c r="AG116" i="4"/>
  <c r="AG118" i="4"/>
  <c r="AG120" i="4"/>
  <c r="AG122" i="4"/>
  <c r="AG124" i="4"/>
  <c r="AG125" i="4"/>
  <c r="AG129" i="4"/>
  <c r="I130" i="4"/>
  <c r="AG35" i="4"/>
  <c r="AG37" i="4"/>
  <c r="AG55" i="4"/>
  <c r="T130" i="4"/>
  <c r="J130" i="4"/>
  <c r="AF8" i="4"/>
  <c r="AF130" i="4" s="1"/>
  <c r="AG17" i="4"/>
  <c r="AG29" i="4"/>
  <c r="AG32" i="4"/>
  <c r="AG41" i="4"/>
  <c r="AG44" i="4"/>
  <c r="AG45" i="4"/>
  <c r="Q53" i="4"/>
  <c r="AG53" i="4" s="1"/>
  <c r="AG66" i="4"/>
  <c r="AG71" i="4"/>
  <c r="AF75" i="4"/>
  <c r="AG75" i="4" s="1"/>
  <c r="AG94" i="4"/>
  <c r="AG98" i="4"/>
  <c r="Q99" i="4"/>
  <c r="AG99" i="4" s="1"/>
  <c r="AF106" i="4"/>
  <c r="AG106" i="4" s="1"/>
  <c r="AG114" i="4"/>
  <c r="D25" i="1" l="1"/>
  <c r="D30" i="1" s="1"/>
  <c r="D28" i="1"/>
  <c r="D30" i="8"/>
  <c r="D32" i="8" s="1"/>
  <c r="D34" i="8"/>
  <c r="D25" i="8"/>
  <c r="D34" i="7"/>
  <c r="D27" i="7"/>
  <c r="D30" i="7"/>
  <c r="D32" i="7" s="1"/>
  <c r="R193" i="2"/>
  <c r="AH11" i="2"/>
  <c r="AH193" i="2" s="1"/>
  <c r="AG193" i="2"/>
  <c r="AG8" i="4"/>
  <c r="AG130" i="4" s="1"/>
  <c r="Q130" i="4"/>
  <c r="D63" i="7" l="1"/>
  <c r="D64" i="7" s="1"/>
  <c r="D36" i="7"/>
  <c r="D27" i="8"/>
  <c r="D28" i="8" s="1"/>
  <c r="D36" i="8"/>
  <c r="D33" i="8"/>
</calcChain>
</file>

<file path=xl/sharedStrings.xml><?xml version="1.0" encoding="utf-8"?>
<sst xmlns="http://schemas.openxmlformats.org/spreadsheetml/2006/main" count="3929" uniqueCount="1696">
  <si>
    <t>RvZxq †eZb †¯‹j 2015 Abyhvqx 30 Ryb 2026 Zvwi‡L MÖnxZ g~j †eZb</t>
  </si>
  <si>
    <t>t</t>
  </si>
  <si>
    <t>bvg</t>
  </si>
  <si>
    <t>eZ©gvb c‡` †hvM`v‡bi ZvwiL</t>
  </si>
  <si>
    <t>eZ©gvb c` (30-06-2026)</t>
  </si>
  <si>
    <t>wefvM/`ßi</t>
  </si>
  <si>
    <t>GbAvBwW bs</t>
  </si>
  <si>
    <t>cieZ©x evwl©K †eZb e„wÏi ZvwiL</t>
  </si>
  <si>
    <t>evsjv‡`k †U·UvBj wek¦we`¨vjq</t>
  </si>
  <si>
    <t>‡ZRMuvI, XvKv-1208|</t>
  </si>
  <si>
    <t xml:space="preserve">            Kg©Pvix‡`i ‡eZb fvZvw`i wej  Ryb - 2026 |</t>
  </si>
  <si>
    <t>µt 
bs</t>
  </si>
  <si>
    <t>bvg , c`ex I †eZb‡¯‹j</t>
  </si>
  <si>
    <t>cÖvwßmg~n</t>
  </si>
  <si>
    <t>KZ©bmg~n</t>
  </si>
  <si>
    <t>bxU</t>
  </si>
  <si>
    <t>gšÍe¨</t>
  </si>
  <si>
    <t>¯^v¶i</t>
  </si>
  <si>
    <t xml:space="preserve">g~j‡eZb </t>
  </si>
  <si>
    <t xml:space="preserve">we‡kl myweav </t>
  </si>
  <si>
    <t>evoxfvov
fvZv</t>
  </si>
  <si>
    <t>wPwKrmv 
fvZv</t>
  </si>
  <si>
    <t>hvZvqvZ
fvZv</t>
  </si>
  <si>
    <t>wUwdb
fvZv</t>
  </si>
  <si>
    <t>wk¶v
 fvZv</t>
  </si>
  <si>
    <t>‡avjvB
fvZv</t>
  </si>
  <si>
    <t>we‡kl fvZv</t>
  </si>
  <si>
    <t>‡gvU</t>
  </si>
  <si>
    <t>mvaviY fwel¨ Znwej</t>
  </si>
  <si>
    <t>Kj¨vY</t>
  </si>
  <si>
    <t>‡hŠ_ 
exgv</t>
  </si>
  <si>
    <t>evoxfvov</t>
  </si>
  <si>
    <t>M¨vm</t>
  </si>
  <si>
    <t xml:space="preserve">cvwb 
I
cqt </t>
  </si>
  <si>
    <t xml:space="preserve"> †cŠi
 Ki</t>
  </si>
  <si>
    <t xml:space="preserve">we`y¨r 
</t>
  </si>
  <si>
    <t>Mvox
fvov</t>
  </si>
  <si>
    <t>AvqKi</t>
  </si>
  <si>
    <t>mwgwZi
Puv`v</t>
  </si>
  <si>
    <t>ivR¯^
÷¨v¤ú</t>
  </si>
  <si>
    <t>1 w`‡bi †eZb KZ©b /ewa©Z †eZb KZ©b</t>
  </si>
  <si>
    <t>‡gvU
KZ©b</t>
  </si>
  <si>
    <t xml:space="preserve">‡KvW bs </t>
  </si>
  <si>
    <t>Puv`v</t>
  </si>
  <si>
    <t>cÖZ¨vnvi</t>
  </si>
  <si>
    <t xml:space="preserve">‡gvt †iRvDj Kwig           d‡UvMÖvdvi                      †¯‹j t 12500-30230/-     </t>
  </si>
  <si>
    <t>‡gvt  †iRvDj Kwig</t>
  </si>
  <si>
    <t>d‡UvMÖvdvi</t>
  </si>
  <si>
    <t>0124801015746</t>
  </si>
  <si>
    <t>wRwc   23/48</t>
  </si>
  <si>
    <t>2wU Bbwµ‡g›U eÜ _vK‡e | 2024,2025</t>
  </si>
  <si>
    <t>¯^‡`k P›`ª ivq
Kv‡c©›Uvi †MÖW-1
‡¯‹jt 12500-30230/-</t>
  </si>
  <si>
    <t>¯^‡`k P›`ª ivq</t>
  </si>
  <si>
    <t>Kv‡c©›Uvi †MÖW-1</t>
  </si>
  <si>
    <t>0124100089779</t>
  </si>
  <si>
    <t>wRwc       11/20</t>
  </si>
  <si>
    <t>‡gvt AvwZKzj Bmjvg
‡gwWK¨vj mnKvix
‡¯‹jt 12500-30230/-</t>
  </si>
  <si>
    <t>‡gvt AvwZKzj Bmjvg</t>
  </si>
  <si>
    <t>‡gwWK¨vj mnKvix</t>
  </si>
  <si>
    <t>0124801020072</t>
  </si>
  <si>
    <t>iwn` nvmvb ivRy 
Kw¤úDUvi Acv‡iUi
‡¯‹jt 12500-30230/-
‡hvM`vb : 03/02/206</t>
  </si>
  <si>
    <t xml:space="preserve">iwn` nvmvb ivRy 
</t>
  </si>
  <si>
    <t>Kw¤úDUvi Acv‡iUi</t>
  </si>
  <si>
    <t>0124801021365</t>
  </si>
  <si>
    <t>bvCg
Kw¤úDUvi Acv‡iUi
‡¯‹jt 12500-30230/-
‡hvM`vb : 13/04/206</t>
  </si>
  <si>
    <t>bvCg</t>
  </si>
  <si>
    <t>4435401017490</t>
  </si>
  <si>
    <t xml:space="preserve"> ‡gvt ev‡qwR` †nvmvBb
Awdm mnt Kvg Kw¤út Acv
†¯‹jt 11000-26590/-</t>
  </si>
  <si>
    <t>‡gvt ev‡qwR` †nvmvBb</t>
  </si>
  <si>
    <t>Awdm mnt Kvg Kw¤út Acvt</t>
  </si>
  <si>
    <t>0124801012680</t>
  </si>
  <si>
    <t>wRwc    18/48</t>
  </si>
  <si>
    <t xml:space="preserve">‡gvt †mv‡nj ivbv
Awdm mnt Kvgt Kw¤útAcvt
‡¯‹j t 11000-26590/- 
‡hvM`vb t 13/02/2024               </t>
  </si>
  <si>
    <t>‡gvt †mv‡nj ivbv</t>
  </si>
  <si>
    <t>Awdm mnt Kvgt Kw¤útAcvt</t>
  </si>
  <si>
    <t>0124801018391</t>
  </si>
  <si>
    <t xml:space="preserve">AvwZKzi ingvb dqmvj
Awdm mnt Kvgt Kw¤útAcvt
‡¯‹j t 11000-26590/-†hvM`vb t 13/02/2024                </t>
  </si>
  <si>
    <t>AvwZKzi ingvb dqmvj</t>
  </si>
  <si>
    <t>0124801020144</t>
  </si>
  <si>
    <t xml:space="preserve">wicb P›`ª miKvi
Awdm mnt Kvgt Kw¤útAcvt
‡¯‹j t 11000-26590/-   †hvM`vb t 13/02/2024              </t>
  </si>
  <si>
    <t>wicb P›`ª miKvi</t>
  </si>
  <si>
    <t>2116201052345</t>
  </si>
  <si>
    <t xml:space="preserve">†gvt †`‡jvqvi †nv‡mb
µvdU BÝUªv±i
‡¯‹jt 11000-26590/- </t>
  </si>
  <si>
    <t>†gvt †`‡jvqvi †nv‡mb</t>
  </si>
  <si>
    <t>µvdU BÝUªv±i</t>
  </si>
  <si>
    <t>0124100020553</t>
  </si>
  <si>
    <t xml:space="preserve">‡gvt nvwbd nvIjv`vi
µvdU BÝUªv±i
‡¯‹jt 11000-26590/- </t>
  </si>
  <si>
    <t>‡gvt nvwbd nvIjv`vi</t>
  </si>
  <si>
    <t>0124100062041</t>
  </si>
  <si>
    <t xml:space="preserve">‡gvt †nv‡mb †`Iqvb
µvdU BÝUªv±i
‡¯‹jt 11000-26590/- </t>
  </si>
  <si>
    <t>‡gvt †nv‡mb †`Iqvb</t>
  </si>
  <si>
    <t>0124100089708</t>
  </si>
  <si>
    <t>wRwc   18/48</t>
  </si>
  <si>
    <t xml:space="preserve">‡gvt eveyj wgqv
µvdU BÝUªv±i
‡¯‹jt 11000-26590/- </t>
  </si>
  <si>
    <t>‡gvt eveyj wgqv</t>
  </si>
  <si>
    <t>0124100089728</t>
  </si>
  <si>
    <t>wRwc      20/40</t>
  </si>
  <si>
    <t>G.‡K.Gg.gymv evnv`yi
µvdU BÝUªv±i
‡¯‹jt 11000-26590/-       †hvM`vb : 18/05/2022</t>
  </si>
  <si>
    <t>G.‡K.Gg.gymv evnv`yi</t>
  </si>
  <si>
    <t>0124801018488</t>
  </si>
  <si>
    <t>‡gv: MvDmyj Bmjvg
µvdU BÝUªv±i
‡¯‹jt 11000-26590/-       †hvM`vb : 18/05/2022</t>
  </si>
  <si>
    <t>‡gv: MvDmyj Bmjvg</t>
  </si>
  <si>
    <t>0124801018469</t>
  </si>
  <si>
    <t>‡gv: gvmy`
µvdU BÝUªv±i
‡¯‹jt 11000-26590/-       †hvM`vb : 18/05/2022</t>
  </si>
  <si>
    <t>‡gv: gvmy`</t>
  </si>
  <si>
    <t>0124801018490</t>
  </si>
  <si>
    <t>‡gv: ivnvZ Av‡idxb
µvdU BÝUªv±i
‡¯‹jt 11000-26590/-       †hvM`vb : 18/05/2022</t>
  </si>
  <si>
    <t>‡gv: ivnvZ Av‡idxb</t>
  </si>
  <si>
    <t>0124801018478</t>
  </si>
  <si>
    <t>‡gv: wgRvbyi ingvb
µvdU BÝUªv±i
‡¯‹jt 11000-26590/-       †hvM`vb : 18/05/2022</t>
  </si>
  <si>
    <t>‡gv: wgRvbyi ingvb</t>
  </si>
  <si>
    <t>0124801018485</t>
  </si>
  <si>
    <t>‡gv: nvweeyi ingvb
µvdU BÝUªv±i
‡¯‹jt 11000-26590/-      †hvM`vb : 18/05/2022</t>
  </si>
  <si>
    <t>‡gv: nvweeyi ingvb</t>
  </si>
  <si>
    <t>0124801018487</t>
  </si>
  <si>
    <t>wjsKz `vm
µvdU BÝUªv±i
‡¯‹jt 11000-26590/-       †hvM`vb : 18/05/2022</t>
  </si>
  <si>
    <t>wjsKz `vm</t>
  </si>
  <si>
    <t>0124801018481</t>
  </si>
  <si>
    <t>Avãyjøvn Avj Iqvnx`
µvdU BÝUªv±i
‡¯‹jt 11000-26590/-       †hvM`vb : 18/05/2022</t>
  </si>
  <si>
    <t>Avãyjøvn Avj Iqvnx`</t>
  </si>
  <si>
    <t>0124801018507</t>
  </si>
  <si>
    <t>dqmvj ingvb
µvdU BÝUªv±i
‡¯‹jt 11000-26590/-       †hvM`vb : 18/05/2022</t>
  </si>
  <si>
    <t>dqmvj ingvb</t>
  </si>
  <si>
    <t>0124801018466</t>
  </si>
  <si>
    <t>Avd‡ivRv LvZzb wjRv
µvdU BÝUªv±i
‡¯‹jt 11000-26590/-       †hvM`vb : 18/05/2022</t>
  </si>
  <si>
    <t>Avd‡ivRv LvZzb wjRv</t>
  </si>
  <si>
    <t>0124100053268</t>
  </si>
  <si>
    <t>‡gvt Ave`yj Avjxg
µvdU BÝUªv±i
‡¯‹jt 11000-26590/-</t>
  </si>
  <si>
    <t>‡gvt Ave`yj Avjxg</t>
  </si>
  <si>
    <t>0124100087811</t>
  </si>
  <si>
    <t>wRwc     11/48</t>
  </si>
  <si>
    <t>‡gvt mvnv`vr †nv‡mb g„av
µvdU BÝUªv±i
‡¯‹jt 11000-26590/-</t>
  </si>
  <si>
    <t>‡gvt mvnv`vr †nv‡mb g„av</t>
  </si>
  <si>
    <t>0124100066786</t>
  </si>
  <si>
    <t xml:space="preserve"> ‡gvt Ryev‡qi Avn‡g`
µvdU BÝUªv±i
†¯‹jt 11000-26590/-</t>
  </si>
  <si>
    <t>‡gvt Ryyev‡qi Avn‡g`</t>
  </si>
  <si>
    <t>¯‹xì IqvK©vi</t>
  </si>
  <si>
    <t>0124100091818</t>
  </si>
  <si>
    <t>wRwc     13/48</t>
  </si>
  <si>
    <t>‡gvt wejøvj †nv‡mb
µvdU BÝUªv±i
†¯‹jt 11000-26590/-</t>
  </si>
  <si>
    <t>‡gvt wejøvj †nv‡mb</t>
  </si>
  <si>
    <t>0124801012558</t>
  </si>
  <si>
    <t>‡gvt gvnvgy`yj nvQvb f‚Bqv   µvdU BÝUªv±i                  †¯‹jt 11000-26590/-</t>
  </si>
  <si>
    <t xml:space="preserve">‡gvt gvnvgy`yj nvQvb f~Bqv </t>
  </si>
  <si>
    <t>0124801013415</t>
  </si>
  <si>
    <t xml:space="preserve">‡gvt Avey gvmyg miKvi        µvdU BÝUªv±i  
†¯‹jt 11000-26590/-     </t>
  </si>
  <si>
    <t>‡gvt Avey gvmyg miKvi</t>
  </si>
  <si>
    <t>0124801012879</t>
  </si>
  <si>
    <t xml:space="preserve">Rbve †gvt Avwgbyj Bmjvg    µvdU BÝUªv±i                    †¯‹jt 11000-26590/-    </t>
  </si>
  <si>
    <t>‡gvt Avwgbyj Bmjvg</t>
  </si>
  <si>
    <t>0124801013432</t>
  </si>
  <si>
    <t>wRwc    19/45</t>
  </si>
  <si>
    <t xml:space="preserve"> †gvt Avwgbyi ingvb          µvdU BÝUªv±i              
†¯‹jt 11000-26590/-        </t>
  </si>
  <si>
    <t>‡gvt Avwgbyj ingvb</t>
  </si>
  <si>
    <t>0124801013297</t>
  </si>
  <si>
    <t>nvwmqv Av³vi
Awdm mnvqK †MªW-1
‡¯‹j t 11000-26590/-</t>
  </si>
  <si>
    <t>nvwmqv Av³vi</t>
  </si>
  <si>
    <t>Awdm mnvqK †MªW-1</t>
  </si>
  <si>
    <t>0124100063757</t>
  </si>
  <si>
    <t xml:space="preserve">Av‡kKzj Bmjvg 
 wnmveiÿK
‡¯‹j t 11000-26590/-   </t>
  </si>
  <si>
    <t>Av‡kKzj Bmjvg</t>
  </si>
  <si>
    <t xml:space="preserve">wnmveiÿK </t>
  </si>
  <si>
    <t>0124801014654</t>
  </si>
  <si>
    <t>wRwc   16/40</t>
  </si>
  <si>
    <t xml:space="preserve"> kviwgb Av³vi           
¯‹xì IqvK©vi
†¯‹j t 11000-26590/-        </t>
  </si>
  <si>
    <t>kviwgb Av³vi</t>
  </si>
  <si>
    <t>0124801015596</t>
  </si>
  <si>
    <t xml:space="preserve"> ‡gvt byiæ¾vgvb        
j¨ve mnKvix
†¯‹j t 11000-26590/-    †hvM`vbt 1/2/2024 Acivn   </t>
  </si>
  <si>
    <t xml:space="preserve"> ‡gvt byiæ¾vgvb   </t>
  </si>
  <si>
    <t>j¨ve mnKvix</t>
  </si>
  <si>
    <t>0124801020134</t>
  </si>
  <si>
    <t>wRwc         2/24</t>
  </si>
  <si>
    <t>BmgZ Aviv
eyK mU©vi †MÖW-1
‡¯‹j t 11000-26590</t>
  </si>
  <si>
    <t>BmgZ Aviv</t>
  </si>
  <si>
    <t>eyK mU©vi †MÖW-1</t>
  </si>
  <si>
    <t>0124100077928</t>
  </si>
  <si>
    <t xml:space="preserve"> †gvt Avt iwng
wmwbqi cøv¤^vi
†¯‹jt 11000-26590/-</t>
  </si>
  <si>
    <t>‡gvt Avt iwng</t>
  </si>
  <si>
    <t>wmwbqi cøv¤^vi</t>
  </si>
  <si>
    <t>0124801012768</t>
  </si>
  <si>
    <t>wRwc    25/46</t>
  </si>
  <si>
    <t>‡gvt mvwKj †nv‡mb nvIjv`vi
WªvBfvi ‡nfx †MÖW-13
‡¯‹jt 11000-26590/-</t>
  </si>
  <si>
    <t xml:space="preserve">‡gvt kvwKj †nv‡mb </t>
  </si>
  <si>
    <t>WªvBfvi ‡nfx †MÖW-3</t>
  </si>
  <si>
    <t>0124100093291</t>
  </si>
  <si>
    <t>ksKi gÛj
WªvBfvi †MÖW-13
‡¯‹jt 11000-26590/-</t>
  </si>
  <si>
    <t>ksKi gÛj</t>
  </si>
  <si>
    <t>WªvBfvi</t>
  </si>
  <si>
    <t>0124100093725</t>
  </si>
  <si>
    <t>Rbve †gvt wd‡ivR ikx`
bvm©
‡¯‹j t 11000-26590/-</t>
  </si>
  <si>
    <t>Rbve †gvt wd‡ivR ikx`</t>
  </si>
  <si>
    <t>bvm©</t>
  </si>
  <si>
    <t>124801020975</t>
  </si>
  <si>
    <t>‡Kvwnbyi †eMg
cwi”QbœZv Kgx©,‡MÖW-13
‡¯‹j t 11000-26590/-</t>
  </si>
  <si>
    <t>‡Kvwnbyi †eMg</t>
  </si>
  <si>
    <t>cwiQbœZv Kwg© †MÖW-2</t>
  </si>
  <si>
    <t>0124100045928</t>
  </si>
  <si>
    <t>‡gvt gwdRyi ingvb
Awdm mnvqK †MÖW-13
‡¯‹j t 11000-26590/-</t>
  </si>
  <si>
    <t>‡gvt gwdRyi ingvb</t>
  </si>
  <si>
    <t>Awdm mnvqK †MÖW-2</t>
  </si>
  <si>
    <t>0124100089789</t>
  </si>
  <si>
    <t>P›`ª‡jLv PvKgv
Awdm mnvqK †MÖW-13
‡¯‹j t 11000-26590/-</t>
  </si>
  <si>
    <t>P›`ª‡jLv PvKgv</t>
  </si>
  <si>
    <t>0124100031594</t>
  </si>
  <si>
    <t>‡gvt Ave`yj nvwjg
Awdm mnvqK †MÖW-13
‡¯‹j t 11000-26590/-</t>
  </si>
  <si>
    <t>‡gvt Ave`yj nvwjg</t>
  </si>
  <si>
    <t>0124100089375</t>
  </si>
  <si>
    <t>wRwc    23/34</t>
  </si>
  <si>
    <t>wbZvB Kzgvi `Ë
Awdm mnvqK †MÖW-13
‡¯‹j t 11000-26590/-</t>
  </si>
  <si>
    <t>wbZvB P›`ª `Ë</t>
  </si>
  <si>
    <t>0124100089486</t>
  </si>
  <si>
    <t>wRwc    12/48</t>
  </si>
  <si>
    <t>‡gvt ‡mwjg Avjx
Awdm mnvqK †MÖW-13
‡¯‹j t 11000-26590/-</t>
  </si>
  <si>
    <t>‡gvt ‡mwjg Avjx</t>
  </si>
  <si>
    <t>0124100089849</t>
  </si>
  <si>
    <t>wRwc    25/40</t>
  </si>
  <si>
    <t>‡gvt AvjvDwÏb dwKi
Awdm mnvqK †MÖW-13
‡¯‹j t 11000-26590/-</t>
  </si>
  <si>
    <t>‡gvt AvjvDwÏb dwKi</t>
  </si>
  <si>
    <t>0124100089869</t>
  </si>
  <si>
    <t>wRwc    2/40</t>
  </si>
  <si>
    <t>Lvqiæb †bQv
 Awdm mnvqK †MÖW -13
‡¯‹j t 11000-26590/-</t>
  </si>
  <si>
    <t>Lvqiæb †bQv</t>
  </si>
  <si>
    <t>0124100085651</t>
  </si>
  <si>
    <t>wRwc     18/40</t>
  </si>
  <si>
    <t>‡gvt iæûj Avwgb
gvjx †MÖW-13
‡¯‹j t 11000-26590/-</t>
  </si>
  <si>
    <t>‡gvt iæûj Avwgb</t>
  </si>
  <si>
    <t>gvjx †MÖW-2</t>
  </si>
  <si>
    <t>0124100089658</t>
  </si>
  <si>
    <t>‡gvt AvjvDwÏb
Awdm mnvqK †MÖW-13
‡¯‹j t 11000-26590/-</t>
  </si>
  <si>
    <t>‡gvt AvjvDwÏb</t>
  </si>
  <si>
    <t>0124100089919</t>
  </si>
  <si>
    <t>wRwc     7/20</t>
  </si>
  <si>
    <t>‡`ey iÄb `vm
cwi”QbœZv Kgx© †MÖW-13
‡¯‹j t 11000-26590/-</t>
  </si>
  <si>
    <t>‡`ey iÄb `vm</t>
  </si>
  <si>
    <t>0124100048271</t>
  </si>
  <si>
    <t>eyjeyj Av³vi
Awdm mnvqK †MÖW-13
‡¯‹j t  11000-26590/-</t>
  </si>
  <si>
    <t>eyjeyj Av³vi</t>
  </si>
  <si>
    <t>0124100089718</t>
  </si>
  <si>
    <t>‡gvt iwdKzj Bmjvg
µvdU BÝUªv±i                †¯‹j t11000-26590/-</t>
  </si>
  <si>
    <t>‡gvt iwdKzj Bmjvg</t>
  </si>
  <si>
    <t>0124801012561</t>
  </si>
  <si>
    <t>wRwc     20/20</t>
  </si>
  <si>
    <t xml:space="preserve">myRb P›`ª `vm                   µvdU BÝUªv±i                †¯‹j t11000-26590/-     </t>
  </si>
  <si>
    <t>myRb P›`ª `vm</t>
  </si>
  <si>
    <t>0124801013403</t>
  </si>
  <si>
    <t>wRwc    16/27</t>
  </si>
  <si>
    <t xml:space="preserve">gvKZzg                          µvdU BÝUªv±i                †¯‹j t11000-26590/-            </t>
  </si>
  <si>
    <t>gvKZzg</t>
  </si>
  <si>
    <t>0124801015565</t>
  </si>
  <si>
    <t>wRwc     3/45</t>
  </si>
  <si>
    <t>‡gvt Kvgvj †nv‡mb
WªvBfvi †MÖW-3
‡¯‹jt 10200-24680/</t>
  </si>
  <si>
    <t>‡gvt Kvgvj †nv‡mb</t>
  </si>
  <si>
    <t>WªvBfvi †MÖW-3</t>
  </si>
  <si>
    <t>0124801012118</t>
  </si>
  <si>
    <t xml:space="preserve"> †gvt wQwÏKzi ingvb  WªvBfvi(jvBU) †MÖW-3                ‡¯‹jt 10200-24680/               </t>
  </si>
  <si>
    <t>‡gvt wQwÏKzi ingvb</t>
  </si>
  <si>
    <t xml:space="preserve">WªvBfvi(jvBU) †MÖW-3  </t>
  </si>
  <si>
    <t>0124801013989</t>
  </si>
  <si>
    <t xml:space="preserve">‡gvt wgRvbyi ingvb wmK`vi   WªvBfvi(jvBU) †MÖW-3 
‡¯‹jt 10200-24680/      </t>
  </si>
  <si>
    <t>‡gvt wgRvbyi ingvb wmK`vi</t>
  </si>
  <si>
    <t>0124801014000</t>
  </si>
  <si>
    <t xml:space="preserve">‡gvt Ryjnvm ZvjyK`vi            WªvBfvi(jvBU)   †MÖW-3                ‡¯‹jt 10200-24680/         </t>
  </si>
  <si>
    <t>Ryjnvm ZvjyK`vi</t>
  </si>
  <si>
    <t>0124801015070</t>
  </si>
  <si>
    <t xml:space="preserve"> †gvt evey wgqv
WªvBfvi †MÖW-3
‡¯‹jt 9700-23490/-</t>
  </si>
  <si>
    <t>‡gvt evey wgqv</t>
  </si>
  <si>
    <t>0124801012676</t>
  </si>
  <si>
    <t>wRwc             29/48</t>
  </si>
  <si>
    <t>¸iæ `Û kvw¯Í wnmv‡e †eZb‡MÖW1avc Aegvbb Ges 03 eQiAve×2025,2026,2027</t>
  </si>
  <si>
    <t>‡gvt dviæK  wgqv
WªvBfvi (†nfx)
‡¯‹j t 9700-23490/-
‡hvM`vb t 21/1/2024</t>
  </si>
  <si>
    <t>‡gvt dviæK  wgqv</t>
  </si>
  <si>
    <t>WªvBfvi (†nfx)</t>
  </si>
  <si>
    <t>0124801020080</t>
  </si>
  <si>
    <t>‡gvt Rwmg nvIjv`vi
WªvBfvi (†nfx)
‡¯‹j t 9700-23490/-
‡hvM`vb t 05/10/2025</t>
  </si>
  <si>
    <t>‡gvt Rwmg nvIjv`vi</t>
  </si>
  <si>
    <t>0124801021174</t>
  </si>
  <si>
    <t>‡gvt gvmyg nvIjv`vi
WªvBfvi (†nfx)
‡¯‹j t 9700-23490/-
‡hvM`vb t 05/10/2025</t>
  </si>
  <si>
    <t>‡gvt gvmyg nvIjv`vi</t>
  </si>
  <si>
    <t>0124801021173</t>
  </si>
  <si>
    <t>‡gvt dviæK †nv‡mb-2
Awdm mnvqK †MÖW-2
‡¯‹j t 9700-23490/-</t>
  </si>
  <si>
    <t>‡gvt dviæK †nv‡mb-2</t>
  </si>
  <si>
    <t>0124801012549</t>
  </si>
  <si>
    <t>mvBgyb ‡ecvix                 †÷vi G‡UÛ: ‡MÖW-2          †¯‹j: 9700-23490/-</t>
  </si>
  <si>
    <t>mvBgyb †ecvix</t>
  </si>
  <si>
    <t>†÷vi G‡UÛ: ‡MÖW-2</t>
  </si>
  <si>
    <t>0124801012960</t>
  </si>
  <si>
    <t xml:space="preserve"> wRwc    11/25</t>
  </si>
  <si>
    <t xml:space="preserve">‡gvt eveyj Avn‡g`
Awdm mnvqK ‡MÖW-2
†¯‹jt 9700-23490/-                  </t>
  </si>
  <si>
    <t>‡gvt eveyj Avn‡g`</t>
  </si>
  <si>
    <t>Awdm mnvqK ‡MÖW-2</t>
  </si>
  <si>
    <t>0124801014639</t>
  </si>
  <si>
    <t>wRwc     10/20</t>
  </si>
  <si>
    <t xml:space="preserve">‡ZvRvg †nv‡mb
Awdm mnvqK ‡MÖW-2
†¯‹jt 9700-23490/-           </t>
  </si>
  <si>
    <t>‡ZRvg †nv‡mb</t>
  </si>
  <si>
    <t>0124801015102</t>
  </si>
  <si>
    <t>†gvt Rv‡q` †nvmvBb
Awdm mnvqK †MÖW-15
‡¯‹j t 9700-23490/-</t>
  </si>
  <si>
    <t>‡gvt Rv‡q` †nvmvBb</t>
  </si>
  <si>
    <t>Awdm mnvqK †MÖW-3</t>
  </si>
  <si>
    <t>0124801012546</t>
  </si>
  <si>
    <t>wRwc   2/30</t>
  </si>
  <si>
    <t>†gvt kixd †nv‡mb
Awdm mnvqK †MÖW-15
‡¯‹j t 9700-23490/-</t>
  </si>
  <si>
    <t>‡gvt kixd †nv‡mb</t>
  </si>
  <si>
    <t>0124801012557</t>
  </si>
  <si>
    <t xml:space="preserve">‡gvt iwdKzj Bmjvg  
Awdm mnvqK †MÖW-15              
†¯‹jt 9700-23490/-                        </t>
  </si>
  <si>
    <t xml:space="preserve"> †gvt iwdKzj Bmjvg</t>
  </si>
  <si>
    <t xml:space="preserve">Awdm mnvqK †MÖW-3  </t>
  </si>
  <si>
    <t>0124801013783</t>
  </si>
  <si>
    <t>wRwc      8/48</t>
  </si>
  <si>
    <t xml:space="preserve">‡gvt e`iæj Avwgb        
Awdm mnvqK †MÖW-15
†¯‹jt 9700-23490/-    </t>
  </si>
  <si>
    <t>‡gvt e`iæj Avwgb</t>
  </si>
  <si>
    <t>0124801014642</t>
  </si>
  <si>
    <t xml:space="preserve">‡gvt Avjx †nv‡mb
wmwKDwiwU MvW© †MÖW-15
†¯‹jt 9700-23490/-                </t>
  </si>
  <si>
    <t>‡gvt Avjx ‡nv‡mb</t>
  </si>
  <si>
    <t>wmwKDwiwU MvW© †MÖW-3</t>
  </si>
  <si>
    <t>0124801014646</t>
  </si>
  <si>
    <t xml:space="preserve">‡gvt ‡mv‡nj ivbv Lvb
wmwKDwiwU MvW© †MÖW-15
†¯‹jt 9700-23490/-              </t>
  </si>
  <si>
    <t>‡gvt  †mv‡nj ivbv Lvb</t>
  </si>
  <si>
    <t>0124801014636</t>
  </si>
  <si>
    <t xml:space="preserve"> </t>
  </si>
  <si>
    <t>wRwc      5/48</t>
  </si>
  <si>
    <t>‡gvt wgRvbyi ingvb
Awdm mnvqK †MÖW-15
‡¯‹j t 9700-23490/-</t>
  </si>
  <si>
    <t>‡gvt wgRvbyi ingvb</t>
  </si>
  <si>
    <t>0124100091888</t>
  </si>
  <si>
    <t>wRwc     7/40</t>
  </si>
  <si>
    <t>‡gvt b~i Bmjvg (Ry‡qj)
Awdm mnvqK †MÖW-15
‡¯‹j t 9700-23490/-</t>
  </si>
  <si>
    <t>‡gvt b~i-Bmjvg Ry‡qj</t>
  </si>
  <si>
    <t>0124801012563</t>
  </si>
  <si>
    <t>‡gvt dviæK †nv‡mb-1
Awdm mnvqK †MÖW-15
‡¯‹j t 9700-23490/-</t>
  </si>
  <si>
    <t>‡gvt dviæK †nv‡mb-1</t>
  </si>
  <si>
    <t>0124801012543</t>
  </si>
  <si>
    <t>wRwc    11/48</t>
  </si>
  <si>
    <t>‡gvt Rvgvj dwKi
Awdm mnvqK †MÖW-15
‡¯‹j t 9700-23490/-</t>
  </si>
  <si>
    <t>‡gvt Rvgvj dwKi</t>
  </si>
  <si>
    <t>0124801012547</t>
  </si>
  <si>
    <t>wRwc 8/48</t>
  </si>
  <si>
    <t>†gvt wjqvKZ Avjx
Awdm mnvqK †MÖW-15
‡¯‹j t 9700-23490/-</t>
  </si>
  <si>
    <t>‡gvt wjqvKZ Avjx</t>
  </si>
  <si>
    <t>0124801012545</t>
  </si>
  <si>
    <t>wRwc     6/48</t>
  </si>
  <si>
    <t>‡gvt Rûiæj Bmjvg
 Awdm mnvqK †MÖW-15
‡¯‹j t 9700-23490/-</t>
  </si>
  <si>
    <t>‡gvt Rûiæj Bmjvg</t>
  </si>
  <si>
    <t>0124801012562</t>
  </si>
  <si>
    <t>‡gvt Ry‡qj
Awdm mnvqK †MÖW-15
‡¯‹j t 9700-23490/-</t>
  </si>
  <si>
    <t>‡gvt Ry‡qj</t>
  </si>
  <si>
    <t>0124801012548</t>
  </si>
  <si>
    <t>w`jxc P›`ª `vm
cwi”QbœZv Kgx©  †MÖW-15      †¯‹j: 9700-23490/-</t>
  </si>
  <si>
    <t>w`wjc P›`ª `vm</t>
  </si>
  <si>
    <t>cwi”QbœZv Kgx©  †MÖW-3</t>
  </si>
  <si>
    <t>0124801012570</t>
  </si>
  <si>
    <t>wRwc  33/40</t>
  </si>
  <si>
    <t>k¨vgj P›`ª `vm
cwi”QbœZv Kgx© ‡MÖW- 15 
†¯‹j: 9700-23490/-</t>
  </si>
  <si>
    <t>k¨vgj P›`ª `vm</t>
  </si>
  <si>
    <t>0124801012571</t>
  </si>
  <si>
    <t>†gv: KvIQvi nvIjv`vi     cwiQbœZv Kg©x ‡MÖW- 15        †¯‹j: 9700-23490/-</t>
  </si>
  <si>
    <t>‡gvt KvIQvi nvj`vi</t>
  </si>
  <si>
    <t xml:space="preserve">cwiQbœZv Kg©x ‡MÖW-3 </t>
  </si>
  <si>
    <t>0124801012956</t>
  </si>
  <si>
    <t xml:space="preserve">‡gvt ‡gveviK †nv‡mb
wmwKDwiwU MvW© †MÖW-15
†¯‹jt 9700-23490/-             </t>
  </si>
  <si>
    <t xml:space="preserve">‡gvt  †gvev‡iK †nv‡mb </t>
  </si>
  <si>
    <t>0124801012751</t>
  </si>
  <si>
    <t xml:space="preserve"> gvmy` ivbv                 B‡jKwUªwkqvb                      †¯‹j t 9300-22490/-                    </t>
  </si>
  <si>
    <t>gvmy`v ivbv</t>
  </si>
  <si>
    <t>B‡jKwUªwkqvb</t>
  </si>
  <si>
    <t>0124801014071</t>
  </si>
  <si>
    <t>wRwc      17/20</t>
  </si>
  <si>
    <t xml:space="preserve">          4_© †kÖbx t</t>
  </si>
  <si>
    <t>†gvnv¤§` BDmyd AvL›`
¯‹xì IqvK©vi
†¯‹jt 9000-21800/-</t>
  </si>
  <si>
    <t>‡gvnv¤§` BDmyd AvL›`</t>
  </si>
  <si>
    <t>0124801012578</t>
  </si>
  <si>
    <t>wRwc     18/48</t>
  </si>
  <si>
    <t>‡gvt b~i-G-Avjg
eyK mU©vi †MÖW-17
‡¯‹j t 9000-21800/-</t>
  </si>
  <si>
    <t>‡gvt b~yi-G-Avjg</t>
  </si>
  <si>
    <t>eyK mU©vi †MÖW-3</t>
  </si>
  <si>
    <t>0124801012539</t>
  </si>
  <si>
    <t>wRwc      10/48</t>
  </si>
  <si>
    <t xml:space="preserve">mvgwqK eiLv¯Í   25/3/2025 †_‡K </t>
  </si>
  <si>
    <t xml:space="preserve">‡gvt AvgRv` †nv‡mb
wmwKDwiwU MvW©-17
†¯‹jt 9000-21800/-               </t>
  </si>
  <si>
    <t>‡gvt AvgRv` †nv‡mb</t>
  </si>
  <si>
    <t>0124801014139</t>
  </si>
  <si>
    <t xml:space="preserve">‡gvt ‡gvRv‡¤§j nK
wmwKDwiwU MvW© †MÖW-17
†¯‹jt 9000-21800/-    </t>
  </si>
  <si>
    <t>‡gvt  †gvRv‡¤§j nK</t>
  </si>
  <si>
    <t>0124801012752</t>
  </si>
  <si>
    <t xml:space="preserve">‡LvKb wgqv
wmwKDwiwU MvW©†MÖW-17
†¯‹jt 9000-21800/-      </t>
  </si>
  <si>
    <t>‡LvKb wgqv</t>
  </si>
  <si>
    <t>0124801015080</t>
  </si>
  <si>
    <t>bRgyj nK (w`cy)
®‹xì IqvK©vi
‡¯‹j t 9000-21800/-</t>
  </si>
  <si>
    <t>bRgyj nK (`xcy)</t>
  </si>
  <si>
    <t>IqvK©mc G‡Ub‡W›U</t>
  </si>
  <si>
    <t>0124801012553</t>
  </si>
  <si>
    <t xml:space="preserve">†gv: Avwgbyj Bmjvg           ev‡mi †njcvi ‡MÖW-17           †¯‹j: 9000-21800/-    </t>
  </si>
  <si>
    <t>ev‡mi †njcvi</t>
  </si>
  <si>
    <t>0124801012961</t>
  </si>
  <si>
    <t xml:space="preserve">†gv: Rvdi wgqv                 cwiQbœZv Kg©x  ‡MÖW-17    †¯‹j t 9000-21800/-                                                                                                    </t>
  </si>
  <si>
    <t>‡gvt Rvdi wgqv</t>
  </si>
  <si>
    <t>cwiQbœZv Kgx©</t>
  </si>
  <si>
    <t>0124801012966</t>
  </si>
  <si>
    <t xml:space="preserve">kÖx `xcK P›`ª `vm             cwiQbœZv Kg©x   †MÖW-17
 †¯‹j: 9000-21800/-         </t>
  </si>
  <si>
    <t>kÖx `xcK P›`ª `vm</t>
  </si>
  <si>
    <t>0124801013364</t>
  </si>
  <si>
    <t xml:space="preserve">‡gvt nvwee Djøvn
Awdm mnvqK †MÖW-17
†¯‹jt 9000-21800/-       </t>
  </si>
  <si>
    <t>‡gvt nvwee Djøvn</t>
  </si>
  <si>
    <t>Awdm mnvqK</t>
  </si>
  <si>
    <t>0124801015593</t>
  </si>
  <si>
    <t xml:space="preserve">‡gvt byi Avjg
Awdm mnvqK ‡MÖW-17
†¯‹jt 9000-21800/-        </t>
  </si>
  <si>
    <t>‡gvt byiæ Avjg</t>
  </si>
  <si>
    <t>Awdm mnvqK ‡MÖW-3</t>
  </si>
  <si>
    <t>0124801015506</t>
  </si>
  <si>
    <t xml:space="preserve">‡gvt Avt Kv‡`i
wmwKDwiwU MvW©  ‡MÖW- 17      †¯‹jt 9000-21800/-         </t>
  </si>
  <si>
    <t>‡gvt Avt Kv‡`i</t>
  </si>
  <si>
    <t>wmwKDwiwU MvW©</t>
  </si>
  <si>
    <t>0124801014637</t>
  </si>
  <si>
    <t xml:space="preserve">‡gvt Kvgiæj Bmjvg †`Iqvb
wmwKDwiwU MvW© †MÖW-17
†¯‹jt 9000-21800/-          </t>
  </si>
  <si>
    <t>‡gvt Kvgiæj Bmjvg †`Iqvb</t>
  </si>
  <si>
    <t>0124801014653</t>
  </si>
  <si>
    <t>wRwc
  29/48</t>
  </si>
  <si>
    <t xml:space="preserve">‡iqvR DwÏb
Awdm mnvqK †MÖW-17
†¯‹jt 9000-21800/-         </t>
  </si>
  <si>
    <t>‡iqvR DwÏb</t>
  </si>
  <si>
    <t>0124801013642</t>
  </si>
  <si>
    <t xml:space="preserve"> †ivRvj nvmvb                 IqvK©kc G‡Ub‡W›U         †¯‹jt 8500-20570/-         </t>
  </si>
  <si>
    <t xml:space="preserve">‡ivRvj nvmvb </t>
  </si>
  <si>
    <t>0124801014442</t>
  </si>
  <si>
    <t xml:space="preserve">‡gvt iægvb
KzK
†¯‹jt 8500-20570/-     </t>
  </si>
  <si>
    <t>‡gvt iægvb</t>
  </si>
  <si>
    <t>0124801019753</t>
  </si>
  <si>
    <t xml:space="preserve">‡gvt gvwdRyi Bmjvg
KzK
†¯‹jt 8500-20570/-         </t>
  </si>
  <si>
    <t>‡gvt gvwdRyi Bmjvg</t>
  </si>
  <si>
    <t>KzK</t>
  </si>
  <si>
    <t>0124801014129</t>
  </si>
  <si>
    <t xml:space="preserve">mvÏvg †nvmvBb
KzK
†¯‹jt 8500-20570/-         </t>
  </si>
  <si>
    <t>mvÏvg †nvmvBb</t>
  </si>
  <si>
    <t>0124801020988</t>
  </si>
  <si>
    <t xml:space="preserve"> mvw`qv myjZvbv 
IqvK©kc G‡Ub‡W›U         †¯‹jt 8500-20570/-         </t>
  </si>
  <si>
    <t xml:space="preserve">mvw`qv myjZvbv </t>
  </si>
  <si>
    <t>IqvK©kc G‡Ub‡W›U</t>
  </si>
  <si>
    <t>0107301012246</t>
  </si>
  <si>
    <t xml:space="preserve"> ZwiKzj Bmjvg
j¨ve G‡Ub‡W›U        
 †¯‹jt 8500-20570/-         </t>
  </si>
  <si>
    <t>ZwiKzj Bmjvg</t>
  </si>
  <si>
    <t xml:space="preserve">j¨ve G‡Ub‡W›U  </t>
  </si>
  <si>
    <t>0124801021149</t>
  </si>
  <si>
    <t xml:space="preserve"> ‡gvt ivRxe †nv‡mb 
IqvK©kc G‡Ub‡W›U      
 †¯‹jt 8500-20570/-         </t>
  </si>
  <si>
    <t xml:space="preserve"> ‡gvt ivRxe †nv‡mb </t>
  </si>
  <si>
    <t xml:space="preserve">IqvK©kc G‡Ub‡W›U </t>
  </si>
  <si>
    <t>0124801021155</t>
  </si>
  <si>
    <t xml:space="preserve"> ‡gvt ‡ejvj †nv‡mb
IqvK©kc G‡Ub‡W›U      
 †¯‹jt 8500-20570/-
‡hvM`vb : 01/03/2026         </t>
  </si>
  <si>
    <t xml:space="preserve"> ‡gvt ‡ejvj †nv‡mb
         </t>
  </si>
  <si>
    <t xml:space="preserve">IqvK©kc G‡Ub‡W›U  </t>
  </si>
  <si>
    <t>0124801021374</t>
  </si>
  <si>
    <t>‡gvt myRb †gvjøv              IqvK©kc G‡Ub‡W›U     
 ‡¯‹j t 8250-20010/-</t>
  </si>
  <si>
    <t>‡gvt myRb †gvjøv</t>
  </si>
  <si>
    <t>0124801012573</t>
  </si>
  <si>
    <t xml:space="preserve">‡gvt LvBiæj Bmjvg
Awdm mnvqK
†¯‹jt 8250-20010/-   
‡hvM`vbt 13/02/2024   </t>
  </si>
  <si>
    <t>‡gvt LvBiæj Bmjvg</t>
  </si>
  <si>
    <t>0124801020154</t>
  </si>
  <si>
    <t xml:space="preserve">n`q wiKgb
Awdm mnvqK
†¯‹jt 8250-20010/-      </t>
  </si>
  <si>
    <t>n`q wiKgb</t>
  </si>
  <si>
    <t>0124801012620</t>
  </si>
  <si>
    <t xml:space="preserve">‡gvt gwgb wgqv
Awdm mnvqK
†¯‹jt 8250-20010/-   †hvM`vbt 13/02/2024    </t>
  </si>
  <si>
    <t>‡gvt gwgb wgqv</t>
  </si>
  <si>
    <t>0124801018236</t>
  </si>
  <si>
    <t xml:space="preserve">‡gvt eveyj †nv‡mb 
Awdm mnvqK
†¯‹jt 8250-20010/-    </t>
  </si>
  <si>
    <t xml:space="preserve">‡gvt eveyj †nv‡mb </t>
  </si>
  <si>
    <t>0124801014145</t>
  </si>
  <si>
    <t xml:space="preserve">nvmvb wgqv
Awdm mnvqK
†¯‹jt 8250-20010/- 
‡hvM`vb : 29/04/2026   </t>
  </si>
  <si>
    <t>nvmvb wgqv</t>
  </si>
  <si>
    <t>0124801021442</t>
  </si>
  <si>
    <t xml:space="preserve">‡gvt Rwniæj Bmjvg(2)
Awdm mnvqK
†¯‹jt 8250-20010/- 
‡hvM`vb : 03/05/2026   </t>
  </si>
  <si>
    <t>‡gvt Rwniæj Bmjvg(2)</t>
  </si>
  <si>
    <t>0124801021446</t>
  </si>
  <si>
    <t xml:space="preserve">‡gvt mvBdzjøvn&amp;
wmwKDwiwU MvW©
†¯‹jt 8250-20010/-   †hvM`vbt 13/02/2024    </t>
  </si>
  <si>
    <t>‡gvt mvBdzjøvn&amp;</t>
  </si>
  <si>
    <t>0124801020162</t>
  </si>
  <si>
    <t xml:space="preserve">Aveyj Kvjvg
wmwKDwiwU MvW©
†¯‹jt 8250-20010/-   †hvM`vbt 13/02/2024    </t>
  </si>
  <si>
    <t>Aveyj Kvjvg</t>
  </si>
  <si>
    <t>0124801014111</t>
  </si>
  <si>
    <t xml:space="preserve">‡gvt kvIb KvRx
wmwKDwiwU MvW©
†¯‹jt 8250-20010/-   †hvM`vbt 01/07/2025  </t>
  </si>
  <si>
    <t>‡gvt kvIb KvRx</t>
  </si>
  <si>
    <t>0124801020974</t>
  </si>
  <si>
    <t xml:space="preserve">‡gvt ZvwiKzj Bmjvg
wmwKDwiwU MvW©
†¯‹jt 8250-20010/-   †hvM`vbt 01/07/2025  </t>
  </si>
  <si>
    <t>‡gvt ZvwiKzj Bmjvg</t>
  </si>
  <si>
    <t>0124801020979</t>
  </si>
  <si>
    <t xml:space="preserve">‡gvt wgivR †nv‡mb
wmwKDwiwU MvW©
†¯‹jt 8250-20010/-   †hvM`vbt 01/07/2025  </t>
  </si>
  <si>
    <t>‡gvt wgivR †nv‡mb</t>
  </si>
  <si>
    <t>0124801020973</t>
  </si>
  <si>
    <t xml:space="preserve">‡gvt ûgvqyb Kwei 
wmwKDwiwU MvW©
†¯‹jt 8250-20010/-   †hvM`vbt 29/04/2026  </t>
  </si>
  <si>
    <t xml:space="preserve">‡gvt ûgvqyb Kwei </t>
  </si>
  <si>
    <t>0124801014091</t>
  </si>
  <si>
    <t xml:space="preserve">                                                   </t>
  </si>
  <si>
    <t>wkÿK‡`i †eZb fvZvi wej Ryb - 2026|</t>
  </si>
  <si>
    <t>µtbs</t>
  </si>
  <si>
    <t>bvg I c`ex</t>
  </si>
  <si>
    <t xml:space="preserve">  </t>
  </si>
  <si>
    <t>cÖvwß mg~n</t>
  </si>
  <si>
    <t>KZ©b mg~n</t>
  </si>
  <si>
    <t>bxU `vex</t>
  </si>
  <si>
    <t>c`ex</t>
  </si>
  <si>
    <t>wnmve bs</t>
  </si>
  <si>
    <t>g~j‡eZb</t>
  </si>
  <si>
    <t>wPwKrmv
 fvZv</t>
  </si>
  <si>
    <t>Avc¨vqb/
we‡kl 
fvZv</t>
  </si>
  <si>
    <t>`vwqZ¡fvi
 fvZv</t>
  </si>
  <si>
    <t>†Uwj‡dvb
/†gvevBj 
fvZv</t>
  </si>
  <si>
    <t>wk¶v mnvqK 
fvZv</t>
  </si>
  <si>
    <t>†gvU †eZb</t>
  </si>
  <si>
    <t>wRwc dvÛ
Puv`v</t>
  </si>
  <si>
    <t>Kj¨vY 
Znwej</t>
  </si>
  <si>
    <t>‡hŠ_
exgv</t>
  </si>
  <si>
    <t>evox fvov</t>
  </si>
  <si>
    <t>M¨vm
wej</t>
  </si>
  <si>
    <t>cvwb
 I 
cqtKi</t>
  </si>
  <si>
    <t>‡cŠi 
Ki</t>
  </si>
  <si>
    <t>we`y¨r 
wej</t>
  </si>
  <si>
    <t>Mvox 
fvov/Kvi PvR©</t>
  </si>
  <si>
    <t>mwgwZi Puv`v</t>
  </si>
  <si>
    <t>ivR¯^ 
÷¨v¤ú</t>
  </si>
  <si>
    <t xml:space="preserve">1 w`‡bi †eZb KZ©b/ †W †Kqvi  Gi Rb¨ KZ©b </t>
  </si>
  <si>
    <t>‡gvU KZ©b</t>
  </si>
  <si>
    <t>AwMÖg 
cÖZ¨vnvi</t>
  </si>
  <si>
    <t>Aa¨vcK</t>
  </si>
  <si>
    <t>Aa¨vcK W. †gvt Ryjnvm DwÏb
fvBm P¨v‡Ýji 
†¯‹jt 78000/-
wefvMt I‡qU cÖ‡mm BwÄwbqvwis</t>
  </si>
  <si>
    <t>Aa¨vcK W. †gvt Ryjnvm DwÏb</t>
  </si>
  <si>
    <t>fvBm P¨v‡Ýji</t>
  </si>
  <si>
    <t>0124100020088</t>
  </si>
  <si>
    <t xml:space="preserve">         
cÖvwaKvi Mvox</t>
  </si>
  <si>
    <t xml:space="preserve">Aa¨vcK W. kvn Avwjgy¾vgvb             
Aa¨vcK
‡¯‹jt 78000/-
wefvMt †dweªK BwÄwbqvwis
</t>
  </si>
  <si>
    <t>W. kvn-Avwjgy¾vgvb</t>
  </si>
  <si>
    <t xml:space="preserve">Aa¨vcK </t>
  </si>
  <si>
    <t>0124100010352</t>
  </si>
  <si>
    <t>Aa¨vcK W. †mL ‡gvt gwgbyj Avjg     Aa¨vcK I we:cÖ 
‡¯‹jt 78000/-
wefvMt ‡U·: †gwkbvwi wWRvBb GÛ ‡gBb</t>
  </si>
  <si>
    <t>W. †mL †gvt gwgbyj Avjg</t>
  </si>
  <si>
    <t>0124100040385</t>
  </si>
  <si>
    <t>W. ‡gvt gwkDi ingvb Luvb               Aa¨vcK  I  cwiPvjK(wk: Kj¨vb)
‡¯‹jt 78000/-
wefvMt G¨vcv‡ij BwÄwbqvwis</t>
  </si>
  <si>
    <t>W. †gvt gwkDi ingvb Lvub</t>
  </si>
  <si>
    <t>0124100022027</t>
  </si>
  <si>
    <t>W. †nvm‡b Aviv †eMg
 Aa¨vcK  Ges cwiPvjK (M‡elbv I m¤úªmviY)
‡¯‹jt  66000-76490/-
wefvMt BqvY©  BwÄwbqvwis</t>
  </si>
  <si>
    <t>W. †nvm‡b Aviv †eMg</t>
  </si>
  <si>
    <t>0124100023603</t>
  </si>
  <si>
    <t>W. bviMxm Rvnvb Aviv                   Aa¨vcK  I wefvMxq cÖavY 
‡¯‹jt  78000/-</t>
  </si>
  <si>
    <t>W. bviwMm Rvnvb Aviv</t>
  </si>
  <si>
    <t>0124100023956</t>
  </si>
  <si>
    <t>`vwqZ¡fvZv AvMvgxgv‡m wWwjU n‡e |</t>
  </si>
  <si>
    <t xml:space="preserve">W. †gvnv¤§` Avjx
 Aa¨vcK  Ges we: cÖavb
‡¯‹jt  78000/-
wefvMt AvBwcB
</t>
  </si>
  <si>
    <t>W. †gvnv¤§` Avjx</t>
  </si>
  <si>
    <t>0124100030692</t>
  </si>
  <si>
    <t>W. ‡gvt dinv` †nv‡mb
Aa¨vcK I  wefvMxq cÖavb
‡¯‹jt 66000-76490/-
wefvMt WvBR GÛ †KwgK¨vj BwÄwbqvwis</t>
  </si>
  <si>
    <t>W. ‡gvt dinv` †nv‡mb</t>
  </si>
  <si>
    <t>0124100067967</t>
  </si>
  <si>
    <t>wRwc     14/48</t>
  </si>
  <si>
    <t xml:space="preserve">W.kidzb bvnvi AviRy
 Aa¨vcK I cwiPvjK GwµWvB‡UW 
‡¯‹jt 66000-76490/-
wefvMt I‡qU cÖ‡mm BwÄwbqvwis
</t>
  </si>
  <si>
    <t>W.kidzb bvnvi AviRy</t>
  </si>
  <si>
    <t>0124100031398</t>
  </si>
  <si>
    <t>wRwc        22/48</t>
  </si>
  <si>
    <t xml:space="preserve">W. D¤§yj Lv‡qi dv‡Zgv
Aa¨vcK I wefvMxq cÖavb
‡¯‹jt 66000-76490/-
wefvMt Gbfvqib †g›Uvj mv‡qÝ
</t>
  </si>
  <si>
    <t>W. D¤§yj Lv‡qi dv‡Zgv</t>
  </si>
  <si>
    <t>0124100087074</t>
  </si>
  <si>
    <t>W.‡gvt gvmyg
 Aa¨vcK I wefvMxq cÖavb
‡¯‹jt 56500-74400/-
wefvMt †U·UvBj BwÄ: g¨v‡bR‡g›U</t>
  </si>
  <si>
    <t>W.‡gvt gvmyg</t>
  </si>
  <si>
    <t>0124100088406</t>
  </si>
  <si>
    <t xml:space="preserve">W.†gvt Avnmvb nvexe
 Aa¨vcK  I  WxbGes cwi: AvBwKDGwmGes( cÖ‡fv÷ AvwRR nj)
‡¯‹jt 56500-74400/-
wefvMt †U·UvBj BwÄ: g¨v‡bR‡g›U
</t>
  </si>
  <si>
    <t>W.†gvt Avnmvb nvexe</t>
  </si>
  <si>
    <t xml:space="preserve"> Aa¨vcK</t>
  </si>
  <si>
    <t>0124100085742</t>
  </si>
  <si>
    <t>wRwc    7/40</t>
  </si>
  <si>
    <t xml:space="preserve"> W.†gvt mvwgDj Bmjvg †PŠayix            Aa¨vcK  Ges Wxb
  ‡¯‹jt 56500-74400/-
wefvMt imvqb</t>
  </si>
  <si>
    <t xml:space="preserve"> W.†gvt mvwgDj Bmjvg †PŠayix</t>
  </si>
  <si>
    <t>0124100092373</t>
  </si>
  <si>
    <t>AvMvgx gv‡m `vwqZ¡ fvZv Wxb fvZv  wWwjU  n‡e |</t>
  </si>
  <si>
    <t>W.KvwbR dvinvbv
Aa¨vcK I wefvMxq cÖavY
‡¯‹jt 56500-74400/-</t>
  </si>
  <si>
    <t>W.KvwbR dvinvbv</t>
  </si>
  <si>
    <t>0124100058589</t>
  </si>
  <si>
    <t>wRwc     22/48</t>
  </si>
  <si>
    <t>wkíx Av³vi
 Aa¨vcK I cwi: (ewniv½b) Ges Wxb 
‡¯‹jt 56500-74400/-
wefvMt ‡dweªK BwÄwbqvwis</t>
  </si>
  <si>
    <t>wkwí Av³vi</t>
  </si>
  <si>
    <t>0124100085156</t>
  </si>
  <si>
    <t>W. nvwmbv AvLZvi
 Aa¨vcK  Ges Wxb 
†¯‹jt 56500-74400/</t>
  </si>
  <si>
    <t>W. nvwmbv AvLZvi</t>
  </si>
  <si>
    <t>0124100096531</t>
  </si>
  <si>
    <t>AvMvgx gv‡m Wxb fvZv c~Y© n‡e |</t>
  </si>
  <si>
    <t>W. ‡gvt mvB`y¾vgvb
Aa¨vcK 
‡¯‹jt 56500-74400/</t>
  </si>
  <si>
    <t>W. ‡gvt mvB`y¾vgvb</t>
  </si>
  <si>
    <t>0124100095431</t>
  </si>
  <si>
    <t>W. KvImvi cvifxb ‡PŠayix
 Aa¨vcK 
‡¯‹jt 56500-74400/-</t>
  </si>
  <si>
    <t>KvImvi cvifxb †Pxayix</t>
  </si>
  <si>
    <t>0124100049422</t>
  </si>
  <si>
    <t xml:space="preserve"> W. iv‡k`v †eMg w`bv
 Aa¨vcK I †iwR÷ªvi (AwZ: `vwqZ¡) I Wxb
‡¯‹jt 56500-74400/-</t>
  </si>
  <si>
    <t>iv‡k`v †eMg w`bv</t>
  </si>
  <si>
    <t>0124100085035</t>
  </si>
  <si>
    <t>wRwc     7/48</t>
  </si>
  <si>
    <t>W.‡gvt wiqvRyj Bmjvg
 Aa¨vcK  Ges K‡jR cwik©K
‡¯‹j t 56500-74400/-</t>
  </si>
  <si>
    <t>W.†gvt wiqvRyj Bmjvg</t>
  </si>
  <si>
    <t>0124100085762</t>
  </si>
  <si>
    <t>wRwc    23/40</t>
  </si>
  <si>
    <t>W.†gvt Bg`v` miKvi
 Aa¨vcK  I we:cÖavY
‡¯‹jt 56500-74400/-</t>
  </si>
  <si>
    <t>W.†gvt Bg`v` miKvi</t>
  </si>
  <si>
    <t>0124100055557</t>
  </si>
  <si>
    <t>wRwc    7/36</t>
  </si>
  <si>
    <t>W.Bgvbv kvnixb Zvwbqv
 Aa¨vcK  I wefvMxq cÖavb 
wefvMt I‡qU cÖ‡mm  BwÄ:
‡¯‹jt 56500-74400/-</t>
  </si>
  <si>
    <t>W.Bgvbv kvnixb Zvwbqv</t>
  </si>
  <si>
    <t>0124100091838</t>
  </si>
  <si>
    <t>W.jvgBqv Rwni                             Aa¨vcK I Wxb                        ‡¯‹jt 56500-74400/-</t>
  </si>
  <si>
    <t>W.jvgBqv Rwni</t>
  </si>
  <si>
    <t>0124100091697</t>
  </si>
  <si>
    <t>W.‡gvt gvneyeyi ingvb
 Aa¨vcK I wefvMxq cÖavb  Ges cÖ±i Ges cÖ‡fv÷(Imgvbx nj)
wefvMt d¨vkb  GÛ wWRvBb BwÄ: 
‡¯‹j t 56500-74400/-</t>
  </si>
  <si>
    <t>W.‡gvt gvneyeyi ingvb</t>
  </si>
  <si>
    <t>0124100067745</t>
  </si>
  <si>
    <t xml:space="preserve">W. †kL gvgyb Kwei                           Aa¨vcK (I‡qU cÖ‡m:BwÄ:) I wefvMxq cÖavb Ges cwi:(c I D)   ‡¯‹jt 56500-74400/-             </t>
  </si>
  <si>
    <t xml:space="preserve">W. †kL gvgyb Kwei  </t>
  </si>
  <si>
    <t>0124100085782</t>
  </si>
  <si>
    <t xml:space="preserve">W.†gvt Rvwn`yj Bmjvg
 Aa¨vcK I wefvMxq  cÖavb 
‡¯‹jt 56500-74400/-              </t>
  </si>
  <si>
    <t>W.†gvt Rvwn`yj Bmjvg</t>
  </si>
  <si>
    <t>mn‡hvMx Aa¨vcK</t>
  </si>
  <si>
    <t>0124100053016</t>
  </si>
  <si>
    <t xml:space="preserve"> W. Zby Av‡idxb
 Aa¨vcK I wefvMxq cÖavY
‡¯‹jt 56500-74400/-</t>
  </si>
  <si>
    <t xml:space="preserve"> W. Zby Av‡idxb</t>
  </si>
  <si>
    <t>0124100089648</t>
  </si>
  <si>
    <t>`vwqZ¡fvZv AvMvgxgv‡m c~Y© n‡e |</t>
  </si>
  <si>
    <t>W.G.wU.Gg. d‡qR Avn‡g`
 Aa¨vcK  
†¯‹jt 56500-74400/-</t>
  </si>
  <si>
    <t>W.G.wU.Gg. d‡qR Avn‡g`</t>
  </si>
  <si>
    <t>0124801012177</t>
  </si>
  <si>
    <t>AvMvgxgv‡m †Uwi‡dvbfvZv 4300 UvKv wWwjU n‡e |</t>
  </si>
  <si>
    <t xml:space="preserve">W.‡gvnv¤§` dinv`yi ingvb
 Aa¨vcK I wefvMxq cÖavb 
†¯‹jt 56500-74400/-               </t>
  </si>
  <si>
    <t>W.‡gvnv¤§` dinv`yi ingvb</t>
  </si>
  <si>
    <t>0124801012254</t>
  </si>
  <si>
    <t xml:space="preserve"> W.†gvt byiæb bex
 Aa¨vcK I mn: cÖ±i
†¯‹jt 56500-74400/-  </t>
  </si>
  <si>
    <t xml:space="preserve"> W.†gvt byiæb bex</t>
  </si>
  <si>
    <t>0124801012489</t>
  </si>
  <si>
    <t xml:space="preserve">W.‡gvnv¤§` iwdKzi ikx`                    Aa¨vcK 
 †¯‹jt 56500-74400/-              </t>
  </si>
  <si>
    <t>W.‡gvnv¤§` iwdKzj ikx`</t>
  </si>
  <si>
    <t>0124801014524</t>
  </si>
  <si>
    <t>m,g,dvinvbv BKevj
mn‡hvMx Aa¨vcK (BqvY©) I jvB‡eªixqvb (AwZ: `vwqZ¡)
‡¯‹jt 50000-71200/-</t>
  </si>
  <si>
    <t>m. g. dvinvbv BKevj</t>
  </si>
  <si>
    <t>0124100084127</t>
  </si>
  <si>
    <t>W.Abyc Kzgvi `Ë                          mn‡hvMx Aa¨vcK 
†¯‹j t 50,000-71200/-</t>
  </si>
  <si>
    <t>W.Abyc Kzgvi `I</t>
  </si>
  <si>
    <t>0124100092363</t>
  </si>
  <si>
    <t>W.‡gvt myjZvb gvngy`
mn‡hvMx Aa¨vcK (BqvY©) 
‡¯‹jt  50,000-71200/-</t>
  </si>
  <si>
    <t>W.‡gvt myjZvb gvngy`</t>
  </si>
  <si>
    <t>0124100092041</t>
  </si>
  <si>
    <t xml:space="preserve"> W.Avey †gvnv¤§` AvRgj †gv‡k©`        mn‡hvMx Aa¨vcK                        ‡¯‹jt  50,000-71200/- </t>
  </si>
  <si>
    <t>W. Avey †gvnv¤§` AvRgj †gv‡k©`</t>
  </si>
  <si>
    <t>0124801013402</t>
  </si>
  <si>
    <t>wRwc    
29/40</t>
  </si>
  <si>
    <t>W.w`jviv †nv‡mb
mn‡hvMx Aa¨vcK I wefvMxq cÖavY Ges nj cÖ‡fv÷
‡¯‹jt 50000-71200/-</t>
  </si>
  <si>
    <t>W.w`jviv †nv‡mb</t>
  </si>
  <si>
    <t>0124100085893</t>
  </si>
  <si>
    <t xml:space="preserve"> W.‡gvt iæKby¾vgvb
mn‡hvMx Aa¨vcK I wefvMxq cÖavY  Ges AwZ: cwi:(AvBwKDGwm)
‡¯‹jt 50000-71200/-       </t>
  </si>
  <si>
    <t xml:space="preserve"> W.‡gvt iæKby¾vgvb</t>
  </si>
  <si>
    <t>0124100095844</t>
  </si>
  <si>
    <t>wRwc         15/30</t>
  </si>
  <si>
    <t xml:space="preserve"> W.‡gvt iv‡k`yj Bmjvg                      mn‡hvMx Aa¨vcK
†¯‹j t 50000-71200/-                       </t>
  </si>
  <si>
    <t xml:space="preserve"> W.‡gvt iv‡k`yj Bmjvg   </t>
  </si>
  <si>
    <t>0124801013911</t>
  </si>
  <si>
    <r>
      <t xml:space="preserve">W. gviwRqv `yjvj                               mn‡hvMx Aa¨vcK
 †¯‹j t 50000-71200/-          </t>
    </r>
    <r>
      <rPr>
        <sz val="10"/>
        <color indexed="8"/>
        <rFont val="SutonnyMJ"/>
      </rPr>
      <t xml:space="preserve">   </t>
    </r>
    <r>
      <rPr>
        <sz val="12"/>
        <color indexed="8"/>
        <rFont val="SutonnyMJ"/>
      </rPr>
      <t xml:space="preserve">  </t>
    </r>
  </si>
  <si>
    <t>gviwRqv `yjvj</t>
  </si>
  <si>
    <t>mnKvix Aa¨vcK</t>
  </si>
  <si>
    <t>0124801013614</t>
  </si>
  <si>
    <t xml:space="preserve">W.‡gvnv¤§` AveŸvm D`&amp;`xb
mn‡hvMx Aa¨vcK 
†¯‹jt 50000-71200/-              </t>
  </si>
  <si>
    <t>W.‡gvnv¤§` AveŸvm D`&amp;`xb</t>
  </si>
  <si>
    <t xml:space="preserve">mnKvix Aa¨vcK </t>
  </si>
  <si>
    <t>0124801013975</t>
  </si>
  <si>
    <t xml:space="preserve">W.Avn‡g` Rvjvj DwÏb                   mn‡hvMx Aa¨vcK  
  †¯‹j t 50000-71200/-                 </t>
  </si>
  <si>
    <t xml:space="preserve">W.Avn‡g` Rvjvj DwÏb               </t>
  </si>
  <si>
    <t>0124801015582</t>
  </si>
  <si>
    <r>
      <t xml:space="preserve">W.G.Gb.Gg.gvmy`yi ingvb                mn‡hvMx Aa¨vcKt 
†¯‹jt  50000-71200/-              </t>
    </r>
    <r>
      <rPr>
        <sz val="11"/>
        <rFont val="SutonnyMJ"/>
      </rPr>
      <t xml:space="preserve">   </t>
    </r>
    <r>
      <rPr>
        <sz val="12"/>
        <rFont val="SutonnyMJ"/>
      </rPr>
      <t xml:space="preserve">         </t>
    </r>
  </si>
  <si>
    <t>G.Gb.Gg.gvmy`yi ingvb</t>
  </si>
  <si>
    <t>0124801014146</t>
  </si>
  <si>
    <t xml:space="preserve">wkÿv QzwU‡Z </t>
  </si>
  <si>
    <t>W.gvn&amp;gy`v Av³vi
 Aa¨vcK 
wefvMt G¨vcv‡ij BwÄwbqvwis
‡¯‹jt 56500-74400/-</t>
  </si>
  <si>
    <t>W.gvn&amp;gy`v Av³vi</t>
  </si>
  <si>
    <t>0124100085752</t>
  </si>
  <si>
    <t xml:space="preserve">‡cv÷ W. wimvm© Gi QzwU </t>
  </si>
  <si>
    <r>
      <t xml:space="preserve">myZcv ‡PŠayix
mn‡hvMx  Aa¨vcK (d¨vkb)
‡¯‹jt 50000-71200/-                 </t>
    </r>
    <r>
      <rPr>
        <sz val="10"/>
        <rFont val="SutonnyMJ"/>
      </rPr>
      <t xml:space="preserve">wkÿv QzwUt 02/03/2020†_‡K 01/03/2025   </t>
    </r>
    <r>
      <rPr>
        <sz val="12"/>
        <rFont val="SutonnyMJ"/>
      </rPr>
      <t xml:space="preserve">                </t>
    </r>
  </si>
  <si>
    <t>myZcv ‡PŠayix</t>
  </si>
  <si>
    <t>0124100085045</t>
  </si>
  <si>
    <t>84 Zg wmwÛ‡K‡Ui wmÏvšÍ Abyhvqx 01/08/2024 †_‡K †eZb fvZv eÜ _vK‡e |</t>
  </si>
  <si>
    <r>
      <t xml:space="preserve">ivwk` AvbRyg                             cÖfvlK                                       †¯‹j t 22000-53060/-               </t>
    </r>
    <r>
      <rPr>
        <sz val="10"/>
        <rFont val="SutonnyMJ"/>
      </rPr>
      <t>wkÿvQzwU t 02/01/2020 †_‡K 12/09/2025</t>
    </r>
  </si>
  <si>
    <t xml:space="preserve">  Av‡e`b K‡i‡Qb †eZb eÜ ivLvi Rb¨  </t>
  </si>
  <si>
    <r>
      <t xml:space="preserve">‡gvt Avey mvC` wek¦vm
mnKvix Aa¨vcK  
‡¯‹jt 35500-67010/-                   </t>
    </r>
    <r>
      <rPr>
        <sz val="10"/>
        <rFont val="SutonnyMJ"/>
      </rPr>
      <t xml:space="preserve">wkÿvQzwUt 30/12/2019  †_‡K 29/12/2024  </t>
    </r>
  </si>
  <si>
    <t>‡gvt Avey mvC` wek¦vm</t>
  </si>
  <si>
    <t>0124100096329</t>
  </si>
  <si>
    <t xml:space="preserve">wmwÛ‡K‡Ui 70 Zg wm×všÍ Abyhvqx †eZb/fvZv eÜ _vK‡e | †deªæqvix-2022| </t>
  </si>
  <si>
    <r>
      <t>‡gvt Avwid BKevj
mnKvix Aa¨vcK (‡U·UvBj )
†¯‹jt 35500-67010/-               w</t>
    </r>
    <r>
      <rPr>
        <sz val="10"/>
        <rFont val="SutonnyMJ"/>
      </rPr>
      <t>kÿvQzwU t06/08/2019 ‡_‡K 05/08/2024</t>
    </r>
  </si>
  <si>
    <t>‡gvt Avwid BKevj</t>
  </si>
  <si>
    <t>0124801012483</t>
  </si>
  <si>
    <t xml:space="preserve">wmwÛ‡K‡Ui 82 Zg wm×všÍ Abyhvqx †eZb/fvZv eÜ _vK‡e | Rvbyqvix-2024| </t>
  </si>
  <si>
    <r>
      <t xml:space="preserve">dqmvj Av‡e`xb                            mnKvix Aa¨vcKt  (†dweªK BwÄ:)       †¯‹j: 35500-67010/-                  </t>
    </r>
    <r>
      <rPr>
        <sz val="10"/>
        <rFont val="SutonnyMJ"/>
      </rPr>
      <t>wkÿvQzwU t06/08/2019 †_‡K 05/08/2024</t>
    </r>
    <r>
      <rPr>
        <sz val="12"/>
        <rFont val="SutonnyMJ"/>
      </rPr>
      <t xml:space="preserve">        </t>
    </r>
  </si>
  <si>
    <t xml:space="preserve">dqmvj Av‡e`xb   </t>
  </si>
  <si>
    <t>0124801012952</t>
  </si>
  <si>
    <r>
      <t>‡gvt Avnmvb Avn‡g`
mnKvix Aa¨vcK (g¨vKvwbK¨vj) 
†¯‹jt 35500-67010/-                  w</t>
    </r>
    <r>
      <rPr>
        <sz val="10"/>
        <rFont val="SutonnyMJ"/>
      </rPr>
      <t>kÿvQzwU t 26/02/2020 †_‡K 25/02/2025</t>
    </r>
  </si>
  <si>
    <t>‡gvt Avnmvb Avn‡g`</t>
  </si>
  <si>
    <t>0124801012493</t>
  </si>
  <si>
    <r>
      <t xml:space="preserve">dqmvj Avn‡g`    
 mnKvix Aa¨vcK (‡dweªK) 
 †¯‹jt 35500-67010/-  
 </t>
    </r>
    <r>
      <rPr>
        <sz val="10"/>
        <rFont val="SutonnyMJ"/>
      </rPr>
      <t>wkÿvQzwU t 04/08/2021 †_‡K 03/08/2026</t>
    </r>
  </si>
  <si>
    <t>dqmvj Avn‡g`</t>
  </si>
  <si>
    <t>0124801014506</t>
  </si>
  <si>
    <r>
      <t xml:space="preserve">†gvt nviæb-Ai-iwk`
mnKvix Aa¨vcK (c`v_©)
†¯‹jt 35500-67010/-                </t>
    </r>
    <r>
      <rPr>
        <sz val="10"/>
        <rFont val="SutonnyMJ"/>
      </rPr>
      <t>wkÿvQzwU t1 3/08/2021 †_‡K 12/08/2026</t>
    </r>
  </si>
  <si>
    <t>‡gvt nviæb-Ai-iwk`</t>
  </si>
  <si>
    <t>0124801012363</t>
  </si>
  <si>
    <r>
      <t xml:space="preserve">wjsKb  cvBK  
 mnKvix Aa¨vcK (c`v_©)
  †¯‹jt 35500-67010/- 
</t>
    </r>
    <r>
      <rPr>
        <sz val="10"/>
        <rFont val="SutonnyMJ"/>
      </rPr>
      <t xml:space="preserve">wkÿvQzwUt 15/08/2021 †_‡K  14/08/2026 </t>
    </r>
    <r>
      <rPr>
        <sz val="12"/>
        <rFont val="SutonnyMJ"/>
      </rPr>
      <t xml:space="preserve">    </t>
    </r>
  </si>
  <si>
    <t>wjsKb cvBK</t>
  </si>
  <si>
    <t>0124801014665</t>
  </si>
  <si>
    <r>
      <t xml:space="preserve"> †gvt kvwKiæj Bmjvg 
mnKvixAa¨vcK 
 †¯‹j: 35500-67010/- 
 </t>
    </r>
    <r>
      <rPr>
        <sz val="10"/>
        <rFont val="SutonnyMJ"/>
      </rPr>
      <t xml:space="preserve">wkÿvQzwU t 04/09/2021 ‡_‡K 03/09/2026 Gg.Gmwm Ges wcGBP wW mn 4 eQi </t>
    </r>
    <r>
      <rPr>
        <sz val="12"/>
        <rFont val="SutonnyMJ"/>
      </rPr>
      <t xml:space="preserve">  QzwU                    </t>
    </r>
  </si>
  <si>
    <t>‡gvt kvwKiæj Bmjvg</t>
  </si>
  <si>
    <t>0124801012983</t>
  </si>
  <si>
    <r>
      <t xml:space="preserve">‡gvt †gv¯ÍvwdRyi ingvb    
 mnKvix Aa¨vcK 
  †¯‹j t 35500-67010/- 
 </t>
    </r>
    <r>
      <rPr>
        <sz val="8"/>
        <rFont val="SutonnyMJ"/>
      </rPr>
      <t xml:space="preserve"> wkÿvQzwU t 08/01/2022 ‡_‡K 07/01/2027 </t>
    </r>
    <r>
      <rPr>
        <sz val="12"/>
        <rFont val="SutonnyMJ"/>
      </rPr>
      <t xml:space="preserve">   </t>
    </r>
  </si>
  <si>
    <t xml:space="preserve"> †gvt †gv¯ÍvwdRyi ingvb</t>
  </si>
  <si>
    <t>0124801013322</t>
  </si>
  <si>
    <r>
      <t xml:space="preserve">‡gvt nvmvb †kL                            mnKvix Aa¨vcKt †UK&amp;ª: BwÄ:
 †¯‹j t 35500-67010/-  
 </t>
    </r>
    <r>
      <rPr>
        <sz val="8"/>
        <rFont val="SutonnyMJ"/>
      </rPr>
      <t>wkÿvQzwU t 3/08/2022 ‡_‡K 2/08/2027</t>
    </r>
    <r>
      <rPr>
        <sz val="12"/>
        <rFont val="SutonnyMJ"/>
      </rPr>
      <t xml:space="preserve">                   </t>
    </r>
  </si>
  <si>
    <t>‡gvt nvmvb †kL</t>
  </si>
  <si>
    <t>0124801014200</t>
  </si>
  <si>
    <r>
      <t xml:space="preserve"> mvgviv Bmjvg wbwk                        mnKvix Aa¨vcK                           †¯‹jt 35500-67010/-               </t>
    </r>
    <r>
      <rPr>
        <sz val="8"/>
        <rFont val="SutonnyMJ"/>
      </rPr>
      <t xml:space="preserve">wkÿvQzwUt 12/08/2022 ‡_‡K 11/08/2027 </t>
    </r>
    <r>
      <rPr>
        <sz val="10"/>
        <rFont val="SutonnyMJ"/>
      </rPr>
      <t xml:space="preserve"> </t>
    </r>
    <r>
      <rPr>
        <sz val="12"/>
        <rFont val="SutonnyMJ"/>
      </rPr>
      <t xml:space="preserve">        </t>
    </r>
  </si>
  <si>
    <t>mvgviv Bmjvg wbwk</t>
  </si>
  <si>
    <t>0124801014649</t>
  </si>
  <si>
    <r>
      <t xml:space="preserve">dvinvZzj †Rbvb  
 cÖfvlK (AvBwcB)
†¯‹jt 22000-53060/- 
 </t>
    </r>
    <r>
      <rPr>
        <sz val="10"/>
        <rFont val="SutonnyMJ"/>
      </rPr>
      <t>wkÿvQzwU t 3/08/2022 ‡_‡K 2/08/2027</t>
    </r>
  </si>
  <si>
    <t xml:space="preserve">dvinvZzj †Rbvb </t>
  </si>
  <si>
    <t>0124801016389</t>
  </si>
  <si>
    <r>
      <t xml:space="preserve">‡mŠif Kzgvi †Nvl  
 mnKvix Aa¨vcK(AvBwcB) 
 †¯‹jt 35500-67010/- 
 </t>
    </r>
    <r>
      <rPr>
        <sz val="10"/>
        <rFont val="SutonnyMJ"/>
      </rPr>
      <t xml:space="preserve">wkÿvQzwU t 4/08/2022 ‡_‡K 3/08/2027   </t>
    </r>
    <r>
      <rPr>
        <sz val="12"/>
        <rFont val="SutonnyMJ"/>
      </rPr>
      <t xml:space="preserve">  </t>
    </r>
  </si>
  <si>
    <t xml:space="preserve"> †mŠif Kzgvi †Nvl</t>
  </si>
  <si>
    <t>0124801015456</t>
  </si>
  <si>
    <r>
      <t xml:space="preserve">‡mvjvqgvb web Avjx                      mnKvix Aa¨vcK(I‡qU cÖ‡mm BwÄ)    †¯‹jt 35500-67010/-                 </t>
    </r>
    <r>
      <rPr>
        <sz val="8"/>
        <rFont val="SutonnyMJ"/>
      </rPr>
      <t>wkÿvQzwU t 9/08/2022 ‡_‡K 8/08/2027</t>
    </r>
    <r>
      <rPr>
        <sz val="10"/>
        <rFont val="SutonnyMJ"/>
      </rPr>
      <t xml:space="preserve">  </t>
    </r>
    <r>
      <rPr>
        <sz val="12"/>
        <rFont val="SutonnyMJ"/>
      </rPr>
      <t xml:space="preserve">  </t>
    </r>
  </si>
  <si>
    <t>‡mvjvqgvb web Avjx</t>
  </si>
  <si>
    <t>0124801015461</t>
  </si>
  <si>
    <r>
      <t xml:space="preserve">gvCb †gvt Lvqiæj AvKZvi    mnKvixAa¨vcK(‡UK&amp;ª:BwÄ:g¨v‡bR‡g›U †¯‹jt 35500-67010/-               </t>
    </r>
    <r>
      <rPr>
        <sz val="8"/>
        <rFont val="SutonnyMJ"/>
      </rPr>
      <t xml:space="preserve">wkÿvQzwU t 12/08/2022 ‡_‡K 11/08/2027    </t>
    </r>
    <r>
      <rPr>
        <sz val="10"/>
        <rFont val="SutonnyMJ"/>
      </rPr>
      <t xml:space="preserve">        </t>
    </r>
  </si>
  <si>
    <t xml:space="preserve">gvCb †gvt Lvqiæj AvKZvi </t>
  </si>
  <si>
    <t>0124801014671</t>
  </si>
  <si>
    <r>
      <t xml:space="preserve"> kixd Avn‡g`
mnKvix Aa¨vcK (BqvY©) 
‡¯‹jt 35500-67010/-              </t>
    </r>
    <r>
      <rPr>
        <sz val="10"/>
        <rFont val="SutonnyMJ"/>
      </rPr>
      <t>wkÿvQzwU t 2/10/2022 ‡_‡K 1/10/2027</t>
    </r>
  </si>
  <si>
    <t>kixd Avn‡g`</t>
  </si>
  <si>
    <t>0124100072368</t>
  </si>
  <si>
    <r>
      <t xml:space="preserve">Avnmvb nvexe
 mnKvix Aa¨vcK(‡UK&amp;ªUvBj BwÄ:)
 †¯‹j t 35500-67010/- 
 </t>
    </r>
    <r>
      <rPr>
        <sz val="10"/>
        <rFont val="SutonnyMJ"/>
      </rPr>
      <t>wkÿvQzwU t 2/10/2022 ‡_‡K 1/10/2027</t>
    </r>
    <r>
      <rPr>
        <sz val="11"/>
        <rFont val="SutonnyMJ"/>
      </rPr>
      <t xml:space="preserve">  </t>
    </r>
    <r>
      <rPr>
        <sz val="12"/>
        <rFont val="SutonnyMJ"/>
      </rPr>
      <t xml:space="preserve">                 </t>
    </r>
  </si>
  <si>
    <t>Avnmvb nvexe</t>
  </si>
  <si>
    <t>0124801013615</t>
  </si>
  <si>
    <r>
      <t xml:space="preserve">gynv¤§` dinv` gvngy` ‡PŠayix            mnKvix Aa¨vcKt( Bqvb©   )               †¯‹j t 35500-67010/-                </t>
    </r>
    <r>
      <rPr>
        <sz val="10"/>
        <rFont val="SutonnyMJ"/>
      </rPr>
      <t>wkÿvQzwU t 1/10/2022 ‡_‡K 30/9/2027</t>
    </r>
    <r>
      <rPr>
        <sz val="11"/>
        <rFont val="SutonnyMJ"/>
      </rPr>
      <t xml:space="preserve"> </t>
    </r>
    <r>
      <rPr>
        <sz val="12"/>
        <rFont val="SutonnyMJ"/>
      </rPr>
      <t xml:space="preserve">          </t>
    </r>
  </si>
  <si>
    <t>gynv¤§` dinv` gvnvgy` †Pxayix</t>
  </si>
  <si>
    <t>0124801014143</t>
  </si>
  <si>
    <r>
      <t xml:space="preserve">‡mwjgv myjZvbv wkgy
mn: Aa¨vcK I mn cÖ±iGes 
†¯‹jt 35500-67010/-               </t>
    </r>
    <r>
      <rPr>
        <b/>
        <sz val="10"/>
        <color indexed="10"/>
        <rFont val="SutonnyMJ"/>
      </rPr>
      <t>wkÿvQzwUt 16/10/2022 †_‡K 15/10/2027</t>
    </r>
  </si>
  <si>
    <t>‡mwjbv myjZvbv wkgy</t>
  </si>
  <si>
    <t>0124801012510</t>
  </si>
  <si>
    <r>
      <t xml:space="preserve"> †gvt Avãyyjøvn Avj gvgyb                    mnKvix Aa¨vcK                            †¯‹j: 35500-67010/-                   </t>
    </r>
    <r>
      <rPr>
        <sz val="10"/>
        <rFont val="SutonnyMJ"/>
      </rPr>
      <t xml:space="preserve">wkÿvQzwUt 07/11/2022 †_‡K 06/11/2027   </t>
    </r>
    <r>
      <rPr>
        <sz val="12"/>
        <rFont val="SutonnyMJ"/>
      </rPr>
      <t xml:space="preserve">          </t>
    </r>
  </si>
  <si>
    <t>‡gvt Avãyjøvn Avj gvgyb</t>
  </si>
  <si>
    <t>0124801012980</t>
  </si>
  <si>
    <r>
      <t xml:space="preserve"> †gvt ‡iRvDj  Kwig                        mnKvix Aa¨vcK(‡UK&amp;ª: BwÄ:g¨v‡b)        †¯‹jt 35500-67010/-               </t>
    </r>
    <r>
      <rPr>
        <sz val="10"/>
        <rFont val="SutonnyMJ"/>
      </rPr>
      <t>wkÿvQzwUt 27/12/2022 †_‡K 26/12/2027</t>
    </r>
    <r>
      <rPr>
        <sz val="12"/>
        <rFont val="SutonnyMJ"/>
      </rPr>
      <t xml:space="preserve"> </t>
    </r>
  </si>
  <si>
    <t xml:space="preserve"> †gvt †iRvDj Kwig</t>
  </si>
  <si>
    <t>0124801014672</t>
  </si>
  <si>
    <t xml:space="preserve">    </t>
  </si>
  <si>
    <r>
      <t>Av`bvb gviæd Lvb                      mnKvix Aa¨vcK                              †¯‹jt 35500-67010/-                   w</t>
    </r>
    <r>
      <rPr>
        <sz val="10"/>
        <rFont val="SutonnyMJ"/>
      </rPr>
      <t xml:space="preserve">kÿvQzwUt 26/05/2023 †_‡K 25/05/2028 </t>
    </r>
  </si>
  <si>
    <t>Av`bvb gviæd Lvb</t>
  </si>
  <si>
    <t>0124801014142</t>
  </si>
  <si>
    <r>
      <t xml:space="preserve">‡gvt RvIqv` Be‡b Avwgb                mnKvix Aa¨vcK t 
 †¯‹jt 35500-67010/-           </t>
    </r>
    <r>
      <rPr>
        <sz val="10"/>
        <rFont val="SutonnyMJ"/>
      </rPr>
      <t xml:space="preserve">wkÿvQzwUt 15/07/2023 †_‡K 14/07/2028 </t>
    </r>
    <r>
      <rPr>
        <sz val="12"/>
        <rFont val="SutonnyMJ"/>
      </rPr>
      <t xml:space="preserve">
               </t>
    </r>
  </si>
  <si>
    <t>‡gvt RvIqv` Be‡b Avwgb</t>
  </si>
  <si>
    <t>0124801013914</t>
  </si>
  <si>
    <r>
      <t xml:space="preserve">‡gvQvt Zvwbqv AvK‡UK                   mnKvix Aa¨vcKt (I‡qU cÖ‡mm)         †¯‹j t 35500-67010/-                 </t>
    </r>
    <r>
      <rPr>
        <sz val="10"/>
        <rFont val="SutonnyMJ"/>
      </rPr>
      <t xml:space="preserve">wkÿvQzwUt 01/08/2023 †_‡K 31/07/2028 </t>
    </r>
    <r>
      <rPr>
        <sz val="12"/>
        <rFont val="SutonnyMJ"/>
      </rPr>
      <t xml:space="preserve">         </t>
    </r>
  </si>
  <si>
    <t>‡gvQvt Zvwbqv AvK‡UK</t>
  </si>
  <si>
    <t>0124801014096</t>
  </si>
  <si>
    <r>
      <t xml:space="preserve">ïf eªþ                                     mnKvix Aa¨vcK                            †¯‹j t 35500-67010/-                  </t>
    </r>
    <r>
      <rPr>
        <sz val="10"/>
        <rFont val="SutonnyMJ"/>
      </rPr>
      <t xml:space="preserve">wkÿvQzwUt 01/08/2023 †_‡K 31/07/2028  </t>
    </r>
    <r>
      <rPr>
        <sz val="12"/>
        <rFont val="SutonnyMJ"/>
      </rPr>
      <t xml:space="preserve">                             </t>
    </r>
  </si>
  <si>
    <t>ïf eª²</t>
  </si>
  <si>
    <t>0124801013362</t>
  </si>
  <si>
    <r>
      <t xml:space="preserve">Abycg gÛj                                   mn Aa¨vcK                                  †¯‹j t 35500-67010/-                 </t>
    </r>
    <r>
      <rPr>
        <sz val="10"/>
        <rFont val="SutonnyMJ"/>
      </rPr>
      <t>wkÿvQzwUt 8/8/2023 ‡_‡K 7/8/2028</t>
    </r>
    <r>
      <rPr>
        <sz val="12"/>
        <rFont val="SutonnyMJ"/>
      </rPr>
      <t xml:space="preserve">              </t>
    </r>
  </si>
  <si>
    <t>Abycg gÛj</t>
  </si>
  <si>
    <t>0124801013621</t>
  </si>
  <si>
    <r>
      <t xml:space="preserve">ZvwiK †iRv †Zvnv                    cÖfvlK(Kw¤úDUvi ,wUGgwWGg)       †¯‹jt 22000-53060/-                 </t>
    </r>
    <r>
      <rPr>
        <sz val="10"/>
        <rFont val="SutonnyMJ"/>
      </rPr>
      <t>wkÿvQzwUt 10/8/2023 ‡_‡K 09/08/2028</t>
    </r>
    <r>
      <rPr>
        <sz val="12"/>
        <rFont val="SutonnyMJ"/>
      </rPr>
      <t xml:space="preserve">         </t>
    </r>
  </si>
  <si>
    <t>ZvwiK †iRv †Zvnv</t>
  </si>
  <si>
    <t>cÖfvlK (Kw¤úDUvi)</t>
  </si>
  <si>
    <t>0124801015496</t>
  </si>
  <si>
    <r>
      <t>myw¯§Zv mvnv                               cÖfvlK BqvY©©)                                 †¯‹jt 22000-53060/-                 w</t>
    </r>
    <r>
      <rPr>
        <sz val="10"/>
        <rFont val="SutonnyMJ"/>
      </rPr>
      <t>kÿvQzwUt 08/8/2023 ‡_‡K 07/08/2028</t>
    </r>
    <r>
      <rPr>
        <sz val="12"/>
        <rFont val="SutonnyMJ"/>
      </rPr>
      <t xml:space="preserve">    </t>
    </r>
  </si>
  <si>
    <t xml:space="preserve">myw¯§Zv mvnv </t>
  </si>
  <si>
    <t>cÖfvlK( BqvY©©)</t>
  </si>
  <si>
    <t>0124801017395</t>
  </si>
  <si>
    <r>
      <t xml:space="preserve">mvw`qv mvjmvwej e„wó                   mnKvix Aa¨vcK (imvqb)                       †¯‹jt 35500-67010/-       
</t>
    </r>
    <r>
      <rPr>
        <sz val="10"/>
        <rFont val="SutonnyMJ"/>
      </rPr>
      <t xml:space="preserve">wkÿvQzwUt 20/8/2023 ‡_‡K 19/08/2028   </t>
    </r>
    <r>
      <rPr>
        <sz val="12"/>
        <rFont val="SutonnyMJ"/>
      </rPr>
      <t xml:space="preserve">        </t>
    </r>
  </si>
  <si>
    <t>mvw`qv mvjwej e„wó</t>
  </si>
  <si>
    <t>0124801014651</t>
  </si>
  <si>
    <r>
      <t xml:space="preserve">‡gvt AvQv`y¾vgvb 
mnKvix Aa¨vcK (†U·UvBj †gwkbvix
wWRvBb GÛ †gBb‡Ub¨vÝ)
‡¯‹jt 35500-67010/-
</t>
    </r>
    <r>
      <rPr>
        <sz val="10"/>
        <rFont val="SutonnyMJ"/>
      </rPr>
      <t>wkÿvQzwUt 25/08/2023 †_‡K 24/08/2028</t>
    </r>
  </si>
  <si>
    <t>‡gvt AvQv`y¾vgvb</t>
  </si>
  <si>
    <t>0124100089184</t>
  </si>
  <si>
    <r>
      <t xml:space="preserve">‡`Iqvb †gv‡k©` Avn‡g`
mnKvix Aa¨vcK (‡dweªK)
†¯‹jt 35500-67010/-
</t>
    </r>
    <r>
      <rPr>
        <sz val="10"/>
        <rFont val="SutonnyMJ"/>
      </rPr>
      <t>wkÿvQzwUt 13/10/2023 ‡_‡K 12/10/2028</t>
    </r>
  </si>
  <si>
    <t>‡`Iqvb †gv‡k©` Avn‡g`</t>
  </si>
  <si>
    <t>0124801012487</t>
  </si>
  <si>
    <r>
      <t xml:space="preserve"> G.‡K.Gg AvwkKzi ingvb             mnKvix Aa¨vcK  I mn:cÖ±i            †¯‹j: 35500-67010/- 
w</t>
    </r>
    <r>
      <rPr>
        <sz val="10"/>
        <rFont val="SutonnyMJ"/>
      </rPr>
      <t xml:space="preserve">kÿvQzwUt 02/10/2023 ‡_‡K 01/10/2028  </t>
    </r>
    <r>
      <rPr>
        <sz val="12"/>
        <rFont val="SutonnyMJ"/>
      </rPr>
      <t xml:space="preserve">              </t>
    </r>
  </si>
  <si>
    <t>G †K Gg AvwkKzi ingvb</t>
  </si>
  <si>
    <t>0124100066866</t>
  </si>
  <si>
    <r>
      <t xml:space="preserve"> †gvt iæ‡ej Lvub                            mnKvix Aa¨vcK  
 ‡¯‹j t 35500-67010/-
</t>
    </r>
    <r>
      <rPr>
        <sz val="9"/>
        <rFont val="SutonnyMJ"/>
      </rPr>
      <t>wkÿvQzwUt16 /07/2024 ‡_‡K 15/07/2029</t>
    </r>
    <r>
      <rPr>
        <sz val="12"/>
        <rFont val="SutonnyMJ"/>
      </rPr>
      <t xml:space="preserve">  
                  </t>
    </r>
  </si>
  <si>
    <t>‡gvt iæ‡ej Lvub</t>
  </si>
  <si>
    <t>0124801013339</t>
  </si>
  <si>
    <t xml:space="preserve">‡gvt †Mvjvg wKewiqv                          mnKvix Aa¨vcK                             †¯‹jt 35500-67010/-                </t>
  </si>
  <si>
    <t xml:space="preserve">‡gvt †Mvjvg wKewiqv </t>
  </si>
  <si>
    <t>0124801015455</t>
  </si>
  <si>
    <r>
      <t xml:space="preserve">Dcgv bvmwib nK                        mnKvix Aa¨vcK 
†¯‹j t  35500-67010/-             
</t>
    </r>
    <r>
      <rPr>
        <sz val="8"/>
        <rFont val="SutonnyMJ"/>
      </rPr>
      <t xml:space="preserve">wkÿvQzwUt 20/9/2024 †_‡K 19/09/2029     </t>
    </r>
  </si>
  <si>
    <t>Dcgv bvmwib nK</t>
  </si>
  <si>
    <t>0124801014073</t>
  </si>
  <si>
    <t>wRwc    26/48</t>
  </si>
  <si>
    <r>
      <t xml:space="preserve">kvgxgv Av³vi ¯§„wZ                       mnKvix Aa¨vcK (‡dweªK BwÄ)    †¯‹jt 35500-67010/-    
</t>
    </r>
    <r>
      <rPr>
        <sz val="8"/>
        <rFont val="SutonnyMJ"/>
      </rPr>
      <t xml:space="preserve">wkÿv QzwU t 04/10/2024 †_‡K 03/10/2029     </t>
    </r>
    <r>
      <rPr>
        <sz val="10"/>
        <rFont val="SutonnyMJ"/>
      </rPr>
      <t xml:space="preserve">               </t>
    </r>
  </si>
  <si>
    <t>kvgxgv Av³vi ¯§„wZ</t>
  </si>
  <si>
    <t>0124801015481</t>
  </si>
  <si>
    <t>wRwc       22/48</t>
  </si>
  <si>
    <r>
      <t xml:space="preserve">Bgivb †nv‡mb                            mnKvix Aa¨vcKt
†¯‹jt 35500-67010/-  
</t>
    </r>
    <r>
      <rPr>
        <sz val="9"/>
        <rFont val="SutonnyMJ"/>
      </rPr>
      <t xml:space="preserve">wkÿv QzwU t 04/10/2024 †_‡K 03/10/2029   </t>
    </r>
    <r>
      <rPr>
        <sz val="12"/>
        <rFont val="SutonnyMJ"/>
      </rPr>
      <t xml:space="preserve">
          </t>
    </r>
  </si>
  <si>
    <t xml:space="preserve">Bgivb †nv‡mb </t>
  </si>
  <si>
    <t>0124801014495</t>
  </si>
  <si>
    <t>wRwc      22/48</t>
  </si>
  <si>
    <r>
      <t>Zvbfxi †g‡n`x w`c                       mnKvix Aa¨vcK (BqvY©)    
†¯‹jt 35500-67010/-      
wkÿvQzwUt</t>
    </r>
    <r>
      <rPr>
        <sz val="8"/>
        <rFont val="SutonnyMJ"/>
      </rPr>
      <t xml:space="preserve"> 18/01/2025‡_‡K 17/01/2030                      </t>
    </r>
    <r>
      <rPr>
        <sz val="12"/>
        <rFont val="SutonnyMJ"/>
      </rPr>
      <t xml:space="preserve">                </t>
    </r>
  </si>
  <si>
    <t>Zvbfxi †g‡n`x w`c</t>
  </si>
  <si>
    <t>0124801016632</t>
  </si>
  <si>
    <t xml:space="preserve">Av‡qkv wmwÏKv                               mnKvix Aa¨vcK (G¨vcv‡ij) 
†¯‹jt 35500-67010/-                   </t>
  </si>
  <si>
    <t xml:space="preserve">Av‡qkv wmwÏKv </t>
  </si>
  <si>
    <t>0124100096934</t>
  </si>
  <si>
    <t>wRwc        11/48</t>
  </si>
  <si>
    <r>
      <t xml:space="preserve"> Zvbfxi Avjg                               mnKvix Aa¨vcK                             †¯‹j t 35500-67010/-    
</t>
    </r>
    <r>
      <rPr>
        <sz val="8"/>
        <rFont val="SutonnyMJ"/>
      </rPr>
      <t>wkÿv QzwU t 10/10/2024 ‡_‡K 09/10/2029</t>
    </r>
    <r>
      <rPr>
        <sz val="12"/>
        <rFont val="SutonnyMJ"/>
      </rPr>
      <t xml:space="preserve">               </t>
    </r>
  </si>
  <si>
    <t xml:space="preserve"> Zvbfxi Avjg </t>
  </si>
  <si>
    <t>0124801013308</t>
  </si>
  <si>
    <r>
      <t xml:space="preserve">mvBdzi ingvb Zzlvi                    mnKvix Aa¨vcK 
†¯‹jt 35500-67010/-  
</t>
    </r>
    <r>
      <rPr>
        <sz val="9"/>
        <rFont val="SutonnyMJ"/>
      </rPr>
      <t xml:space="preserve">wkÿvQzwU: 07/08/2025 †_‡K 06/08/2030 </t>
    </r>
    <r>
      <rPr>
        <sz val="10"/>
        <rFont val="SutonnyMJ"/>
      </rPr>
      <t xml:space="preserve"> </t>
    </r>
    <r>
      <rPr>
        <sz val="12"/>
        <rFont val="SutonnyMJ"/>
      </rPr>
      <t xml:space="preserve">
              </t>
    </r>
  </si>
  <si>
    <t xml:space="preserve">mvBdzi ingvb Zzlvi </t>
  </si>
  <si>
    <t>0124801017382</t>
  </si>
  <si>
    <r>
      <t xml:space="preserve">†gvt gvmyg †iRv
mnKvix Aa¨vcK  
†¯‹jt 35500-67010/-
</t>
    </r>
    <r>
      <rPr>
        <sz val="8"/>
        <rFont val="SutonnyMJ"/>
      </rPr>
      <t>wkÿv QzwU t  26/06/2025 †_‡K 25/06/2030)</t>
    </r>
    <r>
      <rPr>
        <sz val="12"/>
        <rFont val="SutonnyMJ"/>
      </rPr>
      <t xml:space="preserve">
</t>
    </r>
  </si>
  <si>
    <t>‡gvt gvmyg †iRv</t>
  </si>
  <si>
    <t>0124801012714</t>
  </si>
  <si>
    <r>
      <t xml:space="preserve">‡gvt evkvi DwÏb                            mnKvix Aa¨vcK 
 †¯‹jt 35500-67010/-    
</t>
    </r>
    <r>
      <rPr>
        <sz val="9"/>
        <rFont val="SutonnyMJ"/>
      </rPr>
      <t xml:space="preserve">wkÿv QzwU t 28/07/2025 †_‡K 26/07/2030)  </t>
    </r>
    <r>
      <rPr>
        <sz val="12"/>
        <rFont val="SutonnyMJ"/>
      </rPr>
      <t xml:space="preserve">
                          </t>
    </r>
  </si>
  <si>
    <t>†gvt evkvi DwÏb</t>
  </si>
  <si>
    <t>0124801014487</t>
  </si>
  <si>
    <t xml:space="preserve">wRwc     12/24 </t>
  </si>
  <si>
    <r>
      <t xml:space="preserve">‡gvt AvmIqv` Avj nK miKvi          mnKvix Aa¨vcK(‡dweªK)                 †¯‹jt 35500-67010/-                   </t>
    </r>
    <r>
      <rPr>
        <sz val="10"/>
        <rFont val="SutonnyMJ"/>
      </rPr>
      <t>wkÿvQzwU: 21/09/2025 †_‡K 20/09/2030</t>
    </r>
  </si>
  <si>
    <t>‡gvt AvmIqv` Avj nK miKvi</t>
  </si>
  <si>
    <t>0124801013311</t>
  </si>
  <si>
    <t>wRwc     11/13</t>
  </si>
  <si>
    <r>
      <t xml:space="preserve">‡gvt ‡gvi‡k`yj nK                        mnKvix Aa¨vcK                      †¯‹jt 35500-67010/-  
</t>
    </r>
    <r>
      <rPr>
        <sz val="10"/>
        <rFont val="SutonnyMJ"/>
      </rPr>
      <t xml:space="preserve">wkÿvQzwU: 21/09/2025 †_‡K 20/09/2030  </t>
    </r>
    <r>
      <rPr>
        <sz val="12"/>
        <rFont val="SutonnyMJ"/>
      </rPr>
      <t xml:space="preserve">                     </t>
    </r>
  </si>
  <si>
    <t xml:space="preserve">‡gvt ‡gvi‡k`yj nK </t>
  </si>
  <si>
    <t>cÖfvlK(Gb:mvBÝ)</t>
  </si>
  <si>
    <t>0124801018471</t>
  </si>
  <si>
    <r>
      <t xml:space="preserve">ZvbwSj nvmvb gvn`x
mnKvix Aa¨vcK(‡gKvwbK¨vj)
†¯‹jt 35500-67010/-
</t>
    </r>
    <r>
      <rPr>
        <sz val="10"/>
        <rFont val="SutonnyMJ"/>
      </rPr>
      <t>wkÿvQzwU: 21/09/2025 †_‡K 20/09/2030</t>
    </r>
    <r>
      <rPr>
        <sz val="12"/>
        <rFont val="SutonnyMJ"/>
      </rPr>
      <t xml:space="preserve">
</t>
    </r>
  </si>
  <si>
    <t>ZvbwSj nvmvb gvn`x</t>
  </si>
  <si>
    <t>0124801012919</t>
  </si>
  <si>
    <r>
      <t xml:space="preserve">Avdbvb web wmwÏK                        mnKvix Aa¨vcK
†¯‹jt 35500-67010/-
</t>
    </r>
    <r>
      <rPr>
        <sz val="10"/>
        <rFont val="SutonnyMJ"/>
      </rPr>
      <t>wkÿvQzwU: 21/09/2025 †_‡K 20/09/2030</t>
    </r>
    <r>
      <rPr>
        <sz val="12"/>
        <rFont val="SutonnyMJ"/>
      </rPr>
      <t xml:space="preserve">
             </t>
    </r>
  </si>
  <si>
    <t>Avdbvb web wmwÏK</t>
  </si>
  <si>
    <t>cÖfvlK(imvqb)</t>
  </si>
  <si>
    <t>0124801018513</t>
  </si>
  <si>
    <r>
      <t xml:space="preserve">bymivZ Rvnvb                               mnKvix Aa¨vcK (dwjZ imvqb)        †¯‹jt 35500-67010/-    
</t>
    </r>
    <r>
      <rPr>
        <sz val="10"/>
        <rFont val="SutonnyMJ"/>
      </rPr>
      <t xml:space="preserve">wkÿvQzwU: 05/11/2025 †_‡K 04/11/2030  </t>
    </r>
    <r>
      <rPr>
        <sz val="12"/>
        <rFont val="SutonnyMJ"/>
      </rPr>
      <t xml:space="preserve">    </t>
    </r>
  </si>
  <si>
    <t>bymivZ Rvnvb</t>
  </si>
  <si>
    <t>0124801015471</t>
  </si>
  <si>
    <t>wRwc      19/36</t>
  </si>
  <si>
    <r>
      <t xml:space="preserve">widvZ Rvnvb                                    mnKvix Aa¨vcK                                            †¯‹jt 35500-67010/-   
</t>
    </r>
    <r>
      <rPr>
        <sz val="10"/>
        <rFont val="SutonnyMJ"/>
      </rPr>
      <t xml:space="preserve">wkÿvQzwU: 01/02/2026 †_‡K 31/1/2031   </t>
    </r>
    <r>
      <rPr>
        <sz val="12"/>
        <rFont val="SutonnyMJ"/>
      </rPr>
      <t xml:space="preserve">         </t>
    </r>
  </si>
  <si>
    <t xml:space="preserve">widvZ Rvnvb </t>
  </si>
  <si>
    <t>0124801015449</t>
  </si>
  <si>
    <r>
      <t xml:space="preserve">ivwRqv myjZvbv                          mnKvix Aa¨vcK                          †¯‹jt35500-67010/-  
 </t>
    </r>
    <r>
      <rPr>
        <sz val="9"/>
        <rFont val="SutonnyMJ"/>
      </rPr>
      <t>wkÿvQzwU: 10/05/2026 †_‡K 09/05/2031</t>
    </r>
    <r>
      <rPr>
        <sz val="12"/>
        <rFont val="SutonnyMJ"/>
      </rPr>
      <t xml:space="preserve">                  </t>
    </r>
  </si>
  <si>
    <t xml:space="preserve">ivwRqv myjZvbv </t>
  </si>
  <si>
    <t>cÖfvlK(c`v_©)</t>
  </si>
  <si>
    <t>0124801018508</t>
  </si>
  <si>
    <t>mnKvwi Aa¨vcK</t>
  </si>
  <si>
    <t>†i‡eKv myjZvbv
mnKvix Aa¨vcK (d¨vkb) 
‡¯‹jt 50000-71200/-</t>
  </si>
  <si>
    <t>†i‡eKv myjZvbv</t>
  </si>
  <si>
    <t>mnKvix Aa¨vcK (d¨vkb)</t>
  </si>
  <si>
    <t>0124100074775</t>
  </si>
  <si>
    <t>wkÿv QzwU Rvtwe</t>
  </si>
  <si>
    <t>dviRvbv ingvb
mnKvix Aa¨vcK  
‡¯‹jt 50000-71200/-</t>
  </si>
  <si>
    <t>dviRvbv ingvb</t>
  </si>
  <si>
    <t>0124100084975</t>
  </si>
  <si>
    <t>‡gvt kv‡qL gybxi
mnKvix Aa¨vcK  
‡¯‹jt 35500-67010/-</t>
  </si>
  <si>
    <t>‡gvt kv‡qL gybxi</t>
  </si>
  <si>
    <t>0124100095421</t>
  </si>
  <si>
    <t>wRwc        15/48</t>
  </si>
  <si>
    <t>†ZŠwdKv wmwÏKv
mnKvix Aa¨vcK (BqvY©) 
‡¯‹jt 35500-67010/-</t>
  </si>
  <si>
    <t>‡ZŠwdKv wmwÏKv</t>
  </si>
  <si>
    <t>0124100074054</t>
  </si>
  <si>
    <t xml:space="preserve">W. ‡gvt †n`v‡qZ Djøvn
mnKvix Aa¨vcK (c`v_©)
†¯‹jt 35500-67010/-
</t>
  </si>
  <si>
    <t>‡gvt †n`v‡qZ Djøvn</t>
  </si>
  <si>
    <t>0124801012361</t>
  </si>
  <si>
    <t>gviwRqv Bqvmwgb
mnKvix Aa¨vcK   
†¯‹jt 35500-67010/-</t>
  </si>
  <si>
    <t>gviwRqv Bqvmwgb</t>
  </si>
  <si>
    <t>0124801012449</t>
  </si>
  <si>
    <t>dviRvbv Bqvmwgb
mnKvix Aa¨vcK (imvqb)
†¯‹jt 35500-67010/-</t>
  </si>
  <si>
    <t>dviRvbv Bqvmwgb</t>
  </si>
  <si>
    <t>0124801012453</t>
  </si>
  <si>
    <t xml:space="preserve"> W. ‡gvt gvgybyi ikx`
mnKvix Aa¨vcK (AvBwcB)
†¯‹jt 35500-67010/-               </t>
  </si>
  <si>
    <t>‡gvt gvgybyi ikx`</t>
  </si>
  <si>
    <t>0124801012499</t>
  </si>
  <si>
    <t>wRwc     5/48</t>
  </si>
  <si>
    <t>†gvt gwdRyj Bmjvg
mn: Aa¨v: I mn:cÖ‡fv(AvwRR nj)
†¯‹jt 35500-67010/-</t>
  </si>
  <si>
    <t>†gvt gwdRyj Bmjvg</t>
  </si>
  <si>
    <t>0124801012711</t>
  </si>
  <si>
    <t xml:space="preserve">†gvt gvnvgy`yj nvmvb                       mnKvix Aa¨vcK 
 †¯‹j: 35500-67010/-                  </t>
  </si>
  <si>
    <t>‡gvt gvnvgyy`yj nvmvb</t>
  </si>
  <si>
    <t>0124801012962</t>
  </si>
  <si>
    <t xml:space="preserve">‡gvQvt †Rmwgb bvnvi Kgbv            mnKvix Aa¨vcK (Gc¨vt)  mn nj :cÖ‡fv÷
 †¯‹j t 35500-67010/-               </t>
  </si>
  <si>
    <t>‡gvQvt †Rmwgb bvnvi Kvgbv</t>
  </si>
  <si>
    <t>0124801013238</t>
  </si>
  <si>
    <t xml:space="preserve">‡gvt Av‡bvqvi †nv‡mb                     mn:Aa¨v:I mn:cÖ‡fv÷ (Imgvbxnj)
†¯‹jt 35500-67010                </t>
  </si>
  <si>
    <t>‡gvt Av‡bvqvi †nv‡mb</t>
  </si>
  <si>
    <t>0124801013313</t>
  </si>
  <si>
    <t xml:space="preserve"> †gvt KvImviæj Bmjvg 
 mnKvix Aa¨vcK I mn: cÖ±i
 †¯‹j t 35500-67010/-                 </t>
  </si>
  <si>
    <t>‡gvt KvImviæj Bmjvg</t>
  </si>
  <si>
    <t>0124801013312</t>
  </si>
  <si>
    <t xml:space="preserve">dviRvbv mvwKjv                             mnKvix Aa¨vcKt                          †¯‹j t 35500-67010/-                 </t>
  </si>
  <si>
    <t>dviRvbv mvwKjv</t>
  </si>
  <si>
    <t>0124801014083</t>
  </si>
  <si>
    <t xml:space="preserve">‡gvt Kvgiæj nvmvb ‡PŠayix               mnKvix Aa¨vcK 
†¯‹j t 35500-67010/-                 </t>
  </si>
  <si>
    <t>‡gvt Kvgiæj nvmvb †Pšayix</t>
  </si>
  <si>
    <t>0124801013612</t>
  </si>
  <si>
    <t xml:space="preserve">‡gvt Kvgiæj nvmvb                         mn:Aa¨v I mn: cÖ‡fv÷ (Imgvbx nj) †¯‹j t 35500-67010/-              </t>
  </si>
  <si>
    <t xml:space="preserve">‡gvt Kvgiæj nvmvb </t>
  </si>
  <si>
    <t>0124801013920</t>
  </si>
  <si>
    <t>wRwc   30/30</t>
  </si>
  <si>
    <t xml:space="preserve">w¯§Zvivbx †`ebv_                         mnKvix Aa¨vcK t G¨vcv‡ij BwÄwbqvwis †¯‹jt 35500-67010/-                               </t>
  </si>
  <si>
    <t>w¯§Zvivbx †`ebv_</t>
  </si>
  <si>
    <t>0124801014507</t>
  </si>
  <si>
    <t xml:space="preserve">‡gvt †gvnv‡Ïm †nv‡mb                       mnKvix Aa¨vcK                                 †¯‹jt 35500-67010/-                </t>
  </si>
  <si>
    <t>‡gvt †gvnv‡Ïg †nv‡mb</t>
  </si>
  <si>
    <t>0124801014635</t>
  </si>
  <si>
    <t xml:space="preserve">Avwidzj nK AvwkK                        mnKvix Aa¨vcK (wUGgwWGg)
†¯‹jt 35500-67010/-                </t>
  </si>
  <si>
    <t xml:space="preserve">Avwidzj nK AvwkK </t>
  </si>
  <si>
    <t>0124801014647</t>
  </si>
  <si>
    <t xml:space="preserve">bvqjv kviwgb KvšÍv                        mnKvix Aa¨vcK (d¨vkb)                   †¯‹jt 35500-67010/-                  </t>
  </si>
  <si>
    <t>bvqjv kviwgb KvšÍv</t>
  </si>
  <si>
    <t>0124801014670</t>
  </si>
  <si>
    <t xml:space="preserve">Avmgv Avbmvix Avkv                       mnKvix Aa¨vcK(‡UK&amp;ªU BwÄt g¨v‡b:) 
†¯‹jt 35500-67010/-                  </t>
  </si>
  <si>
    <t>Avmgv Avbmvix Avkv</t>
  </si>
  <si>
    <t>0124801015088</t>
  </si>
  <si>
    <t xml:space="preserve">Zwbgv ingvb Zwbœ                         mnKvix Aa¨vcK(BqvY© BwÄwbqvwis)
†¯‹jt 35500-67010/-                </t>
  </si>
  <si>
    <t>Zwbgv Av³vi Zwbœ</t>
  </si>
  <si>
    <t>0124801015451</t>
  </si>
  <si>
    <t xml:space="preserve">‡gvt †gvZvKvweŸi nvmvb                mnKvix Aa¨vcK I  cÖ‡fv÷  I mn: cÖ‡fv÷(bRiæi Bmjvg nj )
†¯‹jt 35500-67010/-                  </t>
  </si>
  <si>
    <t>‡gvt †gvZvKvweŸi nvmvb</t>
  </si>
  <si>
    <t>0124801015464</t>
  </si>
  <si>
    <t xml:space="preserve"> byiæ‡bœmv                                        mnKvix Aa¨vcK(G¨vcv: BwÄwbqvwis )    †¯‹jt 35500-67010/-                    </t>
  </si>
  <si>
    <t>byiæ‡bœmv</t>
  </si>
  <si>
    <t>0124801015454</t>
  </si>
  <si>
    <t>wRwc        30/48</t>
  </si>
  <si>
    <t xml:space="preserve">ûgvqiv Av³vi wngy                      mnKvix Aa¨vcK              
†¯‹jt 35500-67010/-               </t>
  </si>
  <si>
    <t>ûgvqiv Av³vi wngy</t>
  </si>
  <si>
    <t>0124801015490</t>
  </si>
  <si>
    <t>wRwc       19/48</t>
  </si>
  <si>
    <t xml:space="preserve">kvgxgv Av³vi †ivRx                           mnKvix Aa¨vcK(‡mv:) 
 †¯‹jt 35500-67010/-                   </t>
  </si>
  <si>
    <t>kvgxgv Av³vi ‡ivRx</t>
  </si>
  <si>
    <t>0124801015452</t>
  </si>
  <si>
    <t xml:space="preserve">mvwR` Gjvnx                                mnKvix Aa¨vcK( G¨vcv‡ij  )                     †¯‹jt 35500-67010/-                  </t>
  </si>
  <si>
    <t>mvwR` Gjvnx</t>
  </si>
  <si>
    <t>0124801015590</t>
  </si>
  <si>
    <t xml:space="preserve">KvRx wmivRyj Bmjvg                    mnKvix Aa¨vcK(:Wv GÛ †KwgK¨vj)    †¯‹jt 35500-67010/-              </t>
  </si>
  <si>
    <t xml:space="preserve">KvRx wmivRyj Bmjvg  </t>
  </si>
  <si>
    <t>0124801015836</t>
  </si>
  <si>
    <t xml:space="preserve">‡gvRvwn`v AvLZvi 
 mnKvix Aa¨vcK 
 †¯‹jt 35500-67010/-                   </t>
  </si>
  <si>
    <t>‡gvRvwn`v Av³vi</t>
  </si>
  <si>
    <t>0124801014648</t>
  </si>
  <si>
    <t>wRwc        20/48</t>
  </si>
  <si>
    <t xml:space="preserve">W. †gvt gyiv` Avn‡g`                     mnKvix Aa¨vcK  I hvbevnb Kg©KZ©v  
 †¯‹jt 35500-67010/-               </t>
  </si>
  <si>
    <t xml:space="preserve">W. †gvt gyiv` Avn‡g`  </t>
  </si>
  <si>
    <t>2315001016344</t>
  </si>
  <si>
    <t>wRwc       7/48</t>
  </si>
  <si>
    <t xml:space="preserve">kvn †gvt gviæd nvmvb                  mnKvix Aa¨vcK( G¨vcv‡ij  )            †¯‹jt 35500-67010/-                </t>
  </si>
  <si>
    <t>kvn †gvt gviæd nvmvb</t>
  </si>
  <si>
    <t>0124801015827</t>
  </si>
  <si>
    <t xml:space="preserve">Zvevm&amp;myg   †di‡`Šm                      mnKvix Aa¨vcK(I‡qU cÖ‡mm  )        †¯‹jt 35500-67010/-               </t>
  </si>
  <si>
    <t>Zvevm&amp;myg   †di‡`Šm</t>
  </si>
  <si>
    <t>0124801015828</t>
  </si>
  <si>
    <t>mwn` †gvt Av`bvb
mnKvix Aa¨vcK 
†¯‹jt 35500-67010/-</t>
  </si>
  <si>
    <t>mwn` †gvt Av`bvb</t>
  </si>
  <si>
    <t>0124801012501</t>
  </si>
  <si>
    <t xml:space="preserve"> Av‡qkv  wmwÏKv Bgy                  mnKvix Aa¨vcK(‡UK&amp;ªUvBj BwÄwbqv    †¯‹jt 35500-67010/-                   </t>
  </si>
  <si>
    <t xml:space="preserve"> Av‡qkv  wmwÏKv Bgy    </t>
  </si>
  <si>
    <t>0124801016603</t>
  </si>
  <si>
    <t xml:space="preserve">‡gvt †Mvjvg m‡ivqvi ivqnvb             mnKvix Aa¨vcK  
 †¯‹jt 35500-67010/-                  </t>
  </si>
  <si>
    <t>‡gvt †Mvjvg m‡ivqvi ivqnvb</t>
  </si>
  <si>
    <t>0124801016391</t>
  </si>
  <si>
    <t xml:space="preserve">‡gvQvt dviRvbv myjZvbv
 mnKvix Aa¨vcK(G¨vcv‡ij)                           †¯‹jt 35500-67010/-                   </t>
  </si>
  <si>
    <t xml:space="preserve">‡gvQvt dviRvbv myjZvbv  </t>
  </si>
  <si>
    <t>0124801016388</t>
  </si>
  <si>
    <t xml:space="preserve">e„wó miKvi 
 mnKvix Aa¨vcK (†U·: d¨vkb) 
 †¯‹jt 35500-67010/-                </t>
  </si>
  <si>
    <t>e„wó miKvi</t>
  </si>
  <si>
    <t>0124801016448</t>
  </si>
  <si>
    <t xml:space="preserve">‡gvt wiqvmvZ Av³vi Awib             
mnKvix Aa¨vcK  
‡¯‹j t 35500-67010/-           </t>
  </si>
  <si>
    <t>‡gvt wiqvmvZ Av³vi Awib</t>
  </si>
  <si>
    <t>0124801017378</t>
  </si>
  <si>
    <t xml:space="preserve">dinv` Avn&amp;‡g`                          mn: Aa¨v: I nvDm wUDUi(bRiæj nj) 
 †¯‹jt 35500-67010/-                   </t>
  </si>
  <si>
    <t xml:space="preserve">dinv` Avn&amp;‡g` </t>
  </si>
  <si>
    <t>0124801017379</t>
  </si>
  <si>
    <t xml:space="preserve"> ‡gvt Aveyj Kvjvg AvRv`                  mnKvix Aa¨vcK   
 †¯‹jt 35500-67010/-            </t>
  </si>
  <si>
    <t xml:space="preserve"> ‡gvt Aveyj Kvjvg AvRv`</t>
  </si>
  <si>
    <t>0124100069552</t>
  </si>
  <si>
    <t xml:space="preserve">‡gvt widvZ †nv‡mb                         mn:Aa¨v: I nvDm wUDUi (bRiyj n)   †¯‹jt 35500-67010/-                </t>
  </si>
  <si>
    <t>‡gvt widvZ †nv‡mb</t>
  </si>
  <si>
    <t>0124801018472</t>
  </si>
  <si>
    <t xml:space="preserve">Zvwbqv Av³vi                               mnKvix Aa¨vcK
  †¯‹jt 35500-67010/-                 </t>
  </si>
  <si>
    <t xml:space="preserve">Zvwbqv Av³vi </t>
  </si>
  <si>
    <t>cÖfvlK( I‡qU cÖ‡mm)</t>
  </si>
  <si>
    <t>0124801018470</t>
  </si>
  <si>
    <t xml:space="preserve">Avj- gybZvwmi 
 mnKvix Aa¨vcK( AvB.wc.B)  
  †¯‹jt 35500-67010/-                     </t>
  </si>
  <si>
    <t>Avj- gybZvwmi</t>
  </si>
  <si>
    <t>cÖfvlK( AvB.wc.B)</t>
  </si>
  <si>
    <t>0124801018497</t>
  </si>
  <si>
    <t xml:space="preserve">‡gvt †mvnvM evey                              mnKvix Aa¨vcK I mn;cÖ‡fv÷ Ges mnKvix cÖ±i 
 †¯‹jt 35500-67010/-         </t>
  </si>
  <si>
    <t>‡gvt †mvnvM evey</t>
  </si>
  <si>
    <t>0124801018463</t>
  </si>
  <si>
    <t xml:space="preserve">Bnmvb Bjvnx mvweK                         mnKvix Aa¨vcK    
 †¯‹jt 35500-67010/-                     </t>
  </si>
  <si>
    <t>Bnmvb Bjvnx mvweK</t>
  </si>
  <si>
    <t>cÖfvlK(A_©bxwZ)</t>
  </si>
  <si>
    <t>0124801018491</t>
  </si>
  <si>
    <t xml:space="preserve">‡kL †gvnv¤§` ivwd   
 mnKvix Aa¨vcK    
  †¯‹jt35500-67010/-                                </t>
  </si>
  <si>
    <t xml:space="preserve">‡kL †gvnv¤§` ivwd </t>
  </si>
  <si>
    <t>cÖfvlK(I‡qU cÖ‡mm)</t>
  </si>
  <si>
    <t>0124801018559</t>
  </si>
  <si>
    <t xml:space="preserve">gwiqg ingvb                  
 mnKvix   Aa¨vcK                          †¯‹jt 35500- 67010/-              </t>
  </si>
  <si>
    <t>gwiqg ingvb</t>
  </si>
  <si>
    <t>0124801018545</t>
  </si>
  <si>
    <t xml:space="preserve">bvRgyj †nvmvBb                        mnKvix Aa¨vcK
†¯‹jt 35500-67010/-                  </t>
  </si>
  <si>
    <t xml:space="preserve">bvRgyj †nvmvBb </t>
  </si>
  <si>
    <t xml:space="preserve">cÖfvlK(imvqb) </t>
  </si>
  <si>
    <t>0124801019413</t>
  </si>
  <si>
    <t>cÖfvlK</t>
  </si>
  <si>
    <r>
      <rPr>
        <sz val="11"/>
        <rFont val="SutonnyMJ"/>
      </rPr>
      <t>gynv¤§v`</t>
    </r>
    <r>
      <rPr>
        <sz val="12"/>
        <rFont val="SutonnyMJ"/>
      </rPr>
      <t xml:space="preserve"> nvwme DR Rvgvb Lvb            cÖfvlK I nvDR wUD: (Imgvbx nj)     †¯‹jt 22000-53060/-                </t>
    </r>
  </si>
  <si>
    <t>gynv¤§` nvwme DR Rvgvb Lvb</t>
  </si>
  <si>
    <t>cÖfvlK( BqvY©)</t>
  </si>
  <si>
    <t>0124801017460</t>
  </si>
  <si>
    <t xml:space="preserve"> myjZvbv D‡¤§ nvweev            cÖfvlK(Kw¤úDUvi)                          †¯‹jt 22000-53060/-               †hvM`vb t 07/06/2023</t>
  </si>
  <si>
    <t xml:space="preserve"> myjZvbv D‡¤§ nvweev  </t>
  </si>
  <si>
    <t>cÖfvlK(Kw¤úDUvi)</t>
  </si>
  <si>
    <t>0124801019649</t>
  </si>
  <si>
    <t xml:space="preserve">‡gvt mvB`yj Bmjvg
 cÖfvlK I nvDR wUD(AvwRR nj)
 †¯‹jt 22000-53060/- 
               </t>
  </si>
  <si>
    <t>‡gvt mvB`yj Bmjvg</t>
  </si>
  <si>
    <t>cÖfvlK(MwbZ I cwimsL¨vb)</t>
  </si>
  <si>
    <t>0124801020314</t>
  </si>
  <si>
    <t xml:space="preserve">cÖ`xß kxj `xc
 cÖfvlK(wnD: GÛ †mvt mvBÝ)
 †¯‹jt 22000-53060/- 
‡hvM`vb t 30/6/2024                  </t>
  </si>
  <si>
    <t>cÖ`xß kxj `xc</t>
  </si>
  <si>
    <t xml:space="preserve"> cÖfvlK(wnD: GÛ †mvt mvBÝ)</t>
  </si>
  <si>
    <t>4405701024309</t>
  </si>
  <si>
    <t xml:space="preserve">gvmygv Av³vi
cÖfvlK()
 †¯‹jt 22000-53060/- 
‡hvM`vb t 01/10/2024)              </t>
  </si>
  <si>
    <t>gvmygv Av³vi</t>
  </si>
  <si>
    <t>0124801020458</t>
  </si>
  <si>
    <t xml:space="preserve">gygZvnxbv  `vBqvb †gvnbv 
cÖfvlK()
 †¯‹jt 22000-53060/- 
‡hvM`vb t 01/10/2024)              </t>
  </si>
  <si>
    <t xml:space="preserve">gygZvnxbv  `vBqvb †gvnbv </t>
  </si>
  <si>
    <t>0124801020460</t>
  </si>
  <si>
    <t xml:space="preserve">W.wibv Lvbg
cÖfvlK(wUGgwWGg)
 †¯‹jt 22000-53060/- 
‡hvM`vb t 01/10/2024)              </t>
  </si>
  <si>
    <t>W.wibv Lvbg</t>
  </si>
  <si>
    <t>cÖfvlK(wUGgwWGg)</t>
  </si>
  <si>
    <t>0124801020451</t>
  </si>
  <si>
    <t xml:space="preserve">‡gvnv¤§` Avãyi  iDd
cÖfvlK(‡dweªK)
 †¯‹jt 22000-53060/- 
‡hvM`vb t 06/10/2024)              </t>
  </si>
  <si>
    <t>‡gvnv¤§` Avãyi  iDd</t>
  </si>
  <si>
    <t>cÖfvlK(‡dweªK)</t>
  </si>
  <si>
    <t>0127101033642</t>
  </si>
  <si>
    <t xml:space="preserve">wmivRyg gwbiv
cÖfvlK(MwbZ)
 †¯‹jt 22000-53060/- 
‡hvM`vb t 01/10/2024)              </t>
  </si>
  <si>
    <t>wmivRyg gwbiv</t>
  </si>
  <si>
    <t>cÖfvlK(MwbZ)</t>
  </si>
  <si>
    <t>4405701000258</t>
  </si>
  <si>
    <t xml:space="preserve">w`w_ ivbx ‡Nvl
cÖfvlK(MwbZ)
 †¯‹jt 22000-53060/- 
‡hvM`vb t 01/10/2024)              </t>
  </si>
  <si>
    <t>w`w_ ivbx ‡Nvl</t>
  </si>
  <si>
    <t>0124801020450</t>
  </si>
  <si>
    <t xml:space="preserve">cjvk `vm
cÖfvlK(AvBwcB)
 †¯‹jt 22000-53060/- 
‡hvM`vb t(16/04/2025)              </t>
  </si>
  <si>
    <t>cjvk `vm</t>
  </si>
  <si>
    <t>cÖfvlK(AvBwcB)</t>
  </si>
  <si>
    <t>0124801020849</t>
  </si>
  <si>
    <t xml:space="preserve">‡gvt wd‡ivR Kwei 
cÖfvlK(AvBwcB) I nvDR wUD(AvwRR)
 †¯‹jt 22000-53060/- 
‡hvM`vb t(27/04/2025)              </t>
  </si>
  <si>
    <t xml:space="preserve">‡gvt wd‡ivR Kwei </t>
  </si>
  <si>
    <t>0124801020868</t>
  </si>
  <si>
    <t xml:space="preserve">‡gvt mvLvIqvZ †nvmvBb
cÖfvlK I nvDR wUD(Imgvbx nj)
 †¯‹jt 22000-53060/- 
‡hvM`vb t(03/07/2025)              </t>
  </si>
  <si>
    <t>‡gvt mvLvIqvZ †nvmvBb</t>
  </si>
  <si>
    <t>cÖfvlK(BqvY©)</t>
  </si>
  <si>
    <t>0124801020991</t>
  </si>
  <si>
    <t xml:space="preserve"> ‡gvnv¤§` bvCgyj Bmjvg
cÖfvlK(BqvY©)
 †¯‹jt 22000-53060/- 
‡hvM`vb t(03/07/2025)              </t>
  </si>
  <si>
    <t xml:space="preserve"> ‡gvnv¤§` bvCgyj Bmjvg</t>
  </si>
  <si>
    <t>0124801020984</t>
  </si>
  <si>
    <t xml:space="preserve">gygZvnxbv gxg
cÖfvlK(BqvY©)
 †¯‹jt 22000-53060/- 
‡hvM`vb t(03/07/2025)              </t>
  </si>
  <si>
    <t>gygZvnxbv gxg</t>
  </si>
  <si>
    <t>1603001025273</t>
  </si>
  <si>
    <t xml:space="preserve">‡gvt Kvq‡Kvev`
cÖfvlK(‡dweªK)
 †¯‹jt 22000-53060/- 
‡hvM`vb t(03/07/2025)              </t>
  </si>
  <si>
    <t>‡gvt Kvq‡Kvev`</t>
  </si>
  <si>
    <t>0124801020986</t>
  </si>
  <si>
    <t xml:space="preserve">‡gvt mvBdzj Bmjvg 
cÖfvlK(‡dweªK)
 †¯‹jt 22000-53060/- 
‡hvM`vb t(03/07/2025)              </t>
  </si>
  <si>
    <t xml:space="preserve">‡gvt mvBdzj Bmjvg </t>
  </si>
  <si>
    <t>0124801021002</t>
  </si>
  <si>
    <t xml:space="preserve">Avãyjøvn mv‡qg
cÖfvlK(‡dweªK)
 †¯‹jt 22000-53060/- 
‡hvM`vb t(03/07/2025)              </t>
  </si>
  <si>
    <t>Avãyjøvn mv‡qg</t>
  </si>
  <si>
    <t>0124801020993</t>
  </si>
  <si>
    <t xml:space="preserve">‡gvt Bgivb †nv‡mb
cÖfvlK(AvBwcB)
 †¯‹jt 22000-53060/- 
‡hvM`vb t(03/07/2025)              </t>
  </si>
  <si>
    <t>‡gvt Bgivb †nv‡mb</t>
  </si>
  <si>
    <t>0124801020985</t>
  </si>
  <si>
    <t xml:space="preserve"> c„w_¡jv Kvgvj
cÖfvlK(wUGgwWGg)
 †¯‹jt 22000-53060/- 
‡hvM`vb t(03/07/2025)              </t>
  </si>
  <si>
    <t>c„w_¡jv Kvgvj</t>
  </si>
  <si>
    <t>0124801020994</t>
  </si>
  <si>
    <t xml:space="preserve">‡gvt Bm&amp;ªvwdj †nvmvBb wiqv`
cÖfvlK(wUGgwWGg)
 †¯‹jt 22000-53060/- 
‡hvM`vb t(03/07/2025)              </t>
  </si>
  <si>
    <t>‡gvt Bm&amp;ªvwdj †nvmvBb wiqv`</t>
  </si>
  <si>
    <t>3706901009239</t>
  </si>
  <si>
    <t xml:space="preserve">G.Gg.Gnmvbyj nK
cÖfvlK(wUGgwWGg)
 †¯‹jt 22000-53060/- 
‡hvM`vb t(03/07/2025)              </t>
  </si>
  <si>
    <t>G.Gg.Gnmvbyj nK</t>
  </si>
  <si>
    <t>0124801012007</t>
  </si>
  <si>
    <t xml:space="preserve">‡gvt gynZvw`i ingvb
cÖfvlK(wUGgwWGg)
 †¯‹jt 22000-53060/- 
‡hvM`vb t(03/07/2025)              </t>
  </si>
  <si>
    <t>‡gvt gynZvw`i ingvb</t>
  </si>
  <si>
    <t>1309401048006</t>
  </si>
  <si>
    <t xml:space="preserve">‡gvt kvn BKevj
cÖfvlK(WvBR GÛ †Kwg:)
 †¯‹jt 22000-53060/- 
‡hvM`vb t(03/07/2025)              </t>
  </si>
  <si>
    <t>‡gvt kvn BKevj</t>
  </si>
  <si>
    <t>cÖfvlK(WvBR GÛ †Kwg:)</t>
  </si>
  <si>
    <t>0124801000360</t>
  </si>
  <si>
    <t xml:space="preserve">gy¯ÍvwKgyj †nv‡mb mvCd
cÖfvlK I  nvDR wUD(bRiæj nj)
 †¯‹jt 22000-53060/- 
‡hvM`vb t(03/07/2025)              </t>
  </si>
  <si>
    <t>gy¯ÍvwKgyj †nv‡mb mvCd</t>
  </si>
  <si>
    <t>cÖfvlK(‡U·:g¨v‡U:BwÄ)</t>
  </si>
  <si>
    <t>0124801020996</t>
  </si>
  <si>
    <t xml:space="preserve">gvngy`yj nvmvb
cÖfvlK(WvBR GÛ †Kwg:)
 †¯‹jt 22000-53060/- 
‡hvM`vb t(03/07/2025)              </t>
  </si>
  <si>
    <t>gvngy`yj nvmvb</t>
  </si>
  <si>
    <t>0124801020980</t>
  </si>
  <si>
    <t xml:space="preserve">Aw`ª `vk
cÖfvlK(AvBwcB)
 †¯‹jt 22000-53060/- 
‡hvM`vb t(03/07/2025)              </t>
  </si>
  <si>
    <t>Aw`ª `vk</t>
  </si>
  <si>
    <t>0124801020981</t>
  </si>
  <si>
    <t xml:space="preserve">‡gvt ‡i`Iqvbyi ingvb
cÖfvlK(‡dweªK)
 †¯‹jt 22000-53060/- 
‡hvM`vb t(03/07/2025)              </t>
  </si>
  <si>
    <t>‡gvt ‡i`Iqvbyi ingvb</t>
  </si>
  <si>
    <t>0124801020995</t>
  </si>
  <si>
    <t xml:space="preserve">Avãyjøvn Avj mvBd
cÖfvlK(‡dweªK)
 †¯‹jt 22000-53060/- 
‡hvM`vb t(03/07/2025)              </t>
  </si>
  <si>
    <t>Avãyjøvn Avj mvBd</t>
  </si>
  <si>
    <t>0124801021003</t>
  </si>
  <si>
    <t xml:space="preserve">‡gvt dvwngyj Bmjvg
cÖfvlK(AvBwcB)
 †¯‹jt 22000-53060/- 
‡hvM`vb t(03/07/2025)              </t>
  </si>
  <si>
    <t>‡gvt dvwngyj Bmjvg</t>
  </si>
  <si>
    <t>0124801021010</t>
  </si>
  <si>
    <t xml:space="preserve">‡gvt Kvgiæj Bmjvg
cÖfvlK(Gbfvqi: †g:mv)
 †¯‹jt 22000-53060/- 
‡hvM`vb t(05/10/2025)              </t>
  </si>
  <si>
    <t>‡gvt Kvgiæj Bmjvg</t>
  </si>
  <si>
    <t>cÖfvlK(Gbfvqi: †g:mv)</t>
  </si>
  <si>
    <t>0124801021150</t>
  </si>
  <si>
    <t xml:space="preserve">L›`Kvi Beªvnxg
cÖfvlK(g¨v‡Uwiqvj : BwÄ:)
 †¯‹jt 22000-53060/- 
‡hvM`vb t(05/10/2025)              </t>
  </si>
  <si>
    <t>L›`Kvi Beªvnxg</t>
  </si>
  <si>
    <t>cÖfvlK(g¨v‡Uwiqvj : BwÄ:)</t>
  </si>
  <si>
    <t>0124801021161</t>
  </si>
  <si>
    <t>Ave`yjøvn kvnwiqvi
cÖfvlK (Gbfvqib‡g›U)
‡¯‹j t 222000-53060/-
‡hvM`vb : 04/02/2026</t>
  </si>
  <si>
    <t>Ave`yjøvn kvnwiqvi</t>
  </si>
  <si>
    <t>cÖfvlK (Gbfvqib‡g›U)</t>
  </si>
  <si>
    <t>0124801021341</t>
  </si>
  <si>
    <t>‡gvQv t bymivZ Rvnvb 
cÖfvlK (‡KwgK¨vj BwÄ)
‡¯‹j t 222000-53060/-
‡hvM`vb : 09/02/2026</t>
  </si>
  <si>
    <t>‡gvQv t bymivZ Rvnvb</t>
  </si>
  <si>
    <t>cÖfvlK (‡KwgK¨vj BwÄ)</t>
  </si>
  <si>
    <t>0124801021347</t>
  </si>
  <si>
    <t>me©‡gvU</t>
  </si>
  <si>
    <t>Avey Qv‡jn †gvt Rûiæj nK       
G¨vwmm‡U›U †gBbwUb¨vÝ BwÄwbqvi                
‡¯‹j t 22000-53060/-</t>
  </si>
  <si>
    <t>Kg©KZ©v‡`i †eZb-fvZvw`i wej - Ryb  2026|</t>
  </si>
  <si>
    <t>bvg, c`ex I †eZb‡¯‹j</t>
  </si>
  <si>
    <t>we‡kl  fvZv/`vwqZ¡ fvZv</t>
  </si>
  <si>
    <t>‡Uwj/†gvev 
fvZv</t>
  </si>
  <si>
    <t>wk¶v 
fvZv</t>
  </si>
  <si>
    <t>M¨vmwej</t>
  </si>
  <si>
    <t>cvwb I 
cqtKi</t>
  </si>
  <si>
    <t>Kg©KZ©v
mwgwZi 
Puv`v</t>
  </si>
  <si>
    <t>AwWU AvcwËK…Z A_© Av`vq/ewaZ© †eZb KZ©b/ †W †Kqvi</t>
  </si>
  <si>
    <t xml:space="preserve"> †KvW bs </t>
  </si>
  <si>
    <t>AwMÖg
cÖZ¨vnvi</t>
  </si>
  <si>
    <t xml:space="preserve">gynv¤§` Kvgiæ¾vgvb †PŠayix
Dc-cwiPvjK  (A_© I wnmve)
‡¯‹jt 50000-71200/- </t>
  </si>
  <si>
    <t>gynv¤§` Kvgiæ¾vgvb †PŠayix</t>
  </si>
  <si>
    <t>Dc-cwiPvjK (A_© I wnmve)</t>
  </si>
  <si>
    <t>0124100087114</t>
  </si>
  <si>
    <t xml:space="preserve">†gvt †iRvDj nK
cix¶v wbqš¿K (P:`v)
‡¯‹jt 50000-71200/- </t>
  </si>
  <si>
    <t>†gvt †iRvDj nK</t>
  </si>
  <si>
    <t>cix¶v wbqš¿K (P:`v)</t>
  </si>
  <si>
    <t>0124100086666</t>
  </si>
  <si>
    <t>‡gvt gwbiæ¾vgvb
Dc- cwiPvjK (AwWU)
‡¯‹jt 43000-69850/-</t>
  </si>
  <si>
    <t>†gvt gwbiæ¾vgvb</t>
  </si>
  <si>
    <t>Dc-cwiPvjK (AwWU )</t>
  </si>
  <si>
    <t>0124100086186</t>
  </si>
  <si>
    <t>&amp;</t>
  </si>
  <si>
    <t>gynv¤§` kixdzi ingvb
‡WcywU †iwRóªviGBP Avi(AwZ: `vwqZ¡ GKv‡WwgK)
‡¯‹jt 43000-69850/-</t>
  </si>
  <si>
    <t>gynv¤§` kixdzi ingvb</t>
  </si>
  <si>
    <t>‡WcywU †iwR÷ªvi</t>
  </si>
  <si>
    <t>0124100086616</t>
  </si>
  <si>
    <t>‡gvt †gveviK †nv‡mb
Dc- cix¶v wbqš¿K
‡¯‹jt 43000-69850/-</t>
  </si>
  <si>
    <t>‡gvt †gveviK †nv‡mb</t>
  </si>
  <si>
    <t>Dc- cix¶v wbqš¿K</t>
  </si>
  <si>
    <t>0124801012014</t>
  </si>
  <si>
    <t>¯^cb Kzgvi gÛj
Dc- cwiPvjK(wdwRt GWyt)
‡¯‹jt 43000-69850/-</t>
  </si>
  <si>
    <t>¯^cb Kzgvi gÛj</t>
  </si>
  <si>
    <t>Dc- cwiPvjK(wdwRt GWyt)</t>
  </si>
  <si>
    <t>0124100087841</t>
  </si>
  <si>
    <t xml:space="preserve">D‡¤§ gnwmbv AvwQqv †eMg
Dc- cwiPvjK 
†¯‹jt 43000-69850/-              </t>
  </si>
  <si>
    <t>D‡¤§ gnwmbv AvwQqv †eMg</t>
  </si>
  <si>
    <t xml:space="preserve">Dc- cwiPvjK </t>
  </si>
  <si>
    <t>0124801014643</t>
  </si>
  <si>
    <t xml:space="preserve">kviwgb Av³vi 
Dc- cwiPvjK(m¨vjvix) 
‡¯‹jt 43000-69850/-   </t>
  </si>
  <si>
    <t xml:space="preserve">Dc- cwiPvjK(m¨vjvix) </t>
  </si>
  <si>
    <t>0124801012979</t>
  </si>
  <si>
    <t xml:space="preserve"> gviRvbx Zzeb bvnvi
Dc- cix¶v wbqš¿K
‡¯‹j t 43000-69850/-   </t>
  </si>
  <si>
    <t>gviRvbx Zzeb bvnvi</t>
  </si>
  <si>
    <t>0124100087767</t>
  </si>
  <si>
    <t xml:space="preserve"> †gvt Avwmdzi ingvb  
†cÖvMÖvgvi
†¯‹j t 35500-67010/-              </t>
  </si>
  <si>
    <t>‡gvt Avwmdzi ingvb</t>
  </si>
  <si>
    <t>†cÖvMÖvgvi</t>
  </si>
  <si>
    <t>0124801013618</t>
  </si>
  <si>
    <t>wRwc 34/48</t>
  </si>
  <si>
    <t xml:space="preserve">‡kL †gvt gvkiƒi hvqxg  
wmwbqi mn: cÖ‡KŠkjx (wmwfj) 
 †¯‹jt 35500-67010/-           </t>
  </si>
  <si>
    <t>‡kL †gvt gvkiƒg hvqxg</t>
  </si>
  <si>
    <t>wmwbqi mn: cÖ‡KŠkjx (wmwfj)</t>
  </si>
  <si>
    <t>0124801013968</t>
  </si>
  <si>
    <t>‡gvt AvdRvj †nv‡mb
wbevnx© cÖ‡KŠkjx
35500-67010/-</t>
  </si>
  <si>
    <t>‡gvt AvdRvj †nv‡mb</t>
  </si>
  <si>
    <t>wbevnx© cÖ‡KŠkjx</t>
  </si>
  <si>
    <t>0124801019930</t>
  </si>
  <si>
    <t>AjK P›`ª †`
mnKvix cwiPvjK(ev‡RU)
‡¯‹jt 29000-63410/-</t>
  </si>
  <si>
    <t>AjK P›`ª †`</t>
  </si>
  <si>
    <t>mnKvix cwiPvjK(ev‡RU)</t>
  </si>
  <si>
    <t>0124100093112</t>
  </si>
  <si>
    <t>‡nvmvBb †gvnv¤§` AvKei  
mnKvix cwiPvjK(cÖwKDi‡g›U)
‡¯‹jt 29000-63410/-</t>
  </si>
  <si>
    <t>‡nvmvBb †gvnv¤§` AvKei</t>
  </si>
  <si>
    <t>mnKvix cwiPvjK(cÖwKDi‡g›U)</t>
  </si>
  <si>
    <t>0124100089859</t>
  </si>
  <si>
    <t>BwZgwb
mnKvix ‡iwR÷ªvi (GBP Avi) 
‡¯‹jt 29000-63410/-</t>
  </si>
  <si>
    <t>BwZgwb</t>
  </si>
  <si>
    <t xml:space="preserve">mnKvix ‡iwR÷ªvi (GBP Avi)  </t>
  </si>
  <si>
    <t>0124100093059</t>
  </si>
  <si>
    <t>wRwc   14/48</t>
  </si>
  <si>
    <t>†gvt dviæKzj Bmjvg †PŠt
wmwbqi †UKwbK¨vj Awdmvi 
‡¯‹j 29000-53060/-</t>
  </si>
  <si>
    <t>†gvt dviæKzj Bmjvg †PŠt</t>
  </si>
  <si>
    <t xml:space="preserve"> wmwbt †UKwbK¨vj Awdmvi (j¨ve)</t>
  </si>
  <si>
    <t>0124100056872</t>
  </si>
  <si>
    <t>‡nv‡mb knx` miIqv`©x 
©wmwbqi †UKwbK¨vj Awdmvi
‡¯‹j : 29000-63410/-</t>
  </si>
  <si>
    <t>‡nv‡mb knx` †mviIqv`x©</t>
  </si>
  <si>
    <t>wmwbt †UKwbK¨vj Awdmvi (j¨ve)</t>
  </si>
  <si>
    <t>0124100089436</t>
  </si>
  <si>
    <t>†gvt RvKvwiqv ingvb
wmwbqi †UKwbK¨vj Awdmvi 
‡¯‹j: 29000-63410/-</t>
  </si>
  <si>
    <t>‡gvt RvKvwiqv ingvb</t>
  </si>
  <si>
    <t>0124100085096</t>
  </si>
  <si>
    <t>wRwc  16/48</t>
  </si>
  <si>
    <t xml:space="preserve">RvwKiæj Bmjvg wcUvi
mnKvix ‡iwR÷ªvi(GKv‡WwgK)
  ‡¯‹jt 29000-63410/-        </t>
  </si>
  <si>
    <t xml:space="preserve">RvwKiæj Bmjvg wcUvi   </t>
  </si>
  <si>
    <t>mnKvix ‡iwR÷ªvi (GKv‡WwgK)</t>
  </si>
  <si>
    <t>2611201003232</t>
  </si>
  <si>
    <t>†gvQvt †di‡`Šmx LvZzb
mnKvix ‡iwR÷ªvi (GKv‡WwgK)
‡¯‹jt 29000-63410/-</t>
  </si>
  <si>
    <t>‡gvQvt †di‡`Šmx LvZzb</t>
  </si>
  <si>
    <t>0124100097005</t>
  </si>
  <si>
    <t>wRwc   19/33</t>
  </si>
  <si>
    <t>†gvt Rvnv½xi ‡nv‡mb
wmwbqi †UKwbK¨vj Awdmvi
‡¯‹jt 29000-63410/-</t>
  </si>
  <si>
    <t>†gvt Rvnv½xi ‡nv‡mb</t>
  </si>
  <si>
    <t>wmwbqi †UKwbK¨vj Awdmvi</t>
  </si>
  <si>
    <t>0124100089385</t>
  </si>
  <si>
    <t>wRwc 3/48</t>
  </si>
  <si>
    <t xml:space="preserve">iæKmvbv RvbœvZ bIixb
mnKvix cwiPvjK (wi‡cvwUs)
‡¯‹jt 29000-63410/-        </t>
  </si>
  <si>
    <t>iæKmvbv RvbœvZ bIwib</t>
  </si>
  <si>
    <t>mnKvix cwiPvjK (wi‡cvwUs)</t>
  </si>
  <si>
    <t>0124801013965</t>
  </si>
  <si>
    <t xml:space="preserve">‡gvt kwdKzj Bmjvg
mn: cwi: cvewjK : wi‡jkb
†¯‹jt 29000-63410/-            </t>
  </si>
  <si>
    <t xml:space="preserve">‡gvt kwdKzj Bmjvg </t>
  </si>
  <si>
    <t>mn: cwi: cvewjK : wi‡jkb</t>
  </si>
  <si>
    <t>0124801014068</t>
  </si>
  <si>
    <t>wRwc   1/48</t>
  </si>
  <si>
    <t>‡gvt Gnmvbyj Kwig
mnKvix †iwR÷ªvi
†¯‹jt 29000-63410/-</t>
  </si>
  <si>
    <t>‡gvt Gnmvbyj Kwig</t>
  </si>
  <si>
    <t>mnKvix †iwR÷ªvi</t>
  </si>
  <si>
    <t>0124100084066</t>
  </si>
  <si>
    <r>
      <t xml:space="preserve">†gvnv¤§` Avwidzi ingvb
mnKvix †iwR÷ªvi
†¯‹jt 29000-63410/-
</t>
    </r>
    <r>
      <rPr>
        <sz val="8"/>
        <color indexed="8"/>
        <rFont val="SutonnyMJ"/>
      </rPr>
      <t xml:space="preserve">wkÿvQzwU :01/02/2026 †_‡K 31/01/2030 </t>
    </r>
  </si>
  <si>
    <t>‡gvt Avwidzi ingvb</t>
  </si>
  <si>
    <t>0124801012484</t>
  </si>
  <si>
    <t xml:space="preserve">wRwc  21/48 wkÿvQzwU </t>
  </si>
  <si>
    <t xml:space="preserve"> ‡gvt wejøvj †nv‡mb
mnKvix †iwR÷ªvi
†¯‹jt 29000-63410/-</t>
  </si>
  <si>
    <t>0124801012485</t>
  </si>
  <si>
    <t>wRwc  14/40</t>
  </si>
  <si>
    <t>†gvt dviæK †nvmvBb
mnKvix †iwR÷ªvi
†¯‹jt 29000-63410/-</t>
  </si>
  <si>
    <t>‡gvt dviæK †nvmvBb</t>
  </si>
  <si>
    <t>0124801012486</t>
  </si>
  <si>
    <t xml:space="preserve"> †gvt kvgxg Bmjvg
mnKvix cwiPvjK   
  †¯‹jt 29000-63410/-</t>
  </si>
  <si>
    <t xml:space="preserve"> †gvt kvgxg Bmjvg</t>
  </si>
  <si>
    <t xml:space="preserve">mnKvix cwiPvjK </t>
  </si>
  <si>
    <t>0124801016234</t>
  </si>
  <si>
    <t>wRwc 6/40</t>
  </si>
  <si>
    <t>cjvk P›`ª bv_             wmwbqi†UKwbK¨vj Awdmvi 
‡¯‹jt 29000-63410/-</t>
  </si>
  <si>
    <t>cjvk P›`ª bv_</t>
  </si>
  <si>
    <t>wmwbqi†UKwbK¨vj Awdmvi</t>
  </si>
  <si>
    <t>0124100032873</t>
  </si>
  <si>
    <t>wRwc  15/20</t>
  </si>
  <si>
    <t xml:space="preserve"> Avãyj gwZb †`Iqvb
mnKvix cwiPvjK(wej GÛ dvÛ)
 †¯‹jt 29000- 63410/-</t>
  </si>
  <si>
    <t xml:space="preserve"> Avãyj gwZb †`Iqvb</t>
  </si>
  <si>
    <t>mnKvix cwiPvjK(wej GÛ dvÛ)</t>
  </si>
  <si>
    <t>0124801016235</t>
  </si>
  <si>
    <t xml:space="preserve"> AvwZKzi ingvb 
mnKvix cwiPvjK(cwiKíbv)
 †¯‹jt 29000- 63410/-
‡hvM`vbt 03/07/2025</t>
  </si>
  <si>
    <t xml:space="preserve">AvwZKzi ingvb </t>
  </si>
  <si>
    <t>mnKvix cwiPvjK(cwiKíbv)</t>
  </si>
  <si>
    <t>0124801020972</t>
  </si>
  <si>
    <t>mviwgb Av³vi                    wmwbqi †UKwbK¨vj Awdmvi                †¯‹jt 29000-63410/-</t>
  </si>
  <si>
    <t>mviwgb Av³vi</t>
  </si>
  <si>
    <t>†UKwbK¨vj Awdmvi (j¨ve)</t>
  </si>
  <si>
    <t>0124100089899</t>
  </si>
  <si>
    <t>‡gvnv¤§` AvjvDwÏb
 wmwbqi †UKwbK¨vj Awdmvi                †¯‹jt 29000-63410/-</t>
  </si>
  <si>
    <t xml:space="preserve"> †UKwbK¨vj Awdmvi</t>
  </si>
  <si>
    <t>0124100089688</t>
  </si>
  <si>
    <t>wRwc  10/48</t>
  </si>
  <si>
    <t>gxi ‡gvt Avwgbyj BKivg
†UKwbK¨vj Awdmvi
‡¯‹j 29000-63410/-</t>
  </si>
  <si>
    <t>gxi ‡gvt Avwgbyj BKivg</t>
  </si>
  <si>
    <t>†UKwbK¨vj Awdmvi</t>
  </si>
  <si>
    <t>0124100069865</t>
  </si>
  <si>
    <t>‡gvnv¤§` †Zvdv‡qj †nv‡mb Lvb
†UKwbK¨vj Awdmvi
‡¯‹j t 22000-53060/-</t>
  </si>
  <si>
    <t>‡gvt †Zvdv‡qj †nv‡mb Lvb</t>
  </si>
  <si>
    <t>0124100089739</t>
  </si>
  <si>
    <t>‡gvt BDbyQ Avjx 
 †UKwbK¨vj Awdmvi
‡¯‹j t 22000-53060/-</t>
  </si>
  <si>
    <t>‡gvt BDbyQ Avjx</t>
  </si>
  <si>
    <t>0124100089819</t>
  </si>
  <si>
    <t>wRwc  7/48</t>
  </si>
  <si>
    <t>Avt ev‡iK wgqv 
 †UKwbK¨vj Awdmvi
‡¯‹j t 22000-53060/-</t>
  </si>
  <si>
    <t>Avt ev‡iK wgqv</t>
  </si>
  <si>
    <t>0124100085944</t>
  </si>
  <si>
    <t>wRwc   5/48</t>
  </si>
  <si>
    <t xml:space="preserve">‡gvt AvLjvKzi ingvb           †UKwbK¨vj Awdmvi  
  ‡¯‹j t 22000-53060/-                </t>
  </si>
  <si>
    <t>‡gvt AvLjvKzi ingvb</t>
  </si>
  <si>
    <t>0124801013230</t>
  </si>
  <si>
    <t xml:space="preserve">gvndzRv ‡eMg 
 †mKkb Awdmvi
‡¯‹j t 22000-53060/- 
</t>
  </si>
  <si>
    <t>gvndzRv ‡eMg</t>
  </si>
  <si>
    <t>†mKkb Awdmvi</t>
  </si>
  <si>
    <t>0124100010857</t>
  </si>
  <si>
    <t>‡gvt mvnv`vZ †nv‡mb
†mKkb Awdmvi
‡¯‹j t 22000-53060/-</t>
  </si>
  <si>
    <t>‡gvt mvnv`vZ †nv‡mb</t>
  </si>
  <si>
    <t>0124100063454</t>
  </si>
  <si>
    <t>wRwc  6/28</t>
  </si>
  <si>
    <t>LvZzb-B-RvbœvZ
†mKkb Awdmvi
‡¯‹j t 22000-53060/-</t>
  </si>
  <si>
    <t>Rbve LvZzb-B-RvbœvZ</t>
  </si>
  <si>
    <t>0124100090233</t>
  </si>
  <si>
    <t>wRwc 17/48</t>
  </si>
  <si>
    <t>‡gvnv¤§` Lv‡j` †nv‡mb
†mKkb Awdmvi
‡¯‹j t 22000-53060/-</t>
  </si>
  <si>
    <t>‡gvnv¤§` Lv‡j` †nv‡mb</t>
  </si>
  <si>
    <t>0124100088729</t>
  </si>
  <si>
    <t>‡gvt AvwRRyj nK Lv‡j` 
†mKkb Awdmvi
‡¯‹j t 22000-53060/-</t>
  </si>
  <si>
    <t>‡gvt AvwRRyj nK Lv‡j`</t>
  </si>
  <si>
    <t>0124100093009</t>
  </si>
  <si>
    <t>wRwc   21/40</t>
  </si>
  <si>
    <t>†gvt AvZvDi ingvb
 †UKwbK¨vj Awdmvi
‡¯‹j t 22000-53060/-</t>
  </si>
  <si>
    <t>†gvt AvZvDi ingvb</t>
  </si>
  <si>
    <t>‡UKwbK¨vj Awdmvi</t>
  </si>
  <si>
    <t>0124100045393</t>
  </si>
  <si>
    <t>‡gvt Ave`yi iv¾vK
‡UKwbK¨vj Awdmvi
‡¯‹j t 22000-53060/-</t>
  </si>
  <si>
    <t>‡gvt Ave`yi iv¾vK</t>
  </si>
  <si>
    <t>0124100089355</t>
  </si>
  <si>
    <t>Avey Qv‡jn †gvt Rûiæj nK 
G¨vwmm: †gBb:BwÄ
‡¯‹j t 22000-53060/-</t>
  </si>
  <si>
    <t>Avey mv‡jn †gvt Rûiæj nK</t>
  </si>
  <si>
    <t xml:space="preserve">G¨vwmm: †gBb:BwÄ </t>
  </si>
  <si>
    <t>0124801012801</t>
  </si>
  <si>
    <t>wRwc  29/48</t>
  </si>
  <si>
    <t xml:space="preserve">‡gvt Beªvwng Lwjj
‡UKwbK¨vj Awdmvi
‡¯‹j t 22000-53060/-       </t>
  </si>
  <si>
    <t>‡gvt Beªvwng Lwjj</t>
  </si>
  <si>
    <t>0124801018527</t>
  </si>
  <si>
    <t xml:space="preserve">‡gvt igRvb Avjx ZvjyK`vi    mntcÖ‡KŠkjx(wmwfj)               †¯‹jt 22000-53060/-                                                                                        </t>
  </si>
  <si>
    <t>‡gvt igRvb Avjx ZvjyK`vi</t>
  </si>
  <si>
    <t>mnt cÖ‡KŠkjx (wmwfj)</t>
  </si>
  <si>
    <t>0124801013310</t>
  </si>
  <si>
    <t>wRwc  9/48</t>
  </si>
  <si>
    <t xml:space="preserve"> Avnbvd Avex` gg                 †UK:Awdmvi                       †¯‹jt 22000-53060/-                 </t>
  </si>
  <si>
    <t>Avnbvd Avex` gg</t>
  </si>
  <si>
    <t xml:space="preserve">†UK:Awdmvi   </t>
  </si>
  <si>
    <t>0124801015620</t>
  </si>
  <si>
    <t xml:space="preserve"> Bfv Av³vi
‡mKkb Awdmvi
†¯‹jt 22000-53060/-</t>
  </si>
  <si>
    <t>Rbve Bfv Av³vi</t>
  </si>
  <si>
    <t>‡mKkb Awdmvi</t>
  </si>
  <si>
    <t>0124801012708</t>
  </si>
  <si>
    <t>‡gvt bvRgyj nvmvb
ev‡RU GÛ GKvD›Um Awdmvi
†¯‹jt 22000-53060/- †hvM`vb t 15/02/2024</t>
  </si>
  <si>
    <t>‡gvt bvRgyj nvmvb</t>
  </si>
  <si>
    <t>ev‡RU GÛ GKvD›Um Awdmvi</t>
  </si>
  <si>
    <t>0110701005228</t>
  </si>
  <si>
    <t xml:space="preserve">iæ‡ej ivbv
Gwmm‡U›U †gBwUb¨vÝ BwÄwbqvi                                              †¯‹jt 22000-53060/-          </t>
  </si>
  <si>
    <t xml:space="preserve">iæ‡ej ivbv </t>
  </si>
  <si>
    <t>Gwmm‡U›U †gBwUb¨vÝ BwÄwbqvi</t>
  </si>
  <si>
    <t>0124801015834</t>
  </si>
  <si>
    <t>wRwc  23/48</t>
  </si>
  <si>
    <t xml:space="preserve">wicb ZvjyK`vi                     †UK:Awdmvi(‡gKvwbK¨vj)
†¯‹jt22000-53060/-                        </t>
  </si>
  <si>
    <t>wicb ZvjyK`vi</t>
  </si>
  <si>
    <t>†UK:Awdmvi(‡gKvwbK¨vj)</t>
  </si>
  <si>
    <t>0124801015512</t>
  </si>
  <si>
    <t>‡gvt Avey mvqx`
†UKwbK¨vj Awdmvi
‡¯‹j t 22000-53060/-</t>
  </si>
  <si>
    <t>‡gvt Avey mvqx`</t>
  </si>
  <si>
    <t>0124100055641</t>
  </si>
  <si>
    <t>dv‡Zgv bymivZ
‡mKkb Awdmvi
†¯‹jt 22000-53060/-
‡hvM`vb t  17/03/2025</t>
  </si>
  <si>
    <t>dv‡Zgv bymivZ</t>
  </si>
  <si>
    <t>0124801020805</t>
  </si>
  <si>
    <t xml:space="preserve">dvinvbv Av³vi                 
‡mKkb Awdmvi
†¯‹jt 22000-53060/-        </t>
  </si>
  <si>
    <t>dvinvbv Av³vi</t>
  </si>
  <si>
    <t xml:space="preserve"> cÖkvmwbK Kg©KZ©v</t>
  </si>
  <si>
    <t>0124801012142</t>
  </si>
  <si>
    <t>RvwKqv Av³vi 
‡mKkb Awdmvi
†¯‹jt 22000-530/-</t>
  </si>
  <si>
    <t xml:space="preserve">RvwKqv Av³vi </t>
  </si>
  <si>
    <t>cÖkvmwbK Kg©KZ©v</t>
  </si>
  <si>
    <t>0124100090607</t>
  </si>
  <si>
    <t xml:space="preserve">we.Gg kwn`yj Bmjvg
   ‡mKkb Awdmvi
†¯‹jt 22000-53060/-              </t>
  </si>
  <si>
    <t>we.Gg kwn`yj Bmjvg</t>
  </si>
  <si>
    <t>0124801014633</t>
  </si>
  <si>
    <t>Wv t cvifxb myjZvbv
‡gwWK¨vj Awdmvi
‡¯‹j: 22000-53060/-</t>
  </si>
  <si>
    <t>W.cvifxb myjZvbv</t>
  </si>
  <si>
    <t>‡gwWK¨vj Awdmvi</t>
  </si>
  <si>
    <t>0124801021005</t>
  </si>
  <si>
    <t>‡gvt †Lv‡k©` Avjg
 †UKwbK¨vj Awdmvi
‡¯‹jt 22000-53060/-</t>
  </si>
  <si>
    <t>‡gvt †Lv‡k©` Avjg</t>
  </si>
  <si>
    <t>mnKvix ‡UKwbK¨vj Awdmvi</t>
  </si>
  <si>
    <t>0124100030954</t>
  </si>
  <si>
    <t>‡gvt eveyj AvLZvi
 †UKwbK¨vj Awdmvi  
†¯‹j t 22000-53060/-</t>
  </si>
  <si>
    <t>‡gvt eveyj AvLZvi</t>
  </si>
  <si>
    <t>0124100047483</t>
  </si>
  <si>
    <t>wRwc  23/40</t>
  </si>
  <si>
    <t xml:space="preserve"> ‡gvt iIkvby¾vgvb Kvbb
 †UKwbK¨vj  Awdmvi
†¯‹jt 22000-53060/-
†hvM`vb t 18/05/2022</t>
  </si>
  <si>
    <t xml:space="preserve"> ‡gvt iIkvby¾vgvb Kvbb</t>
  </si>
  <si>
    <t xml:space="preserve">mnKvix †UK: Awdmvi </t>
  </si>
  <si>
    <t>0124801018475</t>
  </si>
  <si>
    <t xml:space="preserve"> ‡gvt Kvgiæ¾vgvb 
 †UKwbK¨vj  Awdmvi 
 †¯‹jt 22000-53060/-  
 †hvM`vb t 31/05/2022</t>
  </si>
  <si>
    <t xml:space="preserve"> ‡gvt Kvgiæ¾vgvb</t>
  </si>
  <si>
    <t>mnKvix †UK: Awdmvi</t>
  </si>
  <si>
    <t>0124801018521</t>
  </si>
  <si>
    <t xml:space="preserve"> ‡gvt ‡gv¾v‡gj nK
†UKwbK¨vj  Awdmvi
†¯‹jt 22000-53060/-
†hvM`vb t 1/06/2022</t>
  </si>
  <si>
    <t xml:space="preserve"> ‡gvt ‡gv¾v‡gj nK</t>
  </si>
  <si>
    <t>0124801018518</t>
  </si>
  <si>
    <t>bvQwib Av³vi
GKvD›Um Awdmvi
†¯‹jt 22000-53060/-  
 †hvM`vb t 4/07/2022</t>
  </si>
  <si>
    <t>bvQwib Av³vi</t>
  </si>
  <si>
    <t>mnKvix GKvD›Um Awdmvi</t>
  </si>
  <si>
    <t>0124801018571</t>
  </si>
  <si>
    <t>‡gvt Avwidzj Bmjvg
 †UKwbK¨vj  Awdmvi 
 †¯‹jt 22000-53060
†hvM`vb t 4/07/2022Acivý</t>
  </si>
  <si>
    <t>‡gvt Avwidzj Bmjvg</t>
  </si>
  <si>
    <t xml:space="preserve">mnKvix †UK: Awdmvi   </t>
  </si>
  <si>
    <t>0124801018574</t>
  </si>
  <si>
    <t xml:space="preserve">MxZv ivYx Kg©Kvi
 ‡mKkb Awdmvi
†¯‹jt 22000-53060/-  </t>
  </si>
  <si>
    <t>MxZv ivYx Kg©Kvi</t>
  </si>
  <si>
    <t>0124801012441</t>
  </si>
  <si>
    <t>wRwc  11/30</t>
  </si>
  <si>
    <t xml:space="preserve"> mvjvn DwÏb
 †UK: Awdmvi          
†¯‹jt 22000-53060/-    </t>
  </si>
  <si>
    <t xml:space="preserve"> mvjvn DwÏb</t>
  </si>
  <si>
    <t>0124801018483</t>
  </si>
  <si>
    <t xml:space="preserve"> ‡gvt Zvbfxi Avn‡g` †mŠif
 †UK: Awdmvi             
†¯‹jt 22000-53060/-   </t>
  </si>
  <si>
    <t xml:space="preserve"> ‡gvt Zvbfxi Avn‡g` †mŠif</t>
  </si>
  <si>
    <t>0124801018484</t>
  </si>
  <si>
    <t xml:space="preserve">gywneŸyi ingvb                    
 AwWU GÛ GKv: Awdmvi 
 †¯‹jt 22000-53060/- </t>
  </si>
  <si>
    <t>gywneŸyi ingvb</t>
  </si>
  <si>
    <t>mnKvix AwWU GÛ GKv: Awdmvi</t>
  </si>
  <si>
    <t>0124801015069</t>
  </si>
  <si>
    <t xml:space="preserve">Bgivbyj nvmvb                        ‡mKkb Awdmvi 
 †¯‹jt 22000-53060/- </t>
  </si>
  <si>
    <t xml:space="preserve">Bgivbyj nvmvb   </t>
  </si>
  <si>
    <t xml:space="preserve">cÖkvmwbK Kg©KZ©v   </t>
  </si>
  <si>
    <t>0124801013414</t>
  </si>
  <si>
    <t xml:space="preserve">‡gvt gvmy` ivbv
  wnmveiÿY Kg©KZ©v
 †¯‹jt 22000-53060/-   </t>
  </si>
  <si>
    <t>‡gvt gvmy` ivbv</t>
  </si>
  <si>
    <t>mnKvix  wnmveiÿY Kg©KZ©v</t>
  </si>
  <si>
    <t>0124801015561</t>
  </si>
  <si>
    <t>wRwc  5/48</t>
  </si>
  <si>
    <t>‡gvt kvn&amp; Kvgvj
  wnmveiÿY Kg©KZ©v
 †¯‹jt 22000-53060/-  
‡hvM`vb :  03/05/2026</t>
  </si>
  <si>
    <t>‡gvt kvn&amp; Kvgvj</t>
  </si>
  <si>
    <t xml:space="preserve"> wnmveiÿY Kg©KZ©v</t>
  </si>
  <si>
    <t>0124801021441</t>
  </si>
  <si>
    <t>2q †kÖbx</t>
  </si>
  <si>
    <t>‡gvt gÄyi Avjg                    mnKvix  †UK:Awdmvi(cv¤ú) †¯‹jt 16000-38640/-</t>
  </si>
  <si>
    <t>‡gvt gÄyi Avjg</t>
  </si>
  <si>
    <t>mnt †UKwbK¨vj Awdmvi(cv¤ú)</t>
  </si>
  <si>
    <t>0124100059962</t>
  </si>
  <si>
    <t>‡gvt AvBqye Avjx
mnKvix †UK: Awdmvi (cv¤ú)    †¯‹jt 16000-38640/-</t>
  </si>
  <si>
    <t>‡gvt AvBqye Avjx</t>
  </si>
  <si>
    <t>mnKvix †UK: Awdmvi (cv¤ú)</t>
  </si>
  <si>
    <t>0124100062738</t>
  </si>
  <si>
    <t xml:space="preserve">  ‡gvt Ave`yj gv‡jK (2)
mnKvix †UK: Awdmvi (cv¤ú)   †¯‹jt 16000-38640/-</t>
  </si>
  <si>
    <t xml:space="preserve">  ‡gvt Ave`yj gv‡jK (2)</t>
  </si>
  <si>
    <t>0124100063444</t>
  </si>
  <si>
    <t>Aiæb KvwšÍ PvKgv
mnKvix †UK: Awdmvi (cv¤ú)    †¯‹jt 16000-38640/-</t>
  </si>
  <si>
    <t>Aiæb KvwšÍ PvKgv</t>
  </si>
  <si>
    <t>0124100072327</t>
  </si>
  <si>
    <t>wRwc   40/48</t>
  </si>
  <si>
    <t>‡gvt †mvnive †nv‡mb
mnKvix †UK: Awdmvi
‡¯‹jt 16000-38640/-</t>
  </si>
  <si>
    <t>‡gvt †mvnive †nv‡mb</t>
  </si>
  <si>
    <t>0124100089476</t>
  </si>
  <si>
    <t>wRwc  6/20</t>
  </si>
  <si>
    <t>‡gvt dviæK †kL
mnKvix †UK: Awdmvi
‡¯‹jt 16000-38640/-</t>
  </si>
  <si>
    <t>‡gvt dviæK †kL</t>
  </si>
  <si>
    <t>0124100033115</t>
  </si>
  <si>
    <t>wRwc  22/40</t>
  </si>
  <si>
    <t>‡gvt Aveyj Kv‡mg
mnKvix †UK: Awdmvi
‡¯‹jt 16000-38640/-</t>
  </si>
  <si>
    <t>‡gvt Aveyj Kv‡mg</t>
  </si>
  <si>
    <t>0124100033105</t>
  </si>
  <si>
    <t xml:space="preserve">‡gvt Ave`yj AvDqvj
mnKvix †UK: Awdmvi 
 †¯‹jt 16000-38640/- </t>
  </si>
  <si>
    <t>‡gvt Ave`yj AvDqvj</t>
  </si>
  <si>
    <t>0124100089446</t>
  </si>
  <si>
    <t>2 wU Bbwµ‡g›U eÜ _vK‡e 2024.2025</t>
  </si>
  <si>
    <t xml:space="preserve">Av‡bvqviv LvZzb wbjy
cÖkvmwbK Kg©KZ©v 
†¯‹jt 16000-38640/- </t>
  </si>
  <si>
    <t>Av‡bvqviv LvZzb wbjy</t>
  </si>
  <si>
    <t xml:space="preserve">cÖkvmwbK Kg©KZ©v </t>
  </si>
  <si>
    <t>0124801012442</t>
  </si>
  <si>
    <t>wRwc  15/48</t>
  </si>
  <si>
    <t xml:space="preserve">‡gvt bvwQi DÏxb  (1)
cÖkvmwbK Kg©KZ©v (AvwRR nj)
†¯‹jt 16000-38640/    </t>
  </si>
  <si>
    <t>‡gvt bvwQi DwÏb  (1)</t>
  </si>
  <si>
    <t>cÖkvmwbK Kg©KZ©v (AvwRR nj)</t>
  </si>
  <si>
    <t>0124801020078</t>
  </si>
  <si>
    <t xml:space="preserve"> bvwQi DwÏb  (2)
cÖkvmwbK Kg©KZ©v ( Imgvbx nj)
†¯‹jt 16000-38640/    </t>
  </si>
  <si>
    <t xml:space="preserve"> bvwQi DwÏb  (2)</t>
  </si>
  <si>
    <t>cÖkvmwbK Kg©KZ©v ( Imgvbx nj)</t>
  </si>
  <si>
    <t>4404001030862</t>
  </si>
  <si>
    <t>wRwc 4/15</t>
  </si>
  <si>
    <t xml:space="preserve">dviæK †nv‡mb
cÖkvmwbK Kg©KZ©v 
†¯‹jt 16000-38640/    </t>
  </si>
  <si>
    <t>dviæK †nv‡mb</t>
  </si>
  <si>
    <t>0124801013409</t>
  </si>
  <si>
    <t>wRwc   22/30</t>
  </si>
  <si>
    <t xml:space="preserve">‡gvt Avãyi iv¾vK
cÖkvmwbK Kg©KZ©v 
†¯‹jt 16000-38640/    </t>
  </si>
  <si>
    <t>‡gvt Avãyi iv¾vK</t>
  </si>
  <si>
    <t>0124801013412</t>
  </si>
  <si>
    <t>wRwc   15/25</t>
  </si>
  <si>
    <t xml:space="preserve">‡gvt Kweiæj Bmjvg
cÖkvmwbK Kg©KZ©v 
†¯‹jt 16000-38640/    </t>
  </si>
  <si>
    <t>‡gvt Kweiæj Bmjvg</t>
  </si>
  <si>
    <t>0124100060436</t>
  </si>
  <si>
    <t xml:space="preserve">nvwQbv †eMg
mnKvix †UKwbK¨vj Awdmvi
‡¯‹jt 16000-38640/-    </t>
  </si>
  <si>
    <t>nvwQbv †eMg</t>
  </si>
  <si>
    <t>mnKvix †UKwbK¨vj Awdmvi</t>
  </si>
  <si>
    <t>0124100063071</t>
  </si>
  <si>
    <t>wRwc   29/40</t>
  </si>
  <si>
    <t xml:space="preserve"> ‡gvqv‡¾g †nv‡mb
cÖkvmwbK Kg©KZ©v 
†¯‹jt 16000-38640/-</t>
  </si>
  <si>
    <t>‡gvqv‡¾g †nv‡mb</t>
  </si>
  <si>
    <t xml:space="preserve"> cÖkvmwbK Kg©KZ©v </t>
  </si>
  <si>
    <t>0124801012716</t>
  </si>
  <si>
    <t>†gvnv¤§` BmgvBj †nvmvBb gwb cÖkvmwbK Kg©KZ©v 
†¯‹jt 16000-38640/-</t>
  </si>
  <si>
    <t>‡gvnv¤§` BmgvBj †nv‡mb gwb</t>
  </si>
  <si>
    <t>0124801013411</t>
  </si>
  <si>
    <t>‡gvt kwidzj Bmjvg 
cÖkvmwbK Kg©KZ©v 
‡¯‹‹jt 16000-38640/-</t>
  </si>
  <si>
    <t>‡gvt kwidzj Bmjvg</t>
  </si>
  <si>
    <t>0124801013410</t>
  </si>
  <si>
    <t>wRwc  9/19</t>
  </si>
  <si>
    <t xml:space="preserve"> ‡gvt byiæj Bmjvg 
 cÖkvmwbK Kg©KZ©v 
‡¯‹j t 16000-38640/-            </t>
  </si>
  <si>
    <t>‡gvt byiæj Bmjvg</t>
  </si>
  <si>
    <t>0124801015581</t>
  </si>
  <si>
    <t xml:space="preserve">ZvQwjgv Av³vi 
 cÖkvmwbK Kg©KZ©v 
‡¯‹j t 16000-38640/-               </t>
  </si>
  <si>
    <t>ZvQwjgv Av³vi</t>
  </si>
  <si>
    <t>0124801015550</t>
  </si>
  <si>
    <t>wRwc   33/48</t>
  </si>
  <si>
    <t xml:space="preserve">gvmy`v Luvb
mnKvix †UKwbK¨vj Awdmvi
‡¯‹j t 16000-38640/- </t>
  </si>
  <si>
    <t>gvmy`v Luvb</t>
  </si>
  <si>
    <t>0124100064373</t>
  </si>
  <si>
    <t xml:space="preserve">‡gvt Gbvgyj nK
mnKvix †UKwbK¨vj Awdmvi
†¯‹j t 16000-38640/- </t>
  </si>
  <si>
    <t>‡gvt Gbvgyj nK</t>
  </si>
  <si>
    <t>0124100059982</t>
  </si>
  <si>
    <t>wRwc  11/48</t>
  </si>
  <si>
    <t xml:space="preserve">‡gvt gwkDi ingvb         
mnKvix †UKwbK¨vj Awdmvi
‡¯‹j t 16000-38640/- </t>
  </si>
  <si>
    <t>‡gvt gwkDi ingvb</t>
  </si>
  <si>
    <t>0124801014117</t>
  </si>
  <si>
    <t xml:space="preserve">‡gvt wbjq ingvb
mnKvix †UKwbK¨vj Awdmvi
‡¯‹jt16000-38640/-    </t>
  </si>
  <si>
    <t>‡gvt wbjq ingvb</t>
  </si>
  <si>
    <t>0124801015122</t>
  </si>
  <si>
    <t xml:space="preserve">dinv` Avn‡g` Lvb
mnKvix wnmveiÿY Kg©KZ©v 
‡¯‹j t 16000-38640/- </t>
  </si>
  <si>
    <t>dinv` Avn‡g` Lvb</t>
  </si>
  <si>
    <t xml:space="preserve">mnKvix wnmveiÿY Kg©KZ©v </t>
  </si>
  <si>
    <t>0124801012808</t>
  </si>
  <si>
    <t>wRwc   47/48</t>
  </si>
  <si>
    <t xml:space="preserve">‡gvt †njvj g„av
mnKvix wnmveiÿY Kg©KZ©v
‡¯‹jt  16000-38640/-  </t>
  </si>
  <si>
    <t>‡gvt †njvj g„av</t>
  </si>
  <si>
    <t>mnKvix wnmveiÿY Kg©KZ©v</t>
  </si>
  <si>
    <t>0124801013408</t>
  </si>
  <si>
    <t>‡gvt Avjx AvRMi
mnKvix †UKwbK¨vj Awdmvi
†¯‹j t 16000-38640/-</t>
  </si>
  <si>
    <t>‡gvt Avjx AvRMi</t>
  </si>
  <si>
    <t>0124100089527</t>
  </si>
  <si>
    <t xml:space="preserve">kvgxg Avj gvgyb
 cÖkvmwbK Kg©KZ©v (‰m:b:B: nj)
‡¯‹j t 16000-38640/-               </t>
  </si>
  <si>
    <t>kvgxg Avj gvgyb</t>
  </si>
  <si>
    <t>cÖkvmwbK Kg©KZ©v (‰m:b:B: nj)</t>
  </si>
  <si>
    <t>0124801021000</t>
  </si>
  <si>
    <t xml:space="preserve">Avwddv Bmjvg wnwg
 cÖkvmwbK Kg©KZ©v (K¨v:wm:‡e:nj)
‡¯‹j t 16000-38640/-               </t>
  </si>
  <si>
    <t>Avwddv Bmjvg wnwg</t>
  </si>
  <si>
    <t>cÖkvmwbK Kg©KZ©v (K¨v:wm:‡e:nj)</t>
  </si>
  <si>
    <t>0124801021007</t>
  </si>
  <si>
    <t xml:space="preserve">‡gvt ivBmyj Bmjvg
mn: †UKwbK¨vj Awdmvi
‡¯‹j t 16000-38640/-    </t>
  </si>
  <si>
    <t>‡gvt ivBmyj Bmjvg</t>
  </si>
  <si>
    <t xml:space="preserve">µvdU BÝUªv±i </t>
  </si>
  <si>
    <t>0124100089547</t>
  </si>
  <si>
    <t>wRwc   11/30</t>
  </si>
  <si>
    <t xml:space="preserve">‡gvt AvgRv` Avjx
mn: †UKwbK¨vj Awdmvi
‡¯‹j t 16000-38640/-    </t>
  </si>
  <si>
    <t>‡gvt AvgRv` Avjx</t>
  </si>
  <si>
    <t>mn: †UKwbK¨vj Awdmvi</t>
  </si>
  <si>
    <t>0124801021165</t>
  </si>
  <si>
    <t xml:space="preserve">‡gvt meyR wgqv
mn: †UKwbK¨vj Awdmvi
‡¯‹j t 16000-38640/-    </t>
  </si>
  <si>
    <t>‡gvt meyR wgqv</t>
  </si>
  <si>
    <t>0124801021153</t>
  </si>
  <si>
    <t xml:space="preserve"> ‡g‡n`x nvmvb †mvnvM
mn: †UKwbK¨vj Awdmvi
‡¯‹j t 16000-38640/-    </t>
  </si>
  <si>
    <t xml:space="preserve"> ‡g‡n`x nvmvb †mvnvM</t>
  </si>
  <si>
    <t>0124801021160</t>
  </si>
  <si>
    <t xml:space="preserve">Avey eKi wmwÏK  
  cÖkvmwbK Kg©KZ©v 
‡¯‹j t 16000-38640/-             </t>
  </si>
  <si>
    <t xml:space="preserve">Avey eKi wmwÏK </t>
  </si>
  <si>
    <t>0124801015580</t>
  </si>
  <si>
    <t>me©‡gvU =</t>
  </si>
  <si>
    <t>fvBm P¨v‡Ýji `ßi</t>
  </si>
  <si>
    <t>†dweªK BwÄwbqvwis</t>
  </si>
  <si>
    <t xml:space="preserve"> ‡U·: †gwkbvwi wWRvBb GÛ ‡gBb</t>
  </si>
  <si>
    <t>G¨vcv‡ij BwÄwbqvwis</t>
  </si>
  <si>
    <t>BqvY©  BwÄwbqvwis</t>
  </si>
  <si>
    <t>imvqb wefvM</t>
  </si>
  <si>
    <t>AvBwcB</t>
  </si>
  <si>
    <t>WvBR GÛ †KwgK¨vj BwÄwbqvwis</t>
  </si>
  <si>
    <t>I‡qU cÖ‡mm BwÄwbqvwis</t>
  </si>
  <si>
    <t>Gbfvqib †g›Uvj mv‡qÝ</t>
  </si>
  <si>
    <t>†U·UvBj BwÄ: g¨v‡bR‡g›U</t>
  </si>
  <si>
    <t>imvqb</t>
  </si>
  <si>
    <t xml:space="preserve"> ‡dweªK BwÄwbqvwis</t>
  </si>
  <si>
    <t xml:space="preserve">c`v_© weÁvb </t>
  </si>
  <si>
    <t>U·UvBj BwÄ: g¨v‡bR‡g›U</t>
  </si>
  <si>
    <t xml:space="preserve">d¨vkb  GÛ wWRvBb BwÄ: </t>
  </si>
  <si>
    <t xml:space="preserve">‡dweªK BwÄ. </t>
  </si>
  <si>
    <t>‡dweªK BwÄ.</t>
  </si>
  <si>
    <t>MwYZ</t>
  </si>
  <si>
    <t>c`v_© weÁvb</t>
  </si>
  <si>
    <t>I‡qU cÖ‡mm BwÄ</t>
  </si>
  <si>
    <t>wUGgwWGg</t>
  </si>
  <si>
    <t>BqvY© BwÄ.</t>
  </si>
  <si>
    <t xml:space="preserve">‡U·UvBj BwÄ:g¨v‡bR‡g›U </t>
  </si>
  <si>
    <t>G¨vcv‡ij BwÄ.</t>
  </si>
  <si>
    <t>wWwmB</t>
  </si>
  <si>
    <t>Gbfvqib‡g›Uvj mvBÝ GÛ BwÄ.</t>
  </si>
  <si>
    <t>‡dweªK)_x0008_ BwÄ.</t>
  </si>
  <si>
    <t>wWwmn</t>
  </si>
  <si>
    <t>‡KwgK¨vj BwÄ.</t>
  </si>
  <si>
    <t>wUGgB</t>
  </si>
  <si>
    <t>A_© I wnmve</t>
  </si>
  <si>
    <t>cixÿv wbqš¿K</t>
  </si>
  <si>
    <t xml:space="preserve">AwWU </t>
  </si>
  <si>
    <t xml:space="preserve">‡iwR÷ªvi </t>
  </si>
  <si>
    <t>wdwRK¨vj GWz</t>
  </si>
  <si>
    <t>G¨v‡µwWK j¨ve</t>
  </si>
  <si>
    <t>AvwU‡mj</t>
  </si>
  <si>
    <t xml:space="preserve">‡iwR÷ªvi  </t>
  </si>
  <si>
    <t>wfwm Awdm</t>
  </si>
  <si>
    <t>‡iwR÷ªvi</t>
  </si>
  <si>
    <t>AvBwKD‡mj</t>
  </si>
  <si>
    <t>G¨vc‡ij BwÄ. j¨ve</t>
  </si>
  <si>
    <t>cwiKíbv I Dbœqb</t>
  </si>
  <si>
    <t>Kw¤úDUvi j¨ve</t>
  </si>
  <si>
    <t xml:space="preserve">imvqb </t>
  </si>
  <si>
    <t>G¨vc‡ij BwÄ.</t>
  </si>
  <si>
    <t>I‡qU cÖ‡mm BwÄ.</t>
  </si>
  <si>
    <t>BwÄwbqvwis Awdm</t>
  </si>
  <si>
    <t>g~j †eZb</t>
  </si>
  <si>
    <t>AvBwW</t>
  </si>
  <si>
    <t>bs</t>
  </si>
  <si>
    <t>‡gvevBj b¤^i</t>
  </si>
  <si>
    <t xml:space="preserve">RvZxq †eZb †¯‹j 2026 Abyhvqx 01 RyjvB 2026 Zvwi‡L </t>
  </si>
  <si>
    <t>RvZxq †eZb †¯‹j 2026 Abyhvqx 1 RyjvB 2026 Zvwi‡L cÖvc¨ †eZ‡bi avc</t>
  </si>
  <si>
    <t>K) 40%  (1g n‡Z 9g †Mª‡Wi Rb¨)</t>
  </si>
  <si>
    <t>L) 50% (10g †MÖW n‡Z 20 Zg †Mª‡Wi Rb¨)</t>
  </si>
  <si>
    <t>L) cÖvc¨ †MÖW/D”PZi †MÖ‡Wi cÖviw¤¢K ‡eZb</t>
  </si>
  <si>
    <t>L) cÖvc¨ †MÖW/D”&amp;PZi †MÖ‡Wi cÖviw¤¢K ‡eZb</t>
  </si>
  <si>
    <t>cÖv_K¨ (8-9L)</t>
  </si>
  <si>
    <t>‡gvU †eZb (10+11L)</t>
  </si>
  <si>
    <t>‡mj †dvb bs</t>
  </si>
  <si>
    <t>RvZxq cwiPq cÎ bs</t>
  </si>
  <si>
    <t>2q †MÖW</t>
  </si>
  <si>
    <t>3q †MÖW</t>
  </si>
  <si>
    <t>4_© †MÖW</t>
  </si>
  <si>
    <t>5g †MÖW</t>
  </si>
  <si>
    <t>6ó †MÖW</t>
  </si>
  <si>
    <t>1g †MÖW</t>
  </si>
  <si>
    <t>7g †MÖW</t>
  </si>
  <si>
    <t>8g †MÖW</t>
  </si>
  <si>
    <t>9g †MÖW</t>
  </si>
  <si>
    <t>AwWU Awd‡mi e¨env‡ii Rb¨</t>
  </si>
  <si>
    <t xml:space="preserve">D³ †eZb weeibx wbixÿv Kiv nBj| RvZxq †eZb †¯‹j 2026 Abyhvqx 
wb¤œiæcfv‡e †eZb wba©viY Kiv n‡jv </t>
  </si>
  <si>
    <t>K) 1 RyjvB 2026 Zvwi‡L wba©vwiZ †eZb †MÖW</t>
  </si>
  <si>
    <t>L) 1 RyjvB 2026 Zvwi‡L wba©vwiZ †eZb ‡¯‹j</t>
  </si>
  <si>
    <t>1 RyjvB 2026 Zvwi‡L wba©vwiZ gyj †eZb</t>
  </si>
  <si>
    <t>K) 1 Rvbyqvix 2026 Zvwi‡L wba©vwiZ gyj †eZb</t>
  </si>
  <si>
    <t>L) 1 RyjvB 2027 Zvwi‡L wba©vwiZ gyj †eZb</t>
  </si>
  <si>
    <t>cieZx© evwl©K †eZb e„wÏi ZvwiL</t>
  </si>
  <si>
    <t>Gm.Avi.I bs 348-AvBb/2026, ZvwiL -17-9-2026 RvZxq †eZb †¯‹j 2026 Abyhvqx †eZb wba©vibx weeiYx t</t>
  </si>
  <si>
    <t>RvZxq †eZb †¯‹j 2026 Abyhvqx 01/7/2027 Zvwi‡L M„wnZe¨ kZfvM gyj †eZb 
(Kjvg -14 Abymv‡i) GKwU Bbwµ‡g›U mn</t>
  </si>
  <si>
    <t>1/7/2026 Zvwi‡L AvnwiZ g~j †eZb (8+16)</t>
  </si>
  <si>
    <t xml:space="preserve">গ্রেড - ৭ </t>
  </si>
  <si>
    <t>**</t>
  </si>
  <si>
    <t>---------------------------------</t>
  </si>
  <si>
    <t>wkÿK/ Kg©KZ©v/Kg©Pvixi ¯^vÿi I mxj</t>
  </si>
  <si>
    <t>cwiPvjK (A_© I wnmve)</t>
  </si>
  <si>
    <t>cÖ¯‘ZKviK                                       Dc-cwiPvjK(m¨vjvwi)</t>
  </si>
  <si>
    <t>cÖ¯‘ZKviK                                       mn-cwiPvjK(AwWU)</t>
  </si>
  <si>
    <t>cwiPvjK (AwWU)</t>
  </si>
  <si>
    <r>
      <t xml:space="preserve">evsjv‡`k †U·UvBj wek¦we`¨vjq
A_© I wnmve `ßi
</t>
    </r>
    <r>
      <rPr>
        <u/>
        <sz val="12"/>
        <color theme="1"/>
        <rFont val="SutonnyMJ"/>
      </rPr>
      <t>‡ZRMuvI, XvKv - 1208|</t>
    </r>
  </si>
  <si>
    <t>1jv RyjvB 2026 Zvwi‡L Bbwµ‡g›U mn †eZb wba©viY
{RvZxq †eZb †¯‹j-2026 Gi 8(2) aviv †gvZv‡eK}</t>
  </si>
  <si>
    <t>‡eZb e„w×i cwigvY (13-8)</t>
  </si>
  <si>
    <t>1/1/2027 Zvwi‡L cÖvc¨ †eZb (18+19)</t>
  </si>
  <si>
    <t>1/7/2027 Zvwi‡L AvnwiZ g~j †eZ‡bi (Kjvg 16 Abymv‡i)</t>
  </si>
  <si>
    <t>K) Aewkó 30%  (1g n‡Z 9g †Mª‡Wi Rb¨)</t>
  </si>
  <si>
    <t>L) Aewkó 25% (10g †MÖW n‡Z 20 Zg †Mª‡Wi Rb¨)</t>
  </si>
  <si>
    <t>1/7/2026 cÖvc¨ †eZb [20bs + 21 bs</t>
  </si>
  <si>
    <t>ey‡U· G †hvM`v‡bi ZvwiL</t>
  </si>
  <si>
    <t>wUAvBGb bs</t>
  </si>
  <si>
    <t>RvZxq †eZb †¯‹j 2015 Abyhvqx 30 Ryb 2026 Zvwi‡L</t>
  </si>
  <si>
    <t>K) cÖvc¨ †MÖW/D”PZi †MÖW I †¯‹j</t>
  </si>
  <si>
    <t>K) cÖvß †MÖW/D”PZi †MÖW I †¯‹j</t>
  </si>
  <si>
    <t>L) cvß †MÖW/D”PZi †MÖ‡Wi cÖviw¤¢K ‡eZb</t>
  </si>
  <si>
    <t>cv_©K¨ (8-9L)</t>
  </si>
  <si>
    <t>RvZxq †eZb †¯‹j 2015 Abyhvqx 30 Ryb 2026 Zvwi‡L M„nxZ †eZb</t>
  </si>
  <si>
    <t>1/7/2026 Zvwi‡L cÖvc¨ †eZb (8+16)</t>
  </si>
  <si>
    <t>1/7/2026 Zvwi‡L evwl©K †eZb e„w× (Bbwµ‡g›U) mn cÖvc¨ †eZb [17 bs + Bbwµ‡g›U]
Bbwµ‡g›U= 14 bs - 13 bs</t>
  </si>
  <si>
    <t>01/7/2027 Zvwi‡L evwl©K †eZb e„w× (Bbwµ‡g›U) mn  cÖvc¨ g~j †eZb</t>
  </si>
  <si>
    <t>K) cieZx© 70%  (1g n‡Z 9g †Mª‡Wi Rb¨)</t>
  </si>
  <si>
    <t>L) cieZx© 75% (10g †MÖW n‡Z 20 Zg †Mª‡Wi Rb¨)</t>
  </si>
  <si>
    <t>K) Aewkó 100%  (1g n‡Z 9g †Mª‡Wi Rb¨)</t>
  </si>
  <si>
    <t>L) Aewkó 100% (10g †MÖW n‡Z 20 Zg †Mª‡Wi Rb¨)</t>
  </si>
  <si>
    <t>1/7/2026 Zvwi‡L wba©vwiZ g~j †eZb (8+16)</t>
  </si>
  <si>
    <t>1/7/2026 Zvwi‡L evwl©K †eZb eyw×i nvi (bs 14 - bs 13)</t>
  </si>
  <si>
    <t>1/1/2026 Zvwi‡L wba©vwiZ g~j †eZb [8bs + 17bs + 20 bs]</t>
  </si>
  <si>
    <t>1 /7/2026 Zvwi‡L cÖvc¨ †eZ‡bi avc (†eZb †¯‹j 2026)</t>
  </si>
  <si>
    <t>1/7/2026 Zvwi‡L evwl©K †eZb e„w× (Bbwµ‡g›U) mn g~j †eZb
{RvZxq †eZb †¯‹j-2026 Gi 8(2) aviv †gvZv‡eK}</t>
  </si>
  <si>
    <t>cv_©K¨ (13-8)</t>
  </si>
  <si>
    <t>1/7/2026 Zvwi‡L e„w× cÖvß ‡eZ‡bi (Kjvg 15 Abymv‡i)</t>
  </si>
  <si>
    <t>1/7/2026 Zvwi‡L evwl©K †eZb e„w× mn cÖvc¨ †eZb [17 bs + Bbwµ‡g›U]</t>
  </si>
  <si>
    <t>K) cÖvc¨ †MÖW/D”PZi †MÖW I ‡¯‹j</t>
  </si>
  <si>
    <t>01/01/2027 Zvwi‡L e„w× cÖvß †eZ‡bi (Kjvg 15 Abymv‡i)</t>
  </si>
  <si>
    <t>K) cÖvß †MÖW/D”PZi †MÖW I ‡¯‹j</t>
  </si>
  <si>
    <t>L) cÖvß †MÖW/D”PZi †MÖ‡Wi cÖviw¤¢K ‡eZb</t>
  </si>
  <si>
    <t>01/07/2026 Zvwi‡L e„w× cÖvß †eZ‡bi (Kjvg 15 Abymv‡i)</t>
  </si>
  <si>
    <t>1/7/2027 Zvwi‡L wba©vwiZ g~j †eZb (Kjvg 14 Abymv‡i) 100%</t>
  </si>
  <si>
    <t xml:space="preserve">RvZxq †eZb †¯‹j 2015 Abyhvqx 30 Ryb 2026 Zvwi‡L </t>
  </si>
  <si>
    <t>K) cÖvc¨ †MÖW/D”PZi †MÖW I †¯^j</t>
  </si>
  <si>
    <t>1/7/2026 Zvwi‡L †eZb e„w×i (Kjvg 15 Abymv‡i)</t>
  </si>
  <si>
    <t>1/1/2027 Zvwi‡L ‡eZb e„w×i (Kjvg 16 Abymv‡i)</t>
  </si>
  <si>
    <t xml:space="preserve">RvZxq †eZb †¯‹j 2026 Abyhvqx 01/07/2026 Zvwi‡L </t>
  </si>
  <si>
    <t>01/07/2026 Zvwi‡L cÖvc¨ †eZ‡bi avc (†eZb †¯‹j 2026)</t>
  </si>
  <si>
    <t>01/07/2026 Zvwi‡L evwl©K †eZb e„w× (Bbwµ‡g›U) mn †eZb
[RvZxq †eZb †¯‹j-2026 Gi 8(2) aviv †gvZv‡eK]</t>
  </si>
  <si>
    <t>01/07/2026 Zvwi‡L wba©vwiZ †eZb (8+16)</t>
  </si>
  <si>
    <t>01/07/2026 Zvwi‡L evwl©K †eZb e„w×i  nvi (14 bs - 13 bs)</t>
  </si>
  <si>
    <t>01/01/2027 Zvwi‡L evwl©K †eZb e„w× mn cÖvc¨ †eZb (8+17+19)</t>
  </si>
  <si>
    <t>01/07/2026 Zvwi‡L wbavwiZ †eZb 100%</t>
  </si>
  <si>
    <t>01/07/2026 Zvwi‡L evwl©K †eZb e„w× mn cÖvc¨ †eZb (8+16+19)</t>
  </si>
  <si>
    <t>01/7/2027 Zvwi‡L evwl©K †eZb e„w× (Bbwµ‡g›U) mn cÖvc&amp;¨ †eZb</t>
  </si>
  <si>
    <t xml:space="preserve">গ্রেড - ৯ </t>
  </si>
  <si>
    <t>AwWU GÛ GKvDÝ Avwdmvi                                    mn-cwiPvjK(AwWU)</t>
  </si>
  <si>
    <t>Dc-cwiPvjK (AwWU)</t>
  </si>
  <si>
    <t>22000-53060</t>
  </si>
  <si>
    <t>44000-105900</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</si>
</sst>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_(* #,##0_);_(* \(#,##0\);_(* &quot;-&quot;??_);_(@_)"/>
    <numFmt numFmtId="165" formatCode="[&lt;=9999999]###\-####;\(###\)\ ###\-####"/>
  </numFmts>
  <fonts count="34" x14ac:knownFonts="1">
    <font>
      <sz val="11"/>
      <color theme="1"/>
      <name val="Calibri"/>
      <family val="2"/>
      <scheme val="minor"/>
    </font>
    <font>
      <sz val="11"/>
      <color theme="1"/>
      <name val="Calibri"/>
      <family val="2"/>
      <scheme val="minor"/>
    </font>
    <font>
      <sz val="12"/>
      <color theme="1"/>
      <name val="SutonnyMJ"/>
    </font>
    <font>
      <sz val="14"/>
      <color theme="1"/>
      <name val="SutonnyMJ"/>
    </font>
    <font>
      <sz val="20"/>
      <color theme="1"/>
      <name val="SutonnyMJ"/>
    </font>
    <font>
      <sz val="12"/>
      <name val="SutonnyMJ"/>
    </font>
    <font>
      <b/>
      <sz val="12"/>
      <name val="SutonnyMJ"/>
    </font>
    <font>
      <sz val="10"/>
      <name val="Arial"/>
    </font>
    <font>
      <sz val="14"/>
      <name val="SutonnyMJ"/>
    </font>
    <font>
      <b/>
      <sz val="10"/>
      <name val="SutonnyMJ"/>
    </font>
    <font>
      <b/>
      <sz val="14"/>
      <name val="SutonnyMJ"/>
    </font>
    <font>
      <sz val="9"/>
      <name val="SutonnyMJ"/>
    </font>
    <font>
      <sz val="14"/>
      <color rgb="FFFF0000"/>
      <name val="SutonnyMJ"/>
    </font>
    <font>
      <sz val="12"/>
      <color theme="0"/>
      <name val="SutonnyMJ"/>
    </font>
    <font>
      <sz val="12"/>
      <color rgb="FFFF0000"/>
      <name val="SutonnyMJ"/>
    </font>
    <font>
      <sz val="10"/>
      <color rgb="FFFF0000"/>
      <name val="Arial"/>
      <family val="2"/>
    </font>
    <font>
      <sz val="10"/>
      <name val="SutonnyMJ"/>
    </font>
    <font>
      <sz val="12"/>
      <color theme="1" tint="0.14999847407452621"/>
      <name val="SutonnyMJ"/>
    </font>
    <font>
      <b/>
      <sz val="12"/>
      <color theme="1"/>
      <name val="SutonnyMJ"/>
    </font>
    <font>
      <sz val="10"/>
      <color indexed="8"/>
      <name val="SutonnyMJ"/>
    </font>
    <font>
      <sz val="12"/>
      <color indexed="8"/>
      <name val="SutonnyMJ"/>
    </font>
    <font>
      <sz val="11"/>
      <name val="SutonnyMJ"/>
    </font>
    <font>
      <sz val="8"/>
      <name val="SutonnyMJ"/>
    </font>
    <font>
      <b/>
      <sz val="10"/>
      <color indexed="10"/>
      <name val="SutonnyMJ"/>
    </font>
    <font>
      <sz val="11"/>
      <color theme="1"/>
      <name val="SutonnyMJ"/>
    </font>
    <font>
      <b/>
      <sz val="11"/>
      <name val="SutonnyMJ"/>
    </font>
    <font>
      <sz val="8"/>
      <color indexed="8"/>
      <name val="SutonnyMJ"/>
    </font>
    <font>
      <sz val="10"/>
      <color theme="1"/>
      <name val="SutonnyMJ"/>
    </font>
    <font>
      <sz val="8"/>
      <color rgb="FFFF0000"/>
      <name val="SutonnyMJ"/>
    </font>
    <font>
      <sz val="12"/>
      <color theme="1"/>
      <name val="Arial"/>
      <family val="2"/>
    </font>
    <font>
      <sz val="9"/>
      <color theme="1"/>
      <name val="SutonnyMJ"/>
    </font>
    <font>
      <sz val="16"/>
      <color theme="1"/>
      <name val="SutonnyMJ"/>
    </font>
    <font>
      <sz val="13"/>
      <color theme="1"/>
      <name val="SutonnyMJ"/>
    </font>
    <font>
      <u/>
      <sz val="12"/>
      <color theme="1"/>
      <name val="SutonnyMJ"/>
    </font>
  </fonts>
  <fills count="13">
    <fill>
      <patternFill patternType="none"/>
    </fill>
    <fill>
      <patternFill patternType="gray125"/>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2" tint="-9.9978637043366805E-2"/>
        <bgColor indexed="64"/>
      </patternFill>
    </fill>
  </fills>
  <borders count="1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0" fontId="7" fillId="0" borderId="0"/>
    <xf numFmtId="43" fontId="7" fillId="0" borderId="0" applyFont="0" applyFill="0" applyBorder="0" applyAlignment="0" applyProtection="0"/>
  </cellStyleXfs>
  <cellXfs count="532">
    <xf numFmtId="0" fontId="0" fillId="0" borderId="0" xfId="0"/>
    <xf numFmtId="0" fontId="2" fillId="2" borderId="0" xfId="0" applyFont="1" applyFill="1" applyAlignment="1">
      <alignment horizontal="center"/>
    </xf>
    <xf numFmtId="0" fontId="2" fillId="2" borderId="0" xfId="0" applyFont="1" applyFill="1"/>
    <xf numFmtId="43" fontId="2" fillId="2" borderId="0" xfId="1" applyFont="1" applyFill="1"/>
    <xf numFmtId="0" fontId="0" fillId="2" borderId="0" xfId="0" applyFill="1"/>
    <xf numFmtId="0" fontId="3" fillId="2" borderId="0" xfId="0" applyFont="1" applyFill="1" applyAlignment="1">
      <alignment horizontal="center"/>
    </xf>
    <xf numFmtId="0" fontId="3" fillId="2" borderId="0" xfId="0" applyFont="1" applyFill="1"/>
    <xf numFmtId="43" fontId="3" fillId="2" borderId="0" xfId="1" applyFont="1" applyFill="1"/>
    <xf numFmtId="0" fontId="2" fillId="0" borderId="0" xfId="0" applyFont="1" applyFill="1" applyAlignment="1">
      <alignment horizontal="center"/>
    </xf>
    <xf numFmtId="0" fontId="2" fillId="0" borderId="0" xfId="0" applyFont="1" applyFill="1"/>
    <xf numFmtId="43" fontId="2" fillId="0" borderId="0" xfId="1" applyFont="1" applyFill="1"/>
    <xf numFmtId="0" fontId="3" fillId="0" borderId="0" xfId="0" applyFont="1" applyFill="1" applyAlignment="1">
      <alignment horizontal="center" wrapText="1"/>
    </xf>
    <xf numFmtId="0" fontId="3" fillId="0" borderId="0" xfId="0" applyFont="1" applyFill="1" applyAlignment="1">
      <alignment horizontal="center"/>
    </xf>
    <xf numFmtId="0" fontId="3" fillId="0" borderId="0" xfId="0" applyFont="1" applyFill="1"/>
    <xf numFmtId="43" fontId="3" fillId="0" borderId="0" xfId="1" applyFont="1" applyFill="1"/>
    <xf numFmtId="0" fontId="5" fillId="0" borderId="0" xfId="0" applyNumberFormat="1" applyFont="1" applyAlignment="1">
      <alignment horizontal="left" vertical="top"/>
    </xf>
    <xf numFmtId="0" fontId="5" fillId="0" borderId="1" xfId="0" applyNumberFormat="1" applyFont="1" applyBorder="1" applyAlignment="1">
      <alignment horizontal="left" vertical="top"/>
    </xf>
    <xf numFmtId="0" fontId="5" fillId="0" borderId="1" xfId="1" applyNumberFormat="1" applyFont="1" applyBorder="1" applyAlignment="1">
      <alignment horizontal="left" vertical="top"/>
    </xf>
    <xf numFmtId="0" fontId="8" fillId="0" borderId="0" xfId="1" applyNumberFormat="1" applyFont="1" applyAlignment="1">
      <alignment horizontal="left" vertical="top"/>
    </xf>
    <xf numFmtId="0" fontId="5" fillId="0" borderId="0" xfId="1" applyNumberFormat="1" applyFont="1" applyAlignment="1">
      <alignment horizontal="left" vertical="top"/>
    </xf>
    <xf numFmtId="0" fontId="5" fillId="0" borderId="2" xfId="0" applyNumberFormat="1" applyFont="1" applyBorder="1" applyAlignment="1">
      <alignment horizontal="left" vertical="top" wrapText="1"/>
    </xf>
    <xf numFmtId="0" fontId="8" fillId="0" borderId="2" xfId="0" applyNumberFormat="1" applyFont="1" applyBorder="1" applyAlignment="1">
      <alignment horizontal="left" vertical="top"/>
    </xf>
    <xf numFmtId="0" fontId="5" fillId="0" borderId="2" xfId="0" applyNumberFormat="1" applyFont="1" applyBorder="1" applyAlignment="1">
      <alignment horizontal="left" vertical="top"/>
    </xf>
    <xf numFmtId="0" fontId="8" fillId="0" borderId="4" xfId="0" applyNumberFormat="1" applyFont="1" applyBorder="1" applyAlignment="1">
      <alignment horizontal="left" vertical="top"/>
    </xf>
    <xf numFmtId="0" fontId="8" fillId="0" borderId="6" xfId="0" applyNumberFormat="1" applyFont="1" applyBorder="1" applyAlignment="1">
      <alignment horizontal="left" vertical="top"/>
    </xf>
    <xf numFmtId="0" fontId="8" fillId="0" borderId="2" xfId="1" applyNumberFormat="1" applyFont="1" applyBorder="1" applyAlignment="1">
      <alignment horizontal="left" vertical="top"/>
    </xf>
    <xf numFmtId="0" fontId="5" fillId="0" borderId="2" xfId="1" applyNumberFormat="1" applyFont="1" applyBorder="1" applyAlignment="1">
      <alignment horizontal="left" vertical="top"/>
    </xf>
    <xf numFmtId="0" fontId="8" fillId="3" borderId="2" xfId="0" applyNumberFormat="1" applyFont="1" applyFill="1" applyBorder="1" applyAlignment="1">
      <alignment horizontal="left" vertical="top" wrapText="1"/>
    </xf>
    <xf numFmtId="0" fontId="8" fillId="3" borderId="8" xfId="0" applyNumberFormat="1" applyFont="1" applyFill="1" applyBorder="1" applyAlignment="1">
      <alignment horizontal="left" vertical="top"/>
    </xf>
    <xf numFmtId="0" fontId="8" fillId="3" borderId="2" xfId="0" applyNumberFormat="1" applyFont="1" applyFill="1" applyBorder="1" applyAlignment="1">
      <alignment horizontal="left" vertical="top"/>
    </xf>
    <xf numFmtId="0" fontId="8" fillId="3" borderId="6" xfId="1" applyNumberFormat="1" applyFont="1" applyFill="1" applyBorder="1" applyAlignment="1">
      <alignment horizontal="right" vertical="top" wrapText="1"/>
    </xf>
    <xf numFmtId="0" fontId="8" fillId="3" borderId="2" xfId="1" applyNumberFormat="1" applyFont="1" applyFill="1" applyBorder="1" applyAlignment="1">
      <alignment horizontal="right" vertical="top"/>
    </xf>
    <xf numFmtId="0" fontId="8" fillId="3" borderId="2" xfId="0" applyNumberFormat="1" applyFont="1" applyFill="1" applyBorder="1" applyAlignment="1">
      <alignment horizontal="right" vertical="top"/>
    </xf>
    <xf numFmtId="0" fontId="8" fillId="0" borderId="2" xfId="0" applyNumberFormat="1" applyFont="1" applyBorder="1" applyAlignment="1">
      <alignment horizontal="right" vertical="top"/>
    </xf>
    <xf numFmtId="0" fontId="8" fillId="0" borderId="2" xfId="1" applyNumberFormat="1" applyFont="1" applyBorder="1" applyAlignment="1">
      <alignment horizontal="right" vertical="top"/>
    </xf>
    <xf numFmtId="0" fontId="8" fillId="0" borderId="7" xfId="0" applyNumberFormat="1" applyFont="1" applyBorder="1" applyAlignment="1">
      <alignment horizontal="right" vertical="top"/>
    </xf>
    <xf numFmtId="0" fontId="8" fillId="0" borderId="2" xfId="0" applyNumberFormat="1" applyFont="1" applyBorder="1" applyAlignment="1">
      <alignment horizontal="right" vertical="top" wrapText="1"/>
    </xf>
    <xf numFmtId="0" fontId="8" fillId="0" borderId="7" xfId="0" applyNumberFormat="1" applyFont="1" applyBorder="1" applyAlignment="1">
      <alignment horizontal="right" vertical="top" wrapText="1"/>
    </xf>
    <xf numFmtId="0" fontId="8" fillId="0" borderId="7" xfId="1" applyNumberFormat="1" applyFont="1" applyBorder="1" applyAlignment="1">
      <alignment horizontal="right" vertical="top" wrapText="1"/>
    </xf>
    <xf numFmtId="0" fontId="10" fillId="0" borderId="2" xfId="0" applyNumberFormat="1" applyFont="1" applyBorder="1" applyAlignment="1">
      <alignment horizontal="right" vertical="top"/>
    </xf>
    <xf numFmtId="0" fontId="11" fillId="0" borderId="2" xfId="0" applyNumberFormat="1" applyFont="1" applyBorder="1" applyAlignment="1">
      <alignment horizontal="left" vertical="top" wrapText="1"/>
    </xf>
    <xf numFmtId="0" fontId="8" fillId="3" borderId="8" xfId="0" applyNumberFormat="1" applyFont="1" applyFill="1" applyBorder="1" applyAlignment="1">
      <alignment horizontal="left" vertical="top" wrapText="1"/>
    </xf>
    <xf numFmtId="0" fontId="5" fillId="3" borderId="2" xfId="0" applyNumberFormat="1" applyFont="1" applyFill="1" applyBorder="1" applyAlignment="1">
      <alignment horizontal="left" vertical="top"/>
    </xf>
    <xf numFmtId="0" fontId="8" fillId="0" borderId="2" xfId="1" applyNumberFormat="1" applyFont="1" applyBorder="1" applyAlignment="1" applyProtection="1">
      <alignment horizontal="right" vertical="top"/>
      <protection locked="0"/>
    </xf>
    <xf numFmtId="0" fontId="5" fillId="0" borderId="2" xfId="1" applyNumberFormat="1" applyFont="1" applyBorder="1" applyAlignment="1">
      <alignment horizontal="center" vertical="top" wrapText="1"/>
    </xf>
    <xf numFmtId="49" fontId="3" fillId="3" borderId="2" xfId="0" applyNumberFormat="1" applyFont="1" applyFill="1" applyBorder="1" applyAlignment="1">
      <alignment horizontal="left" vertical="top"/>
    </xf>
    <xf numFmtId="0" fontId="3" fillId="3" borderId="2" xfId="0" applyNumberFormat="1" applyFont="1" applyFill="1" applyBorder="1" applyAlignment="1">
      <alignment horizontal="left" vertical="top"/>
    </xf>
    <xf numFmtId="0" fontId="5" fillId="0" borderId="2" xfId="1" applyNumberFormat="1" applyFont="1" applyBorder="1" applyAlignment="1">
      <alignment horizontal="left" vertical="top" wrapText="1"/>
    </xf>
    <xf numFmtId="49" fontId="8" fillId="3" borderId="2" xfId="0" applyNumberFormat="1" applyFont="1" applyFill="1" applyBorder="1" applyAlignment="1">
      <alignment horizontal="left" vertical="top"/>
    </xf>
    <xf numFmtId="0" fontId="8" fillId="0" borderId="2" xfId="1" applyNumberFormat="1" applyFont="1" applyFill="1" applyBorder="1" applyAlignment="1">
      <alignment horizontal="right" vertical="top"/>
    </xf>
    <xf numFmtId="0" fontId="5" fillId="0" borderId="2" xfId="1" applyNumberFormat="1" applyFont="1" applyFill="1" applyBorder="1" applyAlignment="1">
      <alignment horizontal="left" vertical="top" wrapText="1"/>
    </xf>
    <xf numFmtId="0" fontId="2" fillId="0" borderId="2" xfId="0" applyNumberFormat="1" applyFont="1" applyBorder="1" applyAlignment="1">
      <alignment horizontal="left" vertical="top"/>
    </xf>
    <xf numFmtId="0" fontId="5" fillId="0" borderId="3" xfId="0" applyNumberFormat="1" applyFont="1" applyBorder="1" applyAlignment="1">
      <alignment horizontal="left" vertical="top"/>
    </xf>
    <xf numFmtId="0" fontId="5" fillId="0" borderId="0" xfId="0" applyNumberFormat="1" applyFont="1" applyFill="1" applyAlignment="1">
      <alignment horizontal="left" vertical="top"/>
    </xf>
    <xf numFmtId="0" fontId="5" fillId="0" borderId="2" xfId="0" applyNumberFormat="1" applyFont="1" applyFill="1" applyBorder="1" applyAlignment="1">
      <alignment horizontal="left" vertical="top"/>
    </xf>
    <xf numFmtId="0" fontId="5" fillId="3" borderId="8" xfId="0" applyNumberFormat="1" applyFont="1" applyFill="1" applyBorder="1" applyAlignment="1">
      <alignment horizontal="left" vertical="top" wrapText="1"/>
    </xf>
    <xf numFmtId="0" fontId="5" fillId="3" borderId="0" xfId="0" applyNumberFormat="1" applyFont="1" applyFill="1" applyAlignment="1">
      <alignment horizontal="left" vertical="top"/>
    </xf>
    <xf numFmtId="0" fontId="2" fillId="3" borderId="2" xfId="0" applyNumberFormat="1" applyFont="1" applyFill="1" applyBorder="1" applyAlignment="1">
      <alignment horizontal="left" vertical="top"/>
    </xf>
    <xf numFmtId="0" fontId="8" fillId="3" borderId="2" xfId="1" applyNumberFormat="1" applyFont="1" applyFill="1" applyBorder="1" applyAlignment="1">
      <alignment vertical="top"/>
    </xf>
    <xf numFmtId="0" fontId="8" fillId="3" borderId="7" xfId="1" applyNumberFormat="1" applyFont="1" applyFill="1" applyBorder="1" applyAlignment="1">
      <alignment horizontal="right" vertical="top" wrapText="1"/>
    </xf>
    <xf numFmtId="0" fontId="10" fillId="3" borderId="2" xfId="0" applyNumberFormat="1" applyFont="1" applyFill="1" applyBorder="1" applyAlignment="1">
      <alignment horizontal="right" vertical="top"/>
    </xf>
    <xf numFmtId="0" fontId="5" fillId="3" borderId="2" xfId="1" applyNumberFormat="1" applyFont="1" applyFill="1" applyBorder="1" applyAlignment="1">
      <alignment vertical="top" wrapText="1"/>
    </xf>
    <xf numFmtId="0" fontId="5" fillId="3" borderId="2" xfId="0" applyNumberFormat="1" applyFont="1" applyFill="1" applyBorder="1" applyAlignment="1">
      <alignment vertical="top"/>
    </xf>
    <xf numFmtId="0" fontId="8" fillId="0" borderId="2" xfId="1" applyNumberFormat="1" applyFont="1" applyBorder="1" applyAlignment="1">
      <alignment vertical="top"/>
    </xf>
    <xf numFmtId="0" fontId="12" fillId="0" borderId="2" xfId="1" applyNumberFormat="1" applyFont="1" applyBorder="1" applyAlignment="1">
      <alignment vertical="top"/>
    </xf>
    <xf numFmtId="0" fontId="5" fillId="0" borderId="2" xfId="1" applyNumberFormat="1" applyFont="1" applyBorder="1" applyAlignment="1">
      <alignment vertical="top" wrapText="1"/>
    </xf>
    <xf numFmtId="0" fontId="5" fillId="0" borderId="2" xfId="0" applyNumberFormat="1" applyFont="1" applyBorder="1" applyAlignment="1">
      <alignment vertical="top"/>
    </xf>
    <xf numFmtId="0" fontId="13" fillId="3" borderId="0" xfId="0" applyNumberFormat="1" applyFont="1" applyFill="1" applyAlignment="1">
      <alignment horizontal="left" vertical="top"/>
    </xf>
    <xf numFmtId="0" fontId="13" fillId="4" borderId="0" xfId="0" applyNumberFormat="1" applyFont="1" applyFill="1" applyAlignment="1">
      <alignment horizontal="left" vertical="top"/>
    </xf>
    <xf numFmtId="0" fontId="5" fillId="4" borderId="0" xfId="0" applyNumberFormat="1" applyFont="1" applyFill="1" applyAlignment="1">
      <alignment horizontal="left" vertical="top"/>
    </xf>
    <xf numFmtId="0" fontId="5" fillId="0" borderId="2" xfId="0" applyNumberFormat="1" applyFont="1" applyBorder="1" applyAlignment="1">
      <alignment vertical="top" wrapText="1"/>
    </xf>
    <xf numFmtId="0" fontId="13" fillId="0" borderId="0" xfId="0" applyNumberFormat="1" applyFont="1" applyAlignment="1">
      <alignment horizontal="left" vertical="top"/>
    </xf>
    <xf numFmtId="0" fontId="5" fillId="3" borderId="2" xfId="1" applyNumberFormat="1" applyFont="1" applyFill="1" applyBorder="1" applyAlignment="1">
      <alignment horizontal="center" vertical="top" wrapText="1"/>
    </xf>
    <xf numFmtId="0" fontId="8" fillId="4" borderId="2" xfId="1" applyNumberFormat="1" applyFont="1" applyFill="1" applyBorder="1" applyAlignment="1">
      <alignment horizontal="right" vertical="top"/>
    </xf>
    <xf numFmtId="0" fontId="5" fillId="0" borderId="2" xfId="1" applyNumberFormat="1" applyFont="1" applyBorder="1" applyAlignment="1">
      <alignment vertical="top"/>
    </xf>
    <xf numFmtId="0" fontId="3" fillId="3" borderId="2" xfId="0" applyNumberFormat="1" applyFont="1" applyFill="1" applyBorder="1" applyAlignment="1">
      <alignment horizontal="left" vertical="top" wrapText="1"/>
    </xf>
    <xf numFmtId="0" fontId="8" fillId="3" borderId="3" xfId="0" applyNumberFormat="1" applyFont="1" applyFill="1" applyBorder="1" applyAlignment="1">
      <alignment horizontal="left" vertical="top" wrapText="1"/>
    </xf>
    <xf numFmtId="0" fontId="6" fillId="3" borderId="2" xfId="0" applyNumberFormat="1" applyFont="1" applyFill="1" applyBorder="1" applyAlignment="1">
      <alignment horizontal="left" vertical="top"/>
    </xf>
    <xf numFmtId="0" fontId="3" fillId="0" borderId="2" xfId="1" applyNumberFormat="1" applyFont="1" applyBorder="1" applyAlignment="1">
      <alignment horizontal="right" vertical="top"/>
    </xf>
    <xf numFmtId="0" fontId="3" fillId="3" borderId="2" xfId="1" applyNumberFormat="1" applyFont="1" applyFill="1" applyBorder="1" applyAlignment="1">
      <alignment horizontal="right" vertical="top"/>
    </xf>
    <xf numFmtId="0" fontId="14" fillId="0" borderId="2" xfId="1" applyNumberFormat="1" applyFont="1" applyBorder="1" applyAlignment="1">
      <alignment horizontal="left" vertical="top" wrapText="1"/>
    </xf>
    <xf numFmtId="0" fontId="15" fillId="0" borderId="2" xfId="0" applyNumberFormat="1" applyFont="1" applyBorder="1" applyAlignment="1">
      <alignment horizontal="left" vertical="top"/>
    </xf>
    <xf numFmtId="0" fontId="2" fillId="0" borderId="0" xfId="0" applyNumberFormat="1" applyFont="1" applyFill="1" applyAlignment="1">
      <alignment horizontal="left" vertical="top"/>
    </xf>
    <xf numFmtId="0" fontId="3" fillId="3" borderId="8" xfId="0" applyNumberFormat="1" applyFont="1" applyFill="1" applyBorder="1" applyAlignment="1">
      <alignment horizontal="left" vertical="top" wrapText="1"/>
    </xf>
    <xf numFmtId="0" fontId="3" fillId="0" borderId="2" xfId="1" applyNumberFormat="1" applyFont="1" applyFill="1" applyBorder="1" applyAlignment="1">
      <alignment horizontal="right" vertical="top"/>
    </xf>
    <xf numFmtId="0" fontId="3" fillId="0" borderId="2" xfId="0" applyNumberFormat="1" applyFont="1" applyFill="1" applyBorder="1" applyAlignment="1">
      <alignment horizontal="right" vertical="top"/>
    </xf>
    <xf numFmtId="0" fontId="2" fillId="0" borderId="2" xfId="1" applyNumberFormat="1" applyFont="1" applyFill="1" applyBorder="1" applyAlignment="1">
      <alignment horizontal="left" vertical="top"/>
    </xf>
    <xf numFmtId="0" fontId="2" fillId="0" borderId="2" xfId="0" applyNumberFormat="1" applyFont="1" applyFill="1" applyBorder="1" applyAlignment="1">
      <alignment horizontal="left" vertical="top"/>
    </xf>
    <xf numFmtId="0" fontId="2" fillId="3" borderId="0" xfId="0" applyNumberFormat="1" applyFont="1" applyFill="1" applyAlignment="1">
      <alignment horizontal="left" vertical="top"/>
    </xf>
    <xf numFmtId="0" fontId="3" fillId="3" borderId="2" xfId="1" applyNumberFormat="1" applyFont="1" applyFill="1" applyBorder="1" applyAlignment="1">
      <alignment vertical="top"/>
    </xf>
    <xf numFmtId="0" fontId="3" fillId="0" borderId="2" xfId="0" applyNumberFormat="1" applyFont="1" applyBorder="1" applyAlignment="1">
      <alignment horizontal="right" vertical="top"/>
    </xf>
    <xf numFmtId="0" fontId="2" fillId="3" borderId="2" xfId="1" applyNumberFormat="1" applyFont="1" applyFill="1" applyBorder="1" applyAlignment="1">
      <alignment horizontal="center" vertical="top" wrapText="1"/>
    </xf>
    <xf numFmtId="0" fontId="2" fillId="3" borderId="2" xfId="0" applyNumberFormat="1" applyFont="1" applyFill="1" applyBorder="1" applyAlignment="1">
      <alignment vertical="top"/>
    </xf>
    <xf numFmtId="0" fontId="2" fillId="4" borderId="0" xfId="0" applyNumberFormat="1" applyFont="1" applyFill="1" applyAlignment="1">
      <alignment horizontal="left" vertical="top"/>
    </xf>
    <xf numFmtId="0" fontId="2" fillId="0" borderId="2" xfId="1" applyNumberFormat="1" applyFont="1" applyBorder="1" applyAlignment="1">
      <alignment vertical="top" wrapText="1"/>
    </xf>
    <xf numFmtId="0" fontId="2" fillId="0" borderId="0" xfId="0" applyNumberFormat="1" applyFont="1" applyAlignment="1">
      <alignment horizontal="left" vertical="top"/>
    </xf>
    <xf numFmtId="0" fontId="3" fillId="0" borderId="2" xfId="1" applyNumberFormat="1" applyFont="1" applyBorder="1" applyAlignment="1">
      <alignment vertical="top"/>
    </xf>
    <xf numFmtId="0" fontId="2" fillId="0" borderId="2" xfId="1" applyNumberFormat="1" applyFont="1" applyBorder="1" applyAlignment="1">
      <alignment horizontal="center" vertical="top" wrapText="1"/>
    </xf>
    <xf numFmtId="0" fontId="2" fillId="0" borderId="2" xfId="0" applyNumberFormat="1" applyFont="1" applyBorder="1" applyAlignment="1">
      <alignment vertical="top"/>
    </xf>
    <xf numFmtId="0" fontId="5" fillId="0" borderId="0" xfId="0" applyNumberFormat="1" applyFont="1" applyAlignment="1">
      <alignment horizontal="center" vertical="top" wrapText="1"/>
    </xf>
    <xf numFmtId="0" fontId="11" fillId="0" borderId="2" xfId="1" applyNumberFormat="1" applyFont="1" applyBorder="1" applyAlignment="1">
      <alignment horizontal="left" vertical="top" wrapText="1"/>
    </xf>
    <xf numFmtId="0" fontId="5" fillId="0" borderId="0" xfId="0" applyNumberFormat="1" applyFont="1" applyAlignment="1">
      <alignment horizontal="right" vertical="top"/>
    </xf>
    <xf numFmtId="164" fontId="5" fillId="0" borderId="0" xfId="1" applyNumberFormat="1" applyFont="1" applyAlignment="1">
      <alignment horizontal="right" vertical="top"/>
    </xf>
    <xf numFmtId="0" fontId="5" fillId="0" borderId="2" xfId="0" applyNumberFormat="1" applyFont="1" applyBorder="1" applyAlignment="1">
      <alignment horizontal="right" vertical="top"/>
    </xf>
    <xf numFmtId="164" fontId="5" fillId="0" borderId="2" xfId="1" applyNumberFormat="1" applyFont="1" applyBorder="1" applyAlignment="1">
      <alignment horizontal="right" vertical="top"/>
    </xf>
    <xf numFmtId="0" fontId="3" fillId="4" borderId="2" xfId="1" applyNumberFormat="1" applyFont="1" applyFill="1" applyBorder="1" applyAlignment="1">
      <alignment horizontal="right" vertical="top"/>
    </xf>
    <xf numFmtId="0" fontId="2" fillId="0" borderId="2" xfId="1" applyNumberFormat="1" applyFont="1" applyBorder="1" applyAlignment="1">
      <alignment horizontal="left" vertical="top"/>
    </xf>
    <xf numFmtId="0" fontId="2" fillId="0" borderId="9" xfId="0" applyNumberFormat="1" applyFont="1" applyBorder="1" applyAlignment="1">
      <alignment horizontal="left" vertical="top"/>
    </xf>
    <xf numFmtId="0" fontId="3" fillId="3" borderId="9" xfId="0" applyNumberFormat="1" applyFont="1" applyFill="1" applyBorder="1" applyAlignment="1">
      <alignment horizontal="left" vertical="top" wrapText="1"/>
    </xf>
    <xf numFmtId="0" fontId="3" fillId="3" borderId="8" xfId="0" applyNumberFormat="1" applyFont="1" applyFill="1" applyBorder="1" applyAlignment="1">
      <alignment horizontal="left" vertical="top"/>
    </xf>
    <xf numFmtId="0" fontId="3" fillId="3" borderId="9" xfId="1" applyNumberFormat="1" applyFont="1" applyFill="1" applyBorder="1" applyAlignment="1">
      <alignment horizontal="right" vertical="top"/>
    </xf>
    <xf numFmtId="0" fontId="3" fillId="0" borderId="9" xfId="1" applyNumberFormat="1" applyFont="1" applyBorder="1" applyAlignment="1">
      <alignment horizontal="right" vertical="top"/>
    </xf>
    <xf numFmtId="0" fontId="2" fillId="0" borderId="2" xfId="1" applyNumberFormat="1" applyFont="1" applyBorder="1" applyAlignment="1">
      <alignment horizontal="left" vertical="top" wrapText="1"/>
    </xf>
    <xf numFmtId="0" fontId="2" fillId="0" borderId="2" xfId="0" applyNumberFormat="1" applyFont="1" applyBorder="1" applyAlignment="1">
      <alignment horizontal="center" vertical="top" wrapText="1"/>
    </xf>
    <xf numFmtId="0" fontId="3" fillId="3" borderId="9" xfId="1" applyNumberFormat="1" applyFont="1" applyFill="1" applyBorder="1" applyAlignment="1">
      <alignment vertical="top"/>
    </xf>
    <xf numFmtId="0" fontId="3" fillId="0" borderId="9" xfId="1" applyNumberFormat="1" applyFont="1" applyBorder="1" applyAlignment="1">
      <alignment vertical="top"/>
    </xf>
    <xf numFmtId="0" fontId="2" fillId="0" borderId="2" xfId="0" applyNumberFormat="1" applyFont="1" applyBorder="1" applyAlignment="1">
      <alignment vertical="top" wrapText="1"/>
    </xf>
    <xf numFmtId="0" fontId="2" fillId="0" borderId="2" xfId="1" applyNumberFormat="1" applyFont="1" applyBorder="1" applyAlignment="1">
      <alignment vertical="top"/>
    </xf>
    <xf numFmtId="0" fontId="14" fillId="0" borderId="0" xfId="0" applyNumberFormat="1" applyFont="1" applyAlignment="1">
      <alignment horizontal="left" vertical="top"/>
    </xf>
    <xf numFmtId="0" fontId="14" fillId="0" borderId="2" xfId="0" applyNumberFormat="1" applyFont="1" applyBorder="1" applyAlignment="1">
      <alignment horizontal="left" vertical="top"/>
    </xf>
    <xf numFmtId="0" fontId="12" fillId="3" borderId="2" xfId="0" applyNumberFormat="1" applyFont="1" applyFill="1" applyBorder="1" applyAlignment="1">
      <alignment horizontal="left" vertical="top"/>
    </xf>
    <xf numFmtId="0" fontId="14" fillId="3" borderId="2" xfId="0" applyNumberFormat="1" applyFont="1" applyFill="1" applyBorder="1" applyAlignment="1">
      <alignment horizontal="left" vertical="top"/>
    </xf>
    <xf numFmtId="0" fontId="12" fillId="3" borderId="2" xfId="1" applyNumberFormat="1" applyFont="1" applyFill="1" applyBorder="1" applyAlignment="1">
      <alignment vertical="top"/>
    </xf>
    <xf numFmtId="0" fontId="12" fillId="0" borderId="2" xfId="0" applyNumberFormat="1" applyFont="1" applyBorder="1" applyAlignment="1">
      <alignment horizontal="right" vertical="top"/>
    </xf>
    <xf numFmtId="0" fontId="5" fillId="0" borderId="8" xfId="0" applyNumberFormat="1" applyFont="1" applyBorder="1" applyAlignment="1">
      <alignment horizontal="left" vertical="top"/>
    </xf>
    <xf numFmtId="0" fontId="8" fillId="3" borderId="8" xfId="0" applyNumberFormat="1" applyFont="1" applyFill="1" applyBorder="1" applyAlignment="1">
      <alignment vertical="top" wrapText="1"/>
    </xf>
    <xf numFmtId="0" fontId="8" fillId="3" borderId="10" xfId="0" applyNumberFormat="1" applyFont="1" applyFill="1" applyBorder="1" applyAlignment="1">
      <alignment vertical="top" wrapText="1"/>
    </xf>
    <xf numFmtId="0" fontId="8" fillId="3" borderId="10" xfId="0" applyNumberFormat="1" applyFont="1" applyFill="1" applyBorder="1" applyAlignment="1">
      <alignment horizontal="center" vertical="top" wrapText="1"/>
    </xf>
    <xf numFmtId="0" fontId="8" fillId="3" borderId="9" xfId="0" applyNumberFormat="1" applyFont="1" applyFill="1" applyBorder="1" applyAlignment="1">
      <alignment vertical="top" wrapText="1"/>
    </xf>
    <xf numFmtId="0" fontId="8" fillId="4" borderId="2" xfId="1" applyNumberFormat="1" applyFont="1" applyFill="1" applyBorder="1" applyAlignment="1">
      <alignment horizontal="left" vertical="top"/>
    </xf>
    <xf numFmtId="0" fontId="3" fillId="4" borderId="9" xfId="1" applyNumberFormat="1" applyFont="1" applyFill="1" applyBorder="1" applyAlignment="1">
      <alignment horizontal="right" vertical="top"/>
    </xf>
    <xf numFmtId="0" fontId="14" fillId="0" borderId="2" xfId="1" applyNumberFormat="1" applyFont="1" applyBorder="1" applyAlignment="1">
      <alignment vertical="top" wrapText="1"/>
    </xf>
    <xf numFmtId="49" fontId="3" fillId="3" borderId="2" xfId="0" applyNumberFormat="1" applyFont="1" applyFill="1" applyBorder="1" applyAlignment="1">
      <alignment horizontal="left" vertical="top" wrapText="1"/>
    </xf>
    <xf numFmtId="0" fontId="5" fillId="0" borderId="9" xfId="0" applyNumberFormat="1" applyFont="1" applyBorder="1" applyAlignment="1">
      <alignment horizontal="left" vertical="top"/>
    </xf>
    <xf numFmtId="0" fontId="8" fillId="3" borderId="9" xfId="0" applyNumberFormat="1" applyFont="1" applyFill="1" applyBorder="1" applyAlignment="1">
      <alignment horizontal="left" vertical="top" wrapText="1"/>
    </xf>
    <xf numFmtId="0" fontId="8" fillId="0" borderId="2" xfId="0" applyNumberFormat="1" applyFont="1" applyBorder="1" applyAlignment="1">
      <alignment horizontal="left" vertical="top" wrapText="1"/>
    </xf>
    <xf numFmtId="0" fontId="8" fillId="0" borderId="9" xfId="1" applyNumberFormat="1" applyFont="1" applyBorder="1" applyAlignment="1">
      <alignment vertical="top"/>
    </xf>
    <xf numFmtId="0" fontId="8" fillId="0" borderId="9" xfId="1" applyNumberFormat="1" applyFont="1" applyBorder="1" applyAlignment="1">
      <alignment horizontal="right" vertical="top"/>
    </xf>
    <xf numFmtId="0" fontId="8" fillId="3" borderId="0" xfId="0" applyNumberFormat="1" applyFont="1" applyFill="1" applyAlignment="1">
      <alignment horizontal="left" vertical="top"/>
    </xf>
    <xf numFmtId="0" fontId="8" fillId="0" borderId="0" xfId="0" applyNumberFormat="1" applyFont="1" applyAlignment="1">
      <alignment horizontal="left" vertical="top"/>
    </xf>
    <xf numFmtId="164" fontId="5" fillId="0" borderId="0" xfId="1" applyNumberFormat="1" applyFont="1" applyAlignment="1">
      <alignment horizontal="left" vertical="top"/>
    </xf>
    <xf numFmtId="0" fontId="5" fillId="0" borderId="0" xfId="0" applyFont="1"/>
    <xf numFmtId="0" fontId="5" fillId="3" borderId="0" xfId="0" applyFont="1" applyFill="1"/>
    <xf numFmtId="164" fontId="5" fillId="3" borderId="0" xfId="1" applyNumberFormat="1" applyFont="1" applyFill="1" applyBorder="1" applyAlignment="1">
      <alignment horizontal="center"/>
    </xf>
    <xf numFmtId="0" fontId="5" fillId="3" borderId="0" xfId="0" applyFont="1" applyFill="1" applyBorder="1" applyAlignment="1">
      <alignment horizontal="center"/>
    </xf>
    <xf numFmtId="164" fontId="6" fillId="3" borderId="1" xfId="1" applyNumberFormat="1" applyFont="1" applyFill="1" applyBorder="1" applyAlignment="1">
      <alignment horizontal="right"/>
    </xf>
    <xf numFmtId="164" fontId="6" fillId="3" borderId="1" xfId="1" applyNumberFormat="1" applyFont="1" applyFill="1" applyBorder="1" applyAlignment="1">
      <alignment horizontal="left"/>
    </xf>
    <xf numFmtId="0" fontId="5" fillId="3" borderId="1" xfId="0" applyFont="1" applyFill="1" applyBorder="1" applyAlignment="1">
      <alignment horizontal="center"/>
    </xf>
    <xf numFmtId="0" fontId="5" fillId="0" borderId="2" xfId="0" applyFont="1" applyBorder="1" applyAlignment="1">
      <alignment horizontal="center" vertical="center"/>
    </xf>
    <xf numFmtId="1" fontId="5" fillId="0" borderId="2" xfId="0" applyNumberFormat="1" applyFont="1" applyBorder="1" applyAlignment="1">
      <alignment horizontal="left" vertical="top" textRotation="90"/>
    </xf>
    <xf numFmtId="49" fontId="8" fillId="0" borderId="2" xfId="0" applyNumberFormat="1" applyFont="1" applyBorder="1" applyAlignment="1">
      <alignment horizontal="center" vertical="center" textRotation="90"/>
    </xf>
    <xf numFmtId="1" fontId="5" fillId="0" borderId="2" xfId="0" applyNumberFormat="1" applyFont="1" applyBorder="1" applyAlignment="1">
      <alignment horizontal="center" vertical="center"/>
    </xf>
    <xf numFmtId="1" fontId="5" fillId="0" borderId="2" xfId="0" applyNumberFormat="1" applyFont="1" applyBorder="1" applyAlignment="1">
      <alignment horizontal="left" vertical="center" shrinkToFit="1"/>
    </xf>
    <xf numFmtId="49" fontId="8" fillId="0" borderId="2" xfId="0" applyNumberFormat="1" applyFont="1" applyBorder="1" applyAlignment="1">
      <alignment horizontal="center" vertical="center" wrapText="1"/>
    </xf>
    <xf numFmtId="164" fontId="5" fillId="0" borderId="2" xfId="1" applyNumberFormat="1" applyFont="1" applyBorder="1" applyAlignment="1">
      <alignment horizontal="center" vertical="center" wrapText="1"/>
    </xf>
    <xf numFmtId="164" fontId="5" fillId="3" borderId="2" xfId="1" applyNumberFormat="1" applyFont="1" applyFill="1" applyBorder="1" applyAlignment="1">
      <alignment horizontal="center" vertical="center" wrapText="1"/>
    </xf>
    <xf numFmtId="0" fontId="5" fillId="3" borderId="2" xfId="0" applyFont="1" applyFill="1" applyBorder="1" applyAlignment="1">
      <alignment vertical="center"/>
    </xf>
    <xf numFmtId="1" fontId="5" fillId="3" borderId="2" xfId="0" applyNumberFormat="1" applyFont="1" applyFill="1" applyBorder="1" applyAlignment="1">
      <alignment horizontal="left" vertical="top" textRotation="90"/>
    </xf>
    <xf numFmtId="49" fontId="8" fillId="3" borderId="2" xfId="0" applyNumberFormat="1" applyFont="1" applyFill="1" applyBorder="1" applyAlignment="1">
      <alignment horizontal="center" vertical="center" textRotation="90"/>
    </xf>
    <xf numFmtId="164" fontId="8" fillId="3" borderId="2" xfId="1" applyNumberFormat="1" applyFont="1" applyFill="1" applyBorder="1" applyAlignment="1">
      <alignment horizontal="center" vertical="center"/>
    </xf>
    <xf numFmtId="0" fontId="5" fillId="3" borderId="2" xfId="0" applyFont="1" applyFill="1" applyBorder="1" applyAlignment="1">
      <alignment horizontal="center" vertical="center" wrapText="1"/>
    </xf>
    <xf numFmtId="0" fontId="5" fillId="3" borderId="2" xfId="0" applyFont="1" applyFill="1" applyBorder="1" applyAlignment="1">
      <alignment vertical="top"/>
    </xf>
    <xf numFmtId="49" fontId="8" fillId="3" borderId="2" xfId="0" applyNumberFormat="1" applyFont="1" applyFill="1" applyBorder="1" applyAlignment="1">
      <alignment horizontal="center" vertical="center"/>
    </xf>
    <xf numFmtId="164" fontId="5" fillId="3" borderId="2" xfId="1" applyNumberFormat="1" applyFont="1" applyFill="1" applyBorder="1" applyAlignment="1">
      <alignment vertical="center"/>
    </xf>
    <xf numFmtId="43" fontId="5" fillId="3" borderId="2" xfId="1" applyFont="1" applyFill="1" applyBorder="1" applyAlignment="1">
      <alignment horizontal="center" vertical="center"/>
    </xf>
    <xf numFmtId="164" fontId="5" fillId="3" borderId="2" xfId="1" applyNumberFormat="1" applyFont="1" applyFill="1" applyBorder="1" applyAlignment="1">
      <alignment horizontal="center" vertical="center"/>
    </xf>
    <xf numFmtId="0" fontId="5" fillId="3" borderId="2" xfId="0" applyFont="1" applyFill="1" applyBorder="1" applyAlignment="1">
      <alignment horizontal="center" vertical="center"/>
    </xf>
    <xf numFmtId="0" fontId="5" fillId="3" borderId="0" xfId="0" applyFont="1" applyFill="1" applyAlignment="1">
      <alignment vertical="top"/>
    </xf>
    <xf numFmtId="0" fontId="5" fillId="3" borderId="2" xfId="0" applyFont="1" applyFill="1" applyBorder="1" applyAlignment="1">
      <alignment horizontal="left" vertical="top" wrapText="1"/>
    </xf>
    <xf numFmtId="164" fontId="5" fillId="3" borderId="2" xfId="1" applyNumberFormat="1" applyFont="1" applyFill="1" applyBorder="1" applyAlignment="1">
      <alignment vertical="top"/>
    </xf>
    <xf numFmtId="43" fontId="5" fillId="3" borderId="2" xfId="1" applyFont="1" applyFill="1" applyBorder="1" applyAlignment="1">
      <alignment vertical="top"/>
    </xf>
    <xf numFmtId="164" fontId="8" fillId="3" borderId="2" xfId="1" applyNumberFormat="1" applyFont="1" applyFill="1" applyBorder="1" applyAlignment="1">
      <alignment vertical="top"/>
    </xf>
    <xf numFmtId="164" fontId="5" fillId="3" borderId="2" xfId="1" applyNumberFormat="1" applyFont="1" applyFill="1" applyBorder="1" applyAlignment="1">
      <alignment vertical="top" wrapText="1"/>
    </xf>
    <xf numFmtId="43" fontId="5" fillId="3" borderId="2" xfId="1" applyFont="1" applyFill="1" applyBorder="1" applyAlignment="1">
      <alignment horizontal="center" vertical="top" wrapText="1"/>
    </xf>
    <xf numFmtId="43" fontId="5" fillId="3" borderId="0" xfId="1" applyFont="1" applyFill="1" applyAlignment="1">
      <alignment vertical="top"/>
    </xf>
    <xf numFmtId="0" fontId="5" fillId="3" borderId="2" xfId="0" applyFont="1" applyFill="1" applyBorder="1" applyAlignment="1">
      <alignment vertical="top" wrapText="1"/>
    </xf>
    <xf numFmtId="0" fontId="8" fillId="3" borderId="2" xfId="0" applyFont="1" applyFill="1" applyBorder="1" applyAlignment="1">
      <alignment horizontal="center" vertical="center" wrapText="1"/>
    </xf>
    <xf numFmtId="1" fontId="5" fillId="3" borderId="2" xfId="0" applyNumberFormat="1" applyFont="1" applyFill="1" applyBorder="1" applyAlignment="1">
      <alignment horizontal="center" vertical="center"/>
    </xf>
    <xf numFmtId="164" fontId="2" fillId="3" borderId="2" xfId="1" applyNumberFormat="1" applyFont="1" applyFill="1" applyBorder="1" applyAlignment="1">
      <alignment vertical="top"/>
    </xf>
    <xf numFmtId="43" fontId="5" fillId="3" borderId="2" xfId="1" applyFont="1" applyFill="1" applyBorder="1" applyAlignment="1">
      <alignment vertical="top" wrapText="1"/>
    </xf>
    <xf numFmtId="43" fontId="5" fillId="3" borderId="2" xfId="1" applyFont="1" applyFill="1" applyBorder="1" applyAlignment="1">
      <alignment horizontal="center" vertical="center" wrapText="1"/>
    </xf>
    <xf numFmtId="0" fontId="8" fillId="3" borderId="2" xfId="0" applyFont="1" applyFill="1" applyBorder="1" applyAlignment="1">
      <alignment horizontal="left" vertical="center" wrapText="1"/>
    </xf>
    <xf numFmtId="49" fontId="8" fillId="3" borderId="2" xfId="0" applyNumberFormat="1" applyFont="1" applyFill="1" applyBorder="1" applyAlignment="1">
      <alignment horizontal="left" vertical="center"/>
    </xf>
    <xf numFmtId="164" fontId="5" fillId="3" borderId="2" xfId="1" applyNumberFormat="1" applyFont="1" applyFill="1" applyBorder="1" applyAlignment="1">
      <alignment horizontal="center" vertical="top"/>
    </xf>
    <xf numFmtId="0" fontId="17" fillId="3" borderId="2" xfId="0" applyFont="1" applyFill="1" applyBorder="1" applyAlignment="1">
      <alignment vertical="top" wrapText="1"/>
    </xf>
    <xf numFmtId="43" fontId="5" fillId="3" borderId="2" xfId="1" applyFont="1" applyFill="1" applyBorder="1" applyAlignment="1">
      <alignment horizontal="center" vertical="top"/>
    </xf>
    <xf numFmtId="0" fontId="5" fillId="4" borderId="0" xfId="0" applyFont="1" applyFill="1" applyAlignment="1">
      <alignment vertical="top"/>
    </xf>
    <xf numFmtId="164" fontId="5" fillId="3" borderId="2" xfId="1" applyNumberFormat="1" applyFont="1" applyFill="1" applyBorder="1" applyAlignment="1">
      <alignment horizontal="center" wrapText="1"/>
    </xf>
    <xf numFmtId="12" fontId="5" fillId="3" borderId="2" xfId="1" applyNumberFormat="1" applyFont="1" applyFill="1" applyBorder="1" applyAlignment="1">
      <alignment horizontal="center" vertical="top" wrapText="1"/>
    </xf>
    <xf numFmtId="49" fontId="8" fillId="0" borderId="2" xfId="0" applyNumberFormat="1" applyFont="1" applyBorder="1" applyAlignment="1">
      <alignment horizontal="center" vertical="center"/>
    </xf>
    <xf numFmtId="164" fontId="18" fillId="3" borderId="2" xfId="1" applyNumberFormat="1" applyFont="1" applyFill="1" applyBorder="1" applyAlignment="1">
      <alignment vertical="top"/>
    </xf>
    <xf numFmtId="0" fontId="14" fillId="3" borderId="2" xfId="0" applyFont="1" applyFill="1" applyBorder="1" applyAlignment="1">
      <alignment vertical="top" wrapText="1"/>
    </xf>
    <xf numFmtId="164" fontId="5" fillId="0" borderId="2" xfId="1" applyNumberFormat="1" applyFont="1" applyFill="1" applyBorder="1" applyAlignment="1">
      <alignment vertical="top"/>
    </xf>
    <xf numFmtId="164" fontId="2" fillId="3" borderId="2" xfId="0" applyNumberFormat="1" applyFont="1" applyFill="1" applyBorder="1" applyAlignment="1">
      <alignment vertical="center"/>
    </xf>
    <xf numFmtId="0" fontId="2" fillId="3" borderId="0" xfId="0" applyFont="1" applyFill="1" applyAlignment="1">
      <alignment vertical="top"/>
    </xf>
    <xf numFmtId="164" fontId="3" fillId="3" borderId="2" xfId="1" applyNumberFormat="1" applyFont="1" applyFill="1" applyBorder="1" applyAlignment="1">
      <alignment vertical="top"/>
    </xf>
    <xf numFmtId="164" fontId="2" fillId="3" borderId="2" xfId="1" applyNumberFormat="1" applyFont="1" applyFill="1" applyBorder="1" applyAlignment="1">
      <alignment vertical="top" wrapText="1"/>
    </xf>
    <xf numFmtId="43" fontId="2" fillId="3" borderId="2" xfId="1" applyFont="1" applyFill="1" applyBorder="1" applyAlignment="1">
      <alignment vertical="top"/>
    </xf>
    <xf numFmtId="0" fontId="8" fillId="3" borderId="2" xfId="0" applyFont="1" applyFill="1" applyBorder="1" applyAlignment="1">
      <alignment horizontal="center" vertical="center"/>
    </xf>
    <xf numFmtId="43" fontId="5" fillId="3" borderId="2" xfId="1" applyFont="1" applyFill="1" applyBorder="1" applyAlignment="1">
      <alignment horizontal="right" vertical="top" wrapText="1"/>
    </xf>
    <xf numFmtId="0" fontId="5" fillId="5" borderId="0" xfId="0" applyFont="1" applyFill="1" applyAlignment="1">
      <alignment vertical="top"/>
    </xf>
    <xf numFmtId="0" fontId="8" fillId="3" borderId="2" xfId="0" applyFont="1" applyFill="1" applyBorder="1" applyAlignment="1">
      <alignment horizontal="right" vertical="center"/>
    </xf>
    <xf numFmtId="0" fontId="6" fillId="3" borderId="2" xfId="0" applyFont="1" applyFill="1" applyBorder="1" applyAlignment="1">
      <alignment horizontal="center" vertical="top" wrapText="1"/>
    </xf>
    <xf numFmtId="49" fontId="8" fillId="3" borderId="2" xfId="0" applyNumberFormat="1" applyFont="1" applyFill="1" applyBorder="1" applyAlignment="1">
      <alignment horizontal="center" vertical="center" wrapText="1"/>
    </xf>
    <xf numFmtId="49" fontId="3" fillId="3" borderId="2" xfId="0" applyNumberFormat="1" applyFont="1" applyFill="1" applyBorder="1" applyAlignment="1">
      <alignment horizontal="center" vertical="center"/>
    </xf>
    <xf numFmtId="164" fontId="5" fillId="3" borderId="2" xfId="1" applyNumberFormat="1" applyFont="1" applyFill="1" applyBorder="1" applyAlignment="1">
      <alignment horizontal="left" vertical="top" wrapText="1"/>
    </xf>
    <xf numFmtId="164" fontId="5" fillId="3" borderId="2" xfId="1" applyNumberFormat="1" applyFont="1" applyFill="1" applyBorder="1" applyAlignment="1">
      <alignment horizontal="left" vertical="top"/>
    </xf>
    <xf numFmtId="0" fontId="2" fillId="3" borderId="2" xfId="0" applyFont="1" applyFill="1" applyBorder="1" applyAlignment="1">
      <alignment vertical="top" wrapText="1"/>
    </xf>
    <xf numFmtId="0" fontId="2" fillId="0" borderId="2" xfId="0" applyFont="1" applyBorder="1" applyAlignment="1">
      <alignment vertical="top"/>
    </xf>
    <xf numFmtId="0" fontId="8" fillId="3" borderId="2" xfId="0" applyFont="1" applyFill="1" applyBorder="1" applyAlignment="1">
      <alignment vertical="center"/>
    </xf>
    <xf numFmtId="49" fontId="5" fillId="3" borderId="2" xfId="0" applyNumberFormat="1" applyFont="1" applyFill="1" applyBorder="1" applyAlignment="1">
      <alignment horizontal="center" vertical="center"/>
    </xf>
    <xf numFmtId="43" fontId="5" fillId="3" borderId="2" xfId="1" applyNumberFormat="1" applyFont="1" applyFill="1" applyBorder="1" applyAlignment="1">
      <alignment vertical="top"/>
    </xf>
    <xf numFmtId="12" fontId="14" fillId="3" borderId="2" xfId="1" applyNumberFormat="1" applyFont="1" applyFill="1" applyBorder="1" applyAlignment="1">
      <alignment horizontal="center" vertical="top" wrapText="1"/>
    </xf>
    <xf numFmtId="0" fontId="5" fillId="3" borderId="0" xfId="0" applyFont="1" applyFill="1" applyAlignment="1">
      <alignment vertical="top" wrapText="1"/>
    </xf>
    <xf numFmtId="43" fontId="22" fillId="3" borderId="2" xfId="1" applyFont="1" applyFill="1" applyBorder="1" applyAlignment="1">
      <alignment horizontal="center" vertical="top" wrapText="1"/>
    </xf>
    <xf numFmtId="164" fontId="11" fillId="3" borderId="2" xfId="1" applyNumberFormat="1" applyFont="1" applyFill="1" applyBorder="1" applyAlignment="1">
      <alignment vertical="top" wrapText="1"/>
    </xf>
    <xf numFmtId="0" fontId="5" fillId="3" borderId="2" xfId="0" applyFont="1" applyFill="1" applyBorder="1" applyAlignment="1">
      <alignment horizontal="center" vertical="top"/>
    </xf>
    <xf numFmtId="0" fontId="2" fillId="0" borderId="2" xfId="0" applyFont="1" applyBorder="1" applyAlignment="1">
      <alignment horizontal="center" vertical="top"/>
    </xf>
    <xf numFmtId="0" fontId="5" fillId="3" borderId="2" xfId="0" applyFont="1" applyFill="1" applyBorder="1" applyAlignment="1">
      <alignment horizontal="left" vertical="top"/>
    </xf>
    <xf numFmtId="0" fontId="2" fillId="0" borderId="2" xfId="0" applyFont="1" applyBorder="1" applyAlignment="1">
      <alignment horizontal="left" vertical="top"/>
    </xf>
    <xf numFmtId="0" fontId="14" fillId="3" borderId="0" xfId="0" applyFont="1" applyFill="1" applyAlignment="1">
      <alignment vertical="top"/>
    </xf>
    <xf numFmtId="0" fontId="14" fillId="0" borderId="2" xfId="0" applyFont="1" applyBorder="1" applyAlignment="1">
      <alignment horizontal="left" vertical="top"/>
    </xf>
    <xf numFmtId="0" fontId="24" fillId="3" borderId="2" xfId="0" applyFont="1" applyFill="1" applyBorder="1" applyAlignment="1">
      <alignment vertical="top" wrapText="1"/>
    </xf>
    <xf numFmtId="0" fontId="12" fillId="3" borderId="2" xfId="0" applyFont="1" applyFill="1" applyBorder="1" applyAlignment="1">
      <alignment horizontal="center" vertical="center"/>
    </xf>
    <xf numFmtId="49" fontId="12" fillId="3" borderId="2" xfId="0" applyNumberFormat="1" applyFont="1" applyFill="1" applyBorder="1" applyAlignment="1">
      <alignment horizontal="center" vertical="center"/>
    </xf>
    <xf numFmtId="164" fontId="14" fillId="3" borderId="2" xfId="1" applyNumberFormat="1" applyFont="1" applyFill="1" applyBorder="1" applyAlignment="1">
      <alignment vertical="top"/>
    </xf>
    <xf numFmtId="43" fontId="14" fillId="3" borderId="2" xfId="1" applyFont="1" applyFill="1" applyBorder="1" applyAlignment="1">
      <alignment vertical="top"/>
    </xf>
    <xf numFmtId="164" fontId="14" fillId="3" borderId="2" xfId="1" applyNumberFormat="1" applyFont="1" applyFill="1" applyBorder="1" applyAlignment="1">
      <alignment horizontal="left" vertical="top"/>
    </xf>
    <xf numFmtId="164" fontId="14" fillId="3" borderId="2" xfId="1" applyNumberFormat="1" applyFont="1" applyFill="1" applyBorder="1" applyAlignment="1">
      <alignment horizontal="left" vertical="top" wrapText="1"/>
    </xf>
    <xf numFmtId="43" fontId="14" fillId="3" borderId="2" xfId="1" applyFont="1" applyFill="1" applyBorder="1" applyAlignment="1">
      <alignment vertical="top" wrapText="1"/>
    </xf>
    <xf numFmtId="49" fontId="3" fillId="0" borderId="2" xfId="0" applyNumberFormat="1" applyFont="1" applyBorder="1" applyAlignment="1">
      <alignment horizontal="center" vertical="center"/>
    </xf>
    <xf numFmtId="43" fontId="2" fillId="3" borderId="2" xfId="1" applyFont="1" applyFill="1" applyBorder="1" applyAlignment="1">
      <alignment horizontal="center" vertical="top" wrapText="1"/>
    </xf>
    <xf numFmtId="0" fontId="5" fillId="3" borderId="0" xfId="0" applyFont="1" applyFill="1" applyAlignment="1">
      <alignment horizontal="center" vertical="top" wrapText="1"/>
    </xf>
    <xf numFmtId="0" fontId="5" fillId="0" borderId="2" xfId="0" applyFont="1" applyBorder="1" applyAlignment="1">
      <alignment vertical="top" wrapText="1"/>
    </xf>
    <xf numFmtId="0" fontId="2" fillId="3" borderId="2" xfId="0" applyFont="1" applyFill="1" applyBorder="1" applyAlignment="1">
      <alignment horizontal="left" vertical="top"/>
    </xf>
    <xf numFmtId="0" fontId="3" fillId="3" borderId="2" xfId="0" applyFont="1" applyFill="1" applyBorder="1" applyAlignment="1">
      <alignment horizontal="center" vertical="center"/>
    </xf>
    <xf numFmtId="0" fontId="2" fillId="3" borderId="2" xfId="0" applyFont="1" applyFill="1" applyBorder="1" applyAlignment="1">
      <alignment horizontal="center" vertical="center" wrapText="1"/>
    </xf>
    <xf numFmtId="164" fontId="2" fillId="3" borderId="2" xfId="1" applyNumberFormat="1" applyFont="1" applyFill="1" applyBorder="1" applyAlignment="1">
      <alignment horizontal="left" vertical="top"/>
    </xf>
    <xf numFmtId="164" fontId="2" fillId="3" borderId="2" xfId="1" applyNumberFormat="1" applyFont="1" applyFill="1" applyBorder="1" applyAlignment="1">
      <alignment horizontal="left" vertical="top" wrapText="1"/>
    </xf>
    <xf numFmtId="43" fontId="2" fillId="3" borderId="2" xfId="1" applyFont="1" applyFill="1" applyBorder="1" applyAlignment="1">
      <alignment vertical="top" wrapText="1"/>
    </xf>
    <xf numFmtId="0" fontId="6" fillId="0" borderId="0" xfId="0" applyFont="1" applyAlignment="1">
      <alignment vertical="top"/>
    </xf>
    <xf numFmtId="1" fontId="5" fillId="0" borderId="0" xfId="0" applyNumberFormat="1" applyFont="1" applyAlignment="1">
      <alignment horizontal="left" vertical="top" textRotation="90"/>
    </xf>
    <xf numFmtId="49" fontId="8" fillId="0" borderId="0" xfId="0" applyNumberFormat="1" applyFont="1" applyAlignment="1">
      <alignment horizontal="center" vertical="center" textRotation="90"/>
    </xf>
    <xf numFmtId="164" fontId="5" fillId="3" borderId="0" xfId="1" applyNumberFormat="1" applyFont="1" applyFill="1"/>
    <xf numFmtId="43" fontId="5" fillId="3" borderId="0" xfId="1" applyFont="1" applyFill="1"/>
    <xf numFmtId="1" fontId="5" fillId="3" borderId="2" xfId="0" applyNumberFormat="1" applyFont="1" applyFill="1" applyBorder="1" applyAlignment="1">
      <alignment horizontal="left" vertical="top" textRotation="90" wrapText="1"/>
    </xf>
    <xf numFmtId="49" fontId="8" fillId="3" borderId="2" xfId="0" applyNumberFormat="1" applyFont="1" applyFill="1" applyBorder="1" applyAlignment="1">
      <alignment horizontal="center" vertical="center" textRotation="90" wrapText="1"/>
    </xf>
    <xf numFmtId="0" fontId="5" fillId="3" borderId="2" xfId="0" applyFont="1" applyFill="1" applyBorder="1"/>
    <xf numFmtId="164" fontId="5" fillId="3" borderId="2" xfId="1" applyNumberFormat="1" applyFont="1" applyFill="1" applyBorder="1" applyAlignment="1">
      <alignment horizontal="center"/>
    </xf>
    <xf numFmtId="0" fontId="5" fillId="3" borderId="0" xfId="0" applyFont="1" applyFill="1" applyAlignment="1">
      <alignment wrapText="1"/>
    </xf>
    <xf numFmtId="1" fontId="5" fillId="3" borderId="0" xfId="0" applyNumberFormat="1" applyFont="1" applyFill="1" applyAlignment="1">
      <alignment horizontal="left" vertical="top" textRotation="90" wrapText="1"/>
    </xf>
    <xf numFmtId="49" fontId="8" fillId="3" borderId="0" xfId="0" applyNumberFormat="1" applyFont="1" applyFill="1" applyAlignment="1">
      <alignment horizontal="center" vertical="center" textRotation="90" wrapText="1"/>
    </xf>
    <xf numFmtId="1" fontId="5" fillId="3" borderId="0" xfId="0" applyNumberFormat="1" applyFont="1" applyFill="1" applyAlignment="1">
      <alignment horizontal="left" vertical="top" textRotation="90"/>
    </xf>
    <xf numFmtId="49" fontId="8" fillId="3" borderId="0" xfId="0" applyNumberFormat="1" applyFont="1" applyFill="1" applyAlignment="1">
      <alignment horizontal="center" vertical="center" textRotation="90"/>
    </xf>
    <xf numFmtId="164" fontId="8" fillId="3" borderId="0" xfId="1" applyNumberFormat="1" applyFont="1" applyFill="1"/>
    <xf numFmtId="164" fontId="5" fillId="3" borderId="0" xfId="1" applyNumberFormat="1" applyFont="1" applyFill="1" applyAlignment="1">
      <alignment vertical="top" wrapText="1" shrinkToFit="1"/>
    </xf>
    <xf numFmtId="164" fontId="8" fillId="3" borderId="0" xfId="1" applyNumberFormat="1" applyFont="1" applyFill="1" applyAlignment="1">
      <alignment vertical="top" wrapText="1" shrinkToFit="1"/>
    </xf>
    <xf numFmtId="0" fontId="5" fillId="3" borderId="0" xfId="0" applyFont="1" applyFill="1" applyAlignment="1">
      <alignment horizontal="center" wrapText="1"/>
    </xf>
    <xf numFmtId="0" fontId="5" fillId="0" borderId="0" xfId="0" applyFont="1" applyAlignment="1">
      <alignment vertical="top"/>
    </xf>
    <xf numFmtId="164" fontId="5" fillId="0" borderId="0" xfId="1" applyNumberFormat="1" applyFont="1"/>
    <xf numFmtId="0" fontId="25" fillId="0" borderId="0" xfId="0" applyFont="1" applyAlignment="1">
      <alignment wrapText="1"/>
    </xf>
    <xf numFmtId="0" fontId="7" fillId="0" borderId="0" xfId="2"/>
    <xf numFmtId="0" fontId="2" fillId="0" borderId="1" xfId="2" applyFont="1" applyFill="1" applyBorder="1" applyAlignment="1"/>
    <xf numFmtId="164" fontId="2" fillId="0" borderId="2" xfId="3" applyNumberFormat="1" applyFont="1" applyBorder="1" applyAlignment="1">
      <alignment horizontal="left" vertical="top"/>
    </xf>
    <xf numFmtId="164" fontId="2" fillId="3" borderId="2" xfId="3" applyNumberFormat="1" applyFont="1" applyFill="1" applyBorder="1" applyAlignment="1">
      <alignment horizontal="left" vertical="top"/>
    </xf>
    <xf numFmtId="164" fontId="2" fillId="0" borderId="2" xfId="3" applyNumberFormat="1" applyFont="1" applyFill="1" applyBorder="1" applyAlignment="1">
      <alignment horizontal="left" vertical="top"/>
    </xf>
    <xf numFmtId="164" fontId="2" fillId="0" borderId="2" xfId="2" applyNumberFormat="1" applyFont="1" applyBorder="1" applyAlignment="1">
      <alignment horizontal="left" vertical="top"/>
    </xf>
    <xf numFmtId="0" fontId="2" fillId="0" borderId="2" xfId="2" applyFont="1" applyFill="1" applyBorder="1" applyAlignment="1">
      <alignment vertical="top" wrapText="1"/>
    </xf>
    <xf numFmtId="164" fontId="2" fillId="0" borderId="2" xfId="2" applyNumberFormat="1" applyFont="1" applyFill="1" applyBorder="1" applyAlignment="1">
      <alignment horizontal="left" vertical="top"/>
    </xf>
    <xf numFmtId="0" fontId="2" fillId="3" borderId="2" xfId="2" applyFont="1" applyFill="1" applyBorder="1" applyAlignment="1">
      <alignment vertical="top" wrapText="1"/>
    </xf>
    <xf numFmtId="164" fontId="2" fillId="3" borderId="2" xfId="2" applyNumberFormat="1" applyFont="1" applyFill="1" applyBorder="1" applyAlignment="1">
      <alignment horizontal="left" vertical="top"/>
    </xf>
    <xf numFmtId="0" fontId="2" fillId="0" borderId="2" xfId="2" applyFont="1" applyBorder="1" applyAlignment="1">
      <alignment horizontal="left" vertical="top" wrapText="1"/>
    </xf>
    <xf numFmtId="0" fontId="2" fillId="0" borderId="2" xfId="2" applyNumberFormat="1" applyFont="1" applyBorder="1" applyAlignment="1">
      <alignment horizontal="center" vertical="center"/>
    </xf>
    <xf numFmtId="0" fontId="2" fillId="0" borderId="2" xfId="2" applyNumberFormat="1" applyFont="1" applyBorder="1" applyAlignment="1">
      <alignment horizontal="center"/>
    </xf>
    <xf numFmtId="164" fontId="2" fillId="3" borderId="2" xfId="2" applyNumberFormat="1" applyFont="1" applyFill="1" applyBorder="1" applyAlignment="1">
      <alignment vertical="top"/>
    </xf>
    <xf numFmtId="164" fontId="2" fillId="0" borderId="2" xfId="3" applyNumberFormat="1" applyFont="1" applyBorder="1" applyAlignment="1">
      <alignment vertical="top"/>
    </xf>
    <xf numFmtId="0" fontId="2" fillId="0" borderId="2" xfId="2" applyNumberFormat="1" applyFont="1" applyBorder="1" applyAlignment="1">
      <alignment horizontal="center" vertical="top"/>
    </xf>
    <xf numFmtId="164" fontId="3" fillId="3" borderId="2" xfId="2" applyNumberFormat="1" applyFont="1" applyFill="1" applyBorder="1" applyAlignment="1">
      <alignment horizontal="center" vertical="top" wrapText="1"/>
    </xf>
    <xf numFmtId="0" fontId="2" fillId="0" borderId="1" xfId="2" applyFont="1" applyBorder="1" applyAlignment="1">
      <alignment horizontal="center"/>
    </xf>
    <xf numFmtId="0" fontId="2" fillId="0" borderId="1" xfId="2" applyFont="1" applyBorder="1" applyAlignment="1">
      <alignment horizontal="center" vertical="center"/>
    </xf>
    <xf numFmtId="164" fontId="2" fillId="0" borderId="1" xfId="2" applyNumberFormat="1" applyFont="1" applyBorder="1" applyAlignment="1">
      <alignment horizontal="center" vertical="center"/>
    </xf>
    <xf numFmtId="0" fontId="3" fillId="0" borderId="1" xfId="2" applyFont="1" applyBorder="1" applyAlignment="1">
      <alignment horizontal="center"/>
    </xf>
    <xf numFmtId="0" fontId="2" fillId="0" borderId="1" xfId="2" applyFont="1" applyBorder="1" applyAlignment="1">
      <alignment vertical="top"/>
    </xf>
    <xf numFmtId="164" fontId="2" fillId="0" borderId="1" xfId="3" applyNumberFormat="1" applyFont="1" applyFill="1" applyBorder="1" applyAlignment="1">
      <alignment horizontal="center"/>
    </xf>
    <xf numFmtId="0" fontId="2" fillId="0" borderId="1" xfId="2" applyFont="1" applyFill="1" applyBorder="1" applyAlignment="1">
      <alignment horizontal="left"/>
    </xf>
    <xf numFmtId="0" fontId="2" fillId="0" borderId="1" xfId="2" applyFont="1" applyFill="1" applyBorder="1" applyAlignment="1">
      <alignment horizontal="center"/>
    </xf>
    <xf numFmtId="0" fontId="2" fillId="0" borderId="0" xfId="2" applyFont="1" applyBorder="1"/>
    <xf numFmtId="0" fontId="3" fillId="0" borderId="2" xfId="2" applyFont="1" applyBorder="1" applyAlignment="1">
      <alignment horizontal="center" vertical="center" wrapText="1"/>
    </xf>
    <xf numFmtId="0" fontId="2" fillId="0" borderId="2" xfId="2" applyFont="1" applyBorder="1" applyAlignment="1">
      <alignment horizontal="center" vertical="top"/>
    </xf>
    <xf numFmtId="0" fontId="2" fillId="0" borderId="2" xfId="2" applyFont="1" applyBorder="1" applyAlignment="1">
      <alignment vertical="center"/>
    </xf>
    <xf numFmtId="164" fontId="3" fillId="0" borderId="2" xfId="2" applyNumberFormat="1" applyFont="1" applyBorder="1" applyAlignment="1">
      <alignment horizontal="center" vertical="top" wrapText="1"/>
    </xf>
    <xf numFmtId="164" fontId="2" fillId="0" borderId="2" xfId="2" applyNumberFormat="1" applyFont="1" applyBorder="1" applyAlignment="1">
      <alignment vertical="top"/>
    </xf>
    <xf numFmtId="43" fontId="2" fillId="0" borderId="2" xfId="3" applyFont="1" applyBorder="1" applyAlignment="1">
      <alignment horizontal="center" vertical="top" wrapText="1"/>
    </xf>
    <xf numFmtId="0" fontId="2" fillId="0" borderId="0" xfId="2" applyFont="1" applyAlignment="1">
      <alignment vertical="top"/>
    </xf>
    <xf numFmtId="0" fontId="2" fillId="0" borderId="2" xfId="2" applyFont="1" applyBorder="1" applyAlignment="1">
      <alignment horizontal="left" vertical="center"/>
    </xf>
    <xf numFmtId="43" fontId="2" fillId="3" borderId="2" xfId="3" applyNumberFormat="1" applyFont="1" applyFill="1" applyBorder="1" applyAlignment="1">
      <alignment horizontal="center" vertical="top" wrapText="1"/>
    </xf>
    <xf numFmtId="43" fontId="2" fillId="0" borderId="2" xfId="3" applyNumberFormat="1" applyFont="1" applyBorder="1" applyAlignment="1">
      <alignment horizontal="center" vertical="top" wrapText="1"/>
    </xf>
    <xf numFmtId="0" fontId="2" fillId="0" borderId="2" xfId="2" applyFont="1" applyBorder="1" applyAlignment="1">
      <alignment vertical="center" wrapText="1"/>
    </xf>
    <xf numFmtId="0" fontId="2" fillId="3" borderId="2" xfId="2" applyFont="1" applyFill="1" applyBorder="1" applyAlignment="1">
      <alignment horizontal="left" vertical="top" wrapText="1"/>
    </xf>
    <xf numFmtId="0" fontId="2" fillId="3" borderId="2" xfId="2" applyFont="1" applyFill="1" applyBorder="1" applyAlignment="1">
      <alignment vertical="center" wrapText="1"/>
    </xf>
    <xf numFmtId="0" fontId="2" fillId="3" borderId="2" xfId="2" applyFont="1" applyFill="1" applyBorder="1" applyAlignment="1">
      <alignment horizontal="left" vertical="center"/>
    </xf>
    <xf numFmtId="164" fontId="2" fillId="3" borderId="2" xfId="3" applyNumberFormat="1" applyFont="1" applyFill="1" applyBorder="1" applyAlignment="1">
      <alignment vertical="top"/>
    </xf>
    <xf numFmtId="0" fontId="2" fillId="6" borderId="0" xfId="2" applyFont="1" applyFill="1" applyAlignment="1">
      <alignment vertical="top"/>
    </xf>
    <xf numFmtId="0" fontId="2" fillId="3" borderId="0" xfId="2" applyFont="1" applyFill="1" applyAlignment="1">
      <alignment vertical="top"/>
    </xf>
    <xf numFmtId="1" fontId="2" fillId="0" borderId="2" xfId="2" applyNumberFormat="1" applyFont="1" applyBorder="1" applyAlignment="1">
      <alignment horizontal="left" vertical="center" wrapText="1"/>
    </xf>
    <xf numFmtId="1" fontId="2" fillId="3" borderId="2" xfId="2" applyNumberFormat="1" applyFont="1" applyFill="1" applyBorder="1" applyAlignment="1">
      <alignment horizontal="left" vertical="center" wrapText="1"/>
    </xf>
    <xf numFmtId="1" fontId="2" fillId="0" borderId="2" xfId="2" applyNumberFormat="1" applyFont="1" applyBorder="1" applyAlignment="1">
      <alignment horizontal="center" vertical="center" wrapText="1"/>
    </xf>
    <xf numFmtId="0" fontId="2" fillId="0" borderId="2" xfId="2" applyFont="1" applyBorder="1" applyAlignment="1">
      <alignment horizontal="left" vertical="center" wrapText="1"/>
    </xf>
    <xf numFmtId="1" fontId="2" fillId="0" borderId="2" xfId="2" applyNumberFormat="1" applyFont="1" applyBorder="1" applyAlignment="1">
      <alignment horizontal="left" vertical="top" wrapText="1"/>
    </xf>
    <xf numFmtId="43" fontId="2" fillId="0" borderId="2" xfId="3" applyFont="1" applyBorder="1" applyAlignment="1">
      <alignment vertical="top" wrapText="1"/>
    </xf>
    <xf numFmtId="43" fontId="2" fillId="3" borderId="2" xfId="3" applyFont="1" applyFill="1" applyBorder="1" applyAlignment="1">
      <alignment horizontal="center" vertical="top" wrapText="1"/>
    </xf>
    <xf numFmtId="0" fontId="2" fillId="0" borderId="0" xfId="2" applyFont="1" applyFill="1" applyAlignment="1">
      <alignment vertical="top"/>
    </xf>
    <xf numFmtId="43" fontId="2" fillId="0" borderId="2" xfId="3" applyFont="1" applyFill="1" applyBorder="1" applyAlignment="1">
      <alignment horizontal="center" vertical="top" wrapText="1"/>
    </xf>
    <xf numFmtId="1" fontId="2" fillId="0" borderId="2" xfId="3" applyNumberFormat="1" applyFont="1" applyBorder="1" applyAlignment="1">
      <alignment horizontal="center" vertical="center"/>
    </xf>
    <xf numFmtId="1" fontId="2" fillId="0" borderId="2" xfId="3" applyNumberFormat="1" applyFont="1" applyBorder="1" applyAlignment="1">
      <alignment horizontal="center" vertical="top"/>
    </xf>
    <xf numFmtId="1" fontId="3" fillId="0" borderId="2" xfId="3" applyNumberFormat="1" applyFont="1" applyBorder="1" applyAlignment="1">
      <alignment horizontal="center" vertical="center"/>
    </xf>
    <xf numFmtId="0" fontId="24" fillId="3" borderId="2" xfId="2" applyFont="1" applyFill="1" applyBorder="1" applyAlignment="1">
      <alignment horizontal="left" vertical="top" wrapText="1"/>
    </xf>
    <xf numFmtId="1" fontId="3" fillId="0" borderId="2" xfId="3" applyNumberFormat="1" applyFont="1" applyBorder="1" applyAlignment="1">
      <alignment horizontal="center" vertical="top"/>
    </xf>
    <xf numFmtId="0" fontId="24" fillId="0" borderId="2" xfId="2" applyFont="1" applyBorder="1" applyAlignment="1">
      <alignment horizontal="center" vertical="center"/>
    </xf>
    <xf numFmtId="164" fontId="2" fillId="0" borderId="2" xfId="3" applyNumberFormat="1" applyFont="1" applyBorder="1" applyAlignment="1">
      <alignment horizontal="center" vertical="top"/>
    </xf>
    <xf numFmtId="0" fontId="27" fillId="0" borderId="11" xfId="2" applyFont="1" applyBorder="1" applyAlignment="1">
      <alignment vertical="center"/>
    </xf>
    <xf numFmtId="0" fontId="3" fillId="0" borderId="11" xfId="2" applyFont="1" applyBorder="1" applyAlignment="1">
      <alignment vertical="center"/>
    </xf>
    <xf numFmtId="0" fontId="27" fillId="0" borderId="0" xfId="2" applyFont="1" applyAlignment="1">
      <alignment vertical="center"/>
    </xf>
    <xf numFmtId="49" fontId="2" fillId="0" borderId="2" xfId="2" applyNumberFormat="1" applyFont="1" applyBorder="1" applyAlignment="1">
      <alignment horizontal="center" vertical="center" wrapText="1"/>
    </xf>
    <xf numFmtId="0" fontId="5" fillId="0" borderId="0" xfId="2" applyNumberFormat="1" applyFont="1" applyAlignment="1">
      <alignment horizontal="left" vertical="top"/>
    </xf>
    <xf numFmtId="0" fontId="5" fillId="0" borderId="2" xfId="2" applyNumberFormat="1" applyFont="1" applyBorder="1" applyAlignment="1">
      <alignment horizontal="left" vertical="top"/>
    </xf>
    <xf numFmtId="0" fontId="21" fillId="3" borderId="2" xfId="2" applyNumberFormat="1" applyFont="1" applyFill="1" applyBorder="1" applyAlignment="1">
      <alignment horizontal="left" vertical="top" wrapText="1"/>
    </xf>
    <xf numFmtId="0" fontId="5" fillId="3" borderId="2" xfId="2" applyNumberFormat="1" applyFont="1" applyFill="1" applyBorder="1" applyAlignment="1">
      <alignment horizontal="left" vertical="top"/>
    </xf>
    <xf numFmtId="0" fontId="8" fillId="3" borderId="2" xfId="2" applyNumberFormat="1" applyFont="1" applyFill="1" applyBorder="1" applyAlignment="1">
      <alignment horizontal="left" vertical="top"/>
    </xf>
    <xf numFmtId="0" fontId="5" fillId="3" borderId="2" xfId="3" applyNumberFormat="1" applyFont="1" applyFill="1" applyBorder="1" applyAlignment="1">
      <alignment horizontal="right" vertical="top"/>
    </xf>
    <xf numFmtId="0" fontId="3" fillId="3" borderId="2" xfId="2" applyNumberFormat="1" applyFont="1" applyFill="1" applyBorder="1" applyAlignment="1">
      <alignment horizontal="left" vertical="top"/>
    </xf>
    <xf numFmtId="0" fontId="5" fillId="0" borderId="0" xfId="2" applyNumberFormat="1" applyFont="1" applyFill="1" applyAlignment="1">
      <alignment horizontal="left" vertical="top"/>
    </xf>
    <xf numFmtId="0" fontId="5" fillId="0" borderId="2" xfId="2" applyNumberFormat="1" applyFont="1" applyFill="1" applyBorder="1" applyAlignment="1">
      <alignment horizontal="left" vertical="top"/>
    </xf>
    <xf numFmtId="164" fontId="2" fillId="0" borderId="2" xfId="2" applyNumberFormat="1" applyFont="1" applyBorder="1" applyAlignment="1">
      <alignment horizontal="center" vertical="top"/>
    </xf>
    <xf numFmtId="0" fontId="5" fillId="0" borderId="2" xfId="2" applyNumberFormat="1" applyFont="1" applyBorder="1" applyAlignment="1">
      <alignment horizontal="right" vertical="top"/>
    </xf>
    <xf numFmtId="0" fontId="5" fillId="0" borderId="2" xfId="2" applyNumberFormat="1" applyFont="1" applyFill="1" applyBorder="1" applyAlignment="1">
      <alignment horizontal="right" vertical="top"/>
    </xf>
    <xf numFmtId="0" fontId="5" fillId="0" borderId="2" xfId="2" applyNumberFormat="1" applyFont="1" applyBorder="1" applyAlignment="1">
      <alignment horizontal="center" vertical="top" wrapText="1"/>
    </xf>
    <xf numFmtId="0" fontId="5" fillId="0" borderId="2" xfId="2" applyNumberFormat="1" applyFont="1" applyFill="1" applyBorder="1" applyAlignment="1">
      <alignment horizontal="center" vertical="top" wrapText="1"/>
    </xf>
    <xf numFmtId="164" fontId="5" fillId="0" borderId="2" xfId="3" applyNumberFormat="1" applyFont="1" applyBorder="1" applyAlignment="1">
      <alignment horizontal="left" vertical="top"/>
    </xf>
    <xf numFmtId="164" fontId="2" fillId="0" borderId="2" xfId="3" applyNumberFormat="1" applyFont="1" applyFill="1" applyBorder="1" applyAlignment="1" applyProtection="1">
      <alignment horizontal="left" vertical="top"/>
    </xf>
    <xf numFmtId="164" fontId="2" fillId="3" borderId="2" xfId="3" applyNumberFormat="1" applyFont="1" applyFill="1" applyBorder="1" applyAlignment="1" applyProtection="1">
      <alignment horizontal="left" vertical="top"/>
    </xf>
    <xf numFmtId="164" fontId="14" fillId="0" borderId="2" xfId="3" applyNumberFormat="1" applyFont="1" applyFill="1" applyBorder="1" applyAlignment="1" applyProtection="1">
      <alignment horizontal="left" vertical="top"/>
    </xf>
    <xf numFmtId="1" fontId="2" fillId="0" borderId="2" xfId="3" applyNumberFormat="1" applyFont="1" applyBorder="1" applyAlignment="1" applyProtection="1">
      <alignment horizontal="center" vertical="center"/>
    </xf>
    <xf numFmtId="1" fontId="2" fillId="0" borderId="2" xfId="3" applyNumberFormat="1" applyFont="1" applyBorder="1" applyAlignment="1" applyProtection="1">
      <alignment horizontal="center" vertical="top"/>
    </xf>
    <xf numFmtId="0" fontId="5" fillId="0" borderId="2" xfId="2" applyNumberFormat="1" applyFont="1" applyBorder="1" applyAlignment="1" applyProtection="1">
      <alignment horizontal="right" vertical="top"/>
    </xf>
    <xf numFmtId="0" fontId="5" fillId="0" borderId="2" xfId="2" applyNumberFormat="1" applyFont="1" applyBorder="1" applyAlignment="1" applyProtection="1">
      <alignment horizontal="left" vertical="top"/>
    </xf>
    <xf numFmtId="0" fontId="5" fillId="0" borderId="2" xfId="2" applyNumberFormat="1" applyFont="1" applyFill="1" applyBorder="1" applyAlignment="1" applyProtection="1">
      <alignment horizontal="left" vertical="top"/>
    </xf>
    <xf numFmtId="164" fontId="2" fillId="0" borderId="2" xfId="3" applyNumberFormat="1" applyFont="1" applyFill="1" applyBorder="1" applyAlignment="1" applyProtection="1">
      <alignment horizontal="center" vertical="top"/>
    </xf>
    <xf numFmtId="0" fontId="8" fillId="0" borderId="2" xfId="3" applyNumberFormat="1" applyFont="1" applyBorder="1" applyAlignment="1">
      <alignment horizontal="right" vertical="top"/>
    </xf>
    <xf numFmtId="0" fontId="5" fillId="3" borderId="2" xfId="2" applyNumberFormat="1" applyFont="1" applyFill="1" applyBorder="1" applyAlignment="1">
      <alignment horizontal="left" vertical="top" wrapText="1"/>
    </xf>
    <xf numFmtId="0" fontId="5" fillId="0" borderId="2" xfId="3" applyNumberFormat="1" applyFont="1" applyBorder="1" applyAlignment="1">
      <alignment horizontal="right" vertical="top"/>
    </xf>
    <xf numFmtId="49" fontId="8" fillId="3" borderId="2" xfId="2" applyNumberFormat="1" applyFont="1" applyFill="1" applyBorder="1" applyAlignment="1">
      <alignment horizontal="left" vertical="top"/>
    </xf>
    <xf numFmtId="0" fontId="14" fillId="0" borderId="2" xfId="2" applyFont="1" applyBorder="1" applyAlignment="1">
      <alignment horizontal="center" vertical="top"/>
    </xf>
    <xf numFmtId="0" fontId="14" fillId="0" borderId="2" xfId="2" applyFont="1" applyBorder="1" applyAlignment="1">
      <alignment horizontal="left" vertical="center"/>
    </xf>
    <xf numFmtId="0" fontId="14" fillId="0" borderId="0" xfId="2" applyFont="1" applyFill="1" applyAlignment="1">
      <alignment vertical="top"/>
    </xf>
    <xf numFmtId="0" fontId="24" fillId="3" borderId="2" xfId="2" applyFont="1" applyFill="1" applyBorder="1" applyAlignment="1">
      <alignment horizontal="left" vertical="center" wrapText="1"/>
    </xf>
    <xf numFmtId="43" fontId="2" fillId="0" borderId="2" xfId="3" applyFont="1" applyBorder="1" applyAlignment="1">
      <alignment horizontal="center" vertical="center" wrapText="1"/>
    </xf>
    <xf numFmtId="43" fontId="28" fillId="0" borderId="2" xfId="3" applyFont="1" applyBorder="1" applyAlignment="1">
      <alignment horizontal="center" vertical="top" wrapText="1"/>
    </xf>
    <xf numFmtId="0" fontId="5" fillId="0" borderId="2" xfId="2" applyFont="1" applyBorder="1" applyAlignment="1">
      <alignment horizontal="center" vertical="center"/>
    </xf>
    <xf numFmtId="0" fontId="2" fillId="0" borderId="2" xfId="2" applyFont="1" applyBorder="1" applyAlignment="1">
      <alignment horizontal="center" vertical="center"/>
    </xf>
    <xf numFmtId="0" fontId="2" fillId="0" borderId="2" xfId="2" applyFont="1" applyBorder="1" applyAlignment="1">
      <alignment horizontal="center" vertical="center" wrapText="1"/>
    </xf>
    <xf numFmtId="0" fontId="2" fillId="0" borderId="2" xfId="2" applyFont="1" applyBorder="1" applyAlignment="1">
      <alignment vertical="top" wrapText="1"/>
    </xf>
    <xf numFmtId="0" fontId="2" fillId="0" borderId="2" xfId="2" applyFont="1" applyBorder="1" applyAlignment="1">
      <alignment vertical="top"/>
    </xf>
    <xf numFmtId="0" fontId="5" fillId="0" borderId="2" xfId="3" applyNumberFormat="1" applyFont="1" applyFill="1" applyBorder="1" applyAlignment="1">
      <alignment horizontal="left" vertical="top" wrapText="1"/>
    </xf>
    <xf numFmtId="0" fontId="5" fillId="4" borderId="2" xfId="3" applyNumberFormat="1" applyFont="1" applyFill="1" applyBorder="1" applyAlignment="1">
      <alignment horizontal="right" vertical="top"/>
    </xf>
    <xf numFmtId="0" fontId="6" fillId="0" borderId="2" xfId="2" applyNumberFormat="1" applyFont="1" applyBorder="1" applyAlignment="1">
      <alignment horizontal="right" vertical="top"/>
    </xf>
    <xf numFmtId="164" fontId="5" fillId="3" borderId="2" xfId="3" applyNumberFormat="1" applyFont="1" applyFill="1" applyBorder="1" applyAlignment="1">
      <alignment horizontal="right" vertical="top"/>
    </xf>
    <xf numFmtId="0" fontId="5" fillId="0" borderId="0" xfId="2" applyNumberFormat="1" applyFont="1" applyBorder="1" applyAlignment="1">
      <alignment horizontal="left" vertical="top"/>
    </xf>
    <xf numFmtId="0" fontId="5" fillId="0" borderId="0" xfId="2" applyNumberFormat="1" applyFont="1" applyBorder="1" applyAlignment="1">
      <alignment horizontal="left" vertical="top" wrapText="1"/>
    </xf>
    <xf numFmtId="0" fontId="2" fillId="0" borderId="0" xfId="2" applyFont="1" applyBorder="1" applyAlignment="1">
      <alignment vertical="top"/>
    </xf>
    <xf numFmtId="164" fontId="2" fillId="0" borderId="2" xfId="2" applyNumberFormat="1" applyFont="1" applyBorder="1" applyAlignment="1">
      <alignment horizontal="center" vertical="center"/>
    </xf>
    <xf numFmtId="164" fontId="2" fillId="0" borderId="2" xfId="2" applyNumberFormat="1" applyFont="1" applyBorder="1" applyAlignment="1">
      <alignment horizontal="center" vertical="center" wrapText="1"/>
    </xf>
    <xf numFmtId="49" fontId="2" fillId="0" borderId="2" xfId="2" applyNumberFormat="1" applyFont="1" applyBorder="1" applyAlignment="1">
      <alignment horizontal="center" vertical="center"/>
    </xf>
    <xf numFmtId="164" fontId="2" fillId="0" borderId="2" xfId="2" applyNumberFormat="1" applyFont="1" applyBorder="1" applyAlignment="1">
      <alignment horizontal="right" vertical="top" wrapText="1"/>
    </xf>
    <xf numFmtId="0" fontId="2" fillId="0" borderId="2" xfId="2" applyFont="1" applyBorder="1" applyAlignment="1" applyProtection="1">
      <alignment vertical="top"/>
    </xf>
    <xf numFmtId="49" fontId="2" fillId="3" borderId="2" xfId="2" applyNumberFormat="1" applyFont="1" applyFill="1" applyBorder="1" applyAlignment="1">
      <alignment horizontal="center" vertical="center"/>
    </xf>
    <xf numFmtId="164" fontId="2" fillId="3" borderId="2" xfId="2" applyNumberFormat="1" applyFont="1" applyFill="1" applyBorder="1" applyAlignment="1">
      <alignment horizontal="center" vertical="top"/>
    </xf>
    <xf numFmtId="0" fontId="14" fillId="0" borderId="2" xfId="2" applyFont="1" applyBorder="1" applyAlignment="1">
      <alignment vertical="center" wrapText="1"/>
    </xf>
    <xf numFmtId="49" fontId="14" fillId="0" borderId="2" xfId="2" applyNumberFormat="1" applyFont="1" applyBorder="1" applyAlignment="1">
      <alignment horizontal="center" vertical="center"/>
    </xf>
    <xf numFmtId="0" fontId="8" fillId="3" borderId="2" xfId="2" applyNumberFormat="1" applyFont="1" applyFill="1" applyBorder="1" applyAlignment="1">
      <alignment horizontal="left" vertical="top" wrapText="1"/>
    </xf>
    <xf numFmtId="0" fontId="5" fillId="0" borderId="2" xfId="3" applyNumberFormat="1" applyFont="1" applyBorder="1" applyAlignment="1">
      <alignment horizontal="right" vertical="top" wrapText="1"/>
    </xf>
    <xf numFmtId="49" fontId="5" fillId="3" borderId="2" xfId="2" applyNumberFormat="1" applyFont="1" applyFill="1" applyBorder="1" applyAlignment="1">
      <alignment horizontal="left" vertical="top"/>
    </xf>
    <xf numFmtId="43" fontId="14" fillId="0" borderId="2" xfId="3" applyFont="1" applyBorder="1" applyAlignment="1">
      <alignment vertical="top" wrapText="1"/>
    </xf>
    <xf numFmtId="0" fontId="5" fillId="0" borderId="2" xfId="3" applyNumberFormat="1" applyFont="1" applyBorder="1" applyAlignment="1">
      <alignment horizontal="left" vertical="top" wrapText="1"/>
    </xf>
    <xf numFmtId="0" fontId="5" fillId="3" borderId="8" xfId="2" applyNumberFormat="1" applyFont="1" applyFill="1" applyBorder="1" applyAlignment="1">
      <alignment horizontal="left" vertical="top" wrapText="1"/>
    </xf>
    <xf numFmtId="0" fontId="5" fillId="0" borderId="7" xfId="3" applyNumberFormat="1" applyFont="1" applyBorder="1" applyAlignment="1">
      <alignment horizontal="right" vertical="top" wrapText="1"/>
    </xf>
    <xf numFmtId="164" fontId="5" fillId="0" borderId="2" xfId="3" applyNumberFormat="1" applyFont="1" applyBorder="1" applyAlignment="1">
      <alignment horizontal="right" vertical="top"/>
    </xf>
    <xf numFmtId="0" fontId="2" fillId="0" borderId="2" xfId="0" applyFont="1" applyBorder="1" applyAlignment="1">
      <alignment horizontal="left" vertical="top" wrapText="1"/>
    </xf>
    <xf numFmtId="0" fontId="2" fillId="0" borderId="2" xfId="0" applyFont="1" applyBorder="1" applyAlignment="1">
      <alignment horizontal="left" vertical="center"/>
    </xf>
    <xf numFmtId="49" fontId="2" fillId="0" borderId="2" xfId="0" applyNumberFormat="1" applyFont="1" applyBorder="1" applyAlignment="1">
      <alignment horizontal="center" vertical="center"/>
    </xf>
    <xf numFmtId="0" fontId="2" fillId="3" borderId="2" xfId="0" applyFont="1" applyFill="1" applyBorder="1" applyAlignment="1">
      <alignment horizontal="left" vertical="top" wrapText="1"/>
    </xf>
    <xf numFmtId="0" fontId="2" fillId="3" borderId="2" xfId="0" applyFont="1" applyFill="1" applyBorder="1" applyAlignment="1">
      <alignment horizontal="left" vertical="center"/>
    </xf>
    <xf numFmtId="49" fontId="2" fillId="3" borderId="2" xfId="0" applyNumberFormat="1" applyFont="1" applyFill="1" applyBorder="1" applyAlignment="1">
      <alignment horizontal="center" vertical="center"/>
    </xf>
    <xf numFmtId="0" fontId="2" fillId="0" borderId="2" xfId="0" applyFont="1" applyBorder="1" applyAlignment="1">
      <alignment vertical="top" wrapText="1"/>
    </xf>
    <xf numFmtId="1" fontId="2" fillId="0" borderId="2" xfId="0" applyNumberFormat="1" applyFont="1" applyBorder="1" applyAlignment="1">
      <alignment horizontal="left" vertical="center" wrapText="1"/>
    </xf>
    <xf numFmtId="1" fontId="2" fillId="3" borderId="2" xfId="0" applyNumberFormat="1" applyFont="1" applyFill="1" applyBorder="1" applyAlignment="1">
      <alignment horizontal="left" vertical="center" wrapText="1"/>
    </xf>
    <xf numFmtId="0" fontId="2" fillId="0" borderId="2" xfId="0" applyFont="1" applyBorder="1" applyAlignment="1">
      <alignment horizontal="center" vertical="center"/>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1" fontId="2" fillId="0" borderId="2" xfId="0" applyNumberFormat="1" applyFont="1" applyBorder="1" applyAlignment="1">
      <alignment horizontal="left" vertical="top" wrapText="1"/>
    </xf>
    <xf numFmtId="0" fontId="2" fillId="0" borderId="2" xfId="0" applyFont="1" applyFill="1" applyBorder="1" applyAlignment="1">
      <alignment vertical="top" wrapText="1"/>
    </xf>
    <xf numFmtId="0" fontId="14" fillId="0" borderId="2" xfId="0" applyFont="1" applyBorder="1" applyAlignment="1">
      <alignment horizontal="left" vertical="center"/>
    </xf>
    <xf numFmtId="49" fontId="14" fillId="0" borderId="2" xfId="0" applyNumberFormat="1" applyFont="1" applyBorder="1" applyAlignment="1">
      <alignment horizontal="center" vertical="center"/>
    </xf>
    <xf numFmtId="49" fontId="2" fillId="0" borderId="2" xfId="0" applyNumberFormat="1" applyFont="1" applyBorder="1" applyAlignment="1">
      <alignment horizontal="center" vertical="center" wrapText="1"/>
    </xf>
    <xf numFmtId="0" fontId="24" fillId="3" borderId="2" xfId="0" applyFont="1" applyFill="1" applyBorder="1" applyAlignment="1">
      <alignment horizontal="left" vertical="top" wrapText="1"/>
    </xf>
    <xf numFmtId="0" fontId="24" fillId="3" borderId="2" xfId="0" applyFont="1" applyFill="1" applyBorder="1" applyAlignment="1">
      <alignment horizontal="left" vertical="center" wrapText="1"/>
    </xf>
    <xf numFmtId="0" fontId="21" fillId="3" borderId="2" xfId="0" applyNumberFormat="1" applyFont="1" applyFill="1" applyBorder="1" applyAlignment="1">
      <alignment horizontal="left" vertical="top" wrapText="1"/>
    </xf>
    <xf numFmtId="0" fontId="5" fillId="3" borderId="2" xfId="0" applyNumberFormat="1" applyFont="1" applyFill="1" applyBorder="1" applyAlignment="1">
      <alignment horizontal="left" vertical="top" wrapText="1"/>
    </xf>
    <xf numFmtId="49" fontId="5" fillId="3" borderId="2" xfId="0" applyNumberFormat="1" applyFont="1" applyFill="1" applyBorder="1" applyAlignment="1">
      <alignment horizontal="left" vertical="top"/>
    </xf>
    <xf numFmtId="1" fontId="5" fillId="0" borderId="2" xfId="0" applyNumberFormat="1" applyFont="1" applyBorder="1" applyAlignment="1">
      <alignment horizontal="center" vertical="center" shrinkToFit="1"/>
    </xf>
    <xf numFmtId="0" fontId="5" fillId="3" borderId="2" xfId="0" applyFont="1" applyFill="1" applyBorder="1" applyAlignment="1">
      <alignment horizontal="left" vertical="center" wrapText="1"/>
    </xf>
    <xf numFmtId="0" fontId="8" fillId="3" borderId="2" xfId="0" applyFont="1" applyFill="1" applyBorder="1" applyAlignment="1">
      <alignment horizontal="left" vertical="center"/>
    </xf>
    <xf numFmtId="0" fontId="12" fillId="3" borderId="2" xfId="0" applyFont="1" applyFill="1" applyBorder="1" applyAlignment="1">
      <alignment horizontal="left" vertical="center"/>
    </xf>
    <xf numFmtId="0" fontId="3" fillId="3" borderId="2" xfId="0" applyFont="1" applyFill="1" applyBorder="1" applyAlignment="1">
      <alignment horizontal="left" vertical="center"/>
    </xf>
    <xf numFmtId="0" fontId="2" fillId="3" borderId="2" xfId="0" applyFont="1" applyFill="1" applyBorder="1" applyAlignment="1">
      <alignment horizontal="left" vertical="center" wrapText="1"/>
    </xf>
    <xf numFmtId="0" fontId="14" fillId="0" borderId="2" xfId="0" applyFont="1" applyBorder="1" applyAlignment="1">
      <alignment horizontal="left" vertical="center" wrapText="1"/>
    </xf>
    <xf numFmtId="0" fontId="8" fillId="3" borderId="2" xfId="1" applyNumberFormat="1" applyFont="1" applyFill="1" applyBorder="1" applyAlignment="1">
      <alignment horizontal="right" vertical="top" wrapText="1"/>
    </xf>
    <xf numFmtId="0" fontId="8" fillId="3" borderId="2" xfId="0" applyNumberFormat="1" applyFont="1" applyFill="1" applyBorder="1" applyAlignment="1">
      <alignment vertical="top" wrapText="1"/>
    </xf>
    <xf numFmtId="0" fontId="8" fillId="3" borderId="2" xfId="0" applyNumberFormat="1" applyFont="1" applyFill="1" applyBorder="1" applyAlignment="1">
      <alignment horizontal="center" vertical="top" wrapText="1"/>
    </xf>
    <xf numFmtId="164" fontId="5" fillId="3" borderId="2" xfId="1" applyNumberFormat="1" applyFont="1" applyFill="1" applyBorder="1"/>
    <xf numFmtId="0" fontId="2" fillId="0" borderId="2" xfId="0" applyFont="1" applyBorder="1" applyAlignment="1">
      <alignment horizontal="center"/>
    </xf>
    <xf numFmtId="165" fontId="5" fillId="3" borderId="2" xfId="0" applyNumberFormat="1" applyFont="1" applyFill="1" applyBorder="1" applyAlignment="1">
      <alignment horizontal="center" vertical="center"/>
    </xf>
    <xf numFmtId="0" fontId="2" fillId="0" borderId="2" xfId="0" applyFont="1" applyFill="1" applyBorder="1" applyAlignment="1">
      <alignment horizontal="center"/>
    </xf>
    <xf numFmtId="0" fontId="2" fillId="0" borderId="2" xfId="0" applyFont="1" applyFill="1" applyBorder="1"/>
    <xf numFmtId="0" fontId="3" fillId="0" borderId="2" xfId="1" applyNumberFormat="1" applyFont="1" applyFill="1" applyBorder="1"/>
    <xf numFmtId="43" fontId="2" fillId="0" borderId="2" xfId="1" applyFont="1" applyFill="1" applyBorder="1"/>
    <xf numFmtId="43" fontId="2" fillId="7" borderId="2" xfId="1" applyFont="1" applyFill="1" applyBorder="1"/>
    <xf numFmtId="0" fontId="2" fillId="0" borderId="2" xfId="0" applyFont="1" applyFill="1" applyBorder="1" applyAlignment="1">
      <alignment wrapText="1"/>
    </xf>
    <xf numFmtId="0" fontId="2" fillId="0" borderId="2" xfId="0" applyFont="1" applyFill="1" applyBorder="1" applyAlignment="1">
      <alignment horizontal="center" vertical="center"/>
    </xf>
    <xf numFmtId="0" fontId="31" fillId="0" borderId="0" xfId="0" applyFont="1" applyFill="1" applyAlignment="1">
      <alignment horizontal="center"/>
    </xf>
    <xf numFmtId="43" fontId="2" fillId="0" borderId="2" xfId="1" applyFont="1" applyFill="1" applyBorder="1" applyAlignment="1">
      <alignment horizontal="right"/>
    </xf>
    <xf numFmtId="0" fontId="2" fillId="8" borderId="2" xfId="0" applyFont="1" applyFill="1" applyBorder="1" applyAlignment="1">
      <alignment horizontal="center"/>
    </xf>
    <xf numFmtId="14" fontId="2" fillId="7" borderId="2" xfId="1" applyNumberFormat="1" applyFont="1" applyFill="1" applyBorder="1"/>
    <xf numFmtId="43" fontId="2" fillId="9" borderId="2" xfId="1" applyFont="1" applyFill="1" applyBorder="1"/>
    <xf numFmtId="0" fontId="2" fillId="10" borderId="2" xfId="0" applyFont="1" applyFill="1" applyBorder="1"/>
    <xf numFmtId="43" fontId="2" fillId="10" borderId="2" xfId="1" applyFont="1" applyFill="1" applyBorder="1"/>
    <xf numFmtId="0" fontId="2" fillId="11" borderId="2" xfId="0" applyFont="1" applyFill="1" applyBorder="1" applyAlignment="1">
      <alignment horizontal="center"/>
    </xf>
    <xf numFmtId="0" fontId="2" fillId="11" borderId="2" xfId="0" applyFont="1" applyFill="1" applyBorder="1"/>
    <xf numFmtId="43" fontId="2" fillId="11" borderId="2" xfId="1" applyFont="1" applyFill="1" applyBorder="1"/>
    <xf numFmtId="43" fontId="2" fillId="3" borderId="2" xfId="1" applyFont="1" applyFill="1" applyBorder="1"/>
    <xf numFmtId="0" fontId="2" fillId="0" borderId="0" xfId="0" applyFont="1" applyFill="1" applyBorder="1" applyAlignment="1">
      <alignment horizontal="center"/>
    </xf>
    <xf numFmtId="0" fontId="2" fillId="0" borderId="0" xfId="0" applyFont="1" applyFill="1" applyBorder="1"/>
    <xf numFmtId="43" fontId="2" fillId="0" borderId="0" xfId="1" applyFont="1" applyFill="1" applyBorder="1"/>
    <xf numFmtId="43" fontId="2" fillId="0" borderId="0" xfId="1" quotePrefix="1" applyFont="1" applyFill="1" applyBorder="1"/>
    <xf numFmtId="43" fontId="2" fillId="0" borderId="0" xfId="1" applyFont="1" applyFill="1" applyAlignment="1">
      <alignment horizontal="center"/>
    </xf>
    <xf numFmtId="0" fontId="2" fillId="0" borderId="0" xfId="0" applyFont="1" applyFill="1" applyAlignment="1">
      <alignment horizontal="center"/>
    </xf>
    <xf numFmtId="0" fontId="2" fillId="0" borderId="2" xfId="0" applyFont="1" applyFill="1" applyBorder="1" applyAlignment="1">
      <alignment horizontal="center" vertical="center"/>
    </xf>
    <xf numFmtId="0" fontId="2" fillId="0" borderId="0" xfId="0" applyFont="1" applyFill="1" applyBorder="1" applyAlignment="1">
      <alignment horizontal="center"/>
    </xf>
    <xf numFmtId="0" fontId="2" fillId="2" borderId="0" xfId="0" applyNumberFormat="1" applyFont="1" applyFill="1"/>
    <xf numFmtId="0" fontId="2" fillId="11" borderId="2" xfId="0" applyFont="1" applyFill="1" applyBorder="1" applyAlignment="1">
      <alignment wrapText="1"/>
    </xf>
    <xf numFmtId="0" fontId="2" fillId="3" borderId="2" xfId="0" applyFont="1" applyFill="1" applyBorder="1"/>
    <xf numFmtId="0" fontId="2" fillId="3" borderId="2" xfId="0" applyFont="1" applyFill="1" applyBorder="1" applyAlignment="1">
      <alignment wrapText="1"/>
    </xf>
    <xf numFmtId="0" fontId="2" fillId="0" borderId="14" xfId="0" applyFont="1" applyFill="1" applyBorder="1" applyAlignment="1">
      <alignment horizontal="center"/>
    </xf>
    <xf numFmtId="0" fontId="2" fillId="0" borderId="0" xfId="0" applyFont="1" applyFill="1" applyAlignment="1">
      <alignment horizontal="center"/>
    </xf>
    <xf numFmtId="0" fontId="2" fillId="0" borderId="2" xfId="0" applyFont="1" applyFill="1" applyBorder="1" applyAlignment="1">
      <alignment horizontal="center" vertical="center"/>
    </xf>
    <xf numFmtId="0" fontId="2" fillId="0" borderId="0" xfId="0" applyFont="1" applyFill="1" applyBorder="1" applyAlignment="1">
      <alignment horizontal="center"/>
    </xf>
    <xf numFmtId="43" fontId="0" fillId="0" borderId="0" xfId="0" applyNumberFormat="1"/>
    <xf numFmtId="0" fontId="2" fillId="10" borderId="2" xfId="0" applyFont="1" applyFill="1" applyBorder="1" applyAlignment="1">
      <alignment wrapText="1"/>
    </xf>
    <xf numFmtId="0" fontId="2" fillId="12" borderId="2" xfId="0" applyFont="1" applyFill="1" applyBorder="1" applyAlignment="1">
      <alignment horizontal="center"/>
    </xf>
    <xf numFmtId="0" fontId="2" fillId="12" borderId="2" xfId="0" applyFont="1" applyFill="1" applyBorder="1" applyAlignment="1">
      <alignment wrapText="1"/>
    </xf>
    <xf numFmtId="0" fontId="2" fillId="12" borderId="2" xfId="0" applyFont="1" applyFill="1" applyBorder="1"/>
    <xf numFmtId="43" fontId="2" fillId="12" borderId="2" xfId="1" applyFont="1" applyFill="1" applyBorder="1"/>
    <xf numFmtId="0" fontId="2" fillId="10" borderId="2" xfId="0" applyFont="1" applyFill="1" applyBorder="1" applyAlignment="1">
      <alignment horizontal="center"/>
    </xf>
    <xf numFmtId="0" fontId="2" fillId="3" borderId="2" xfId="0" applyFont="1" applyFill="1" applyBorder="1" applyAlignment="1">
      <alignment horizontal="center"/>
    </xf>
    <xf numFmtId="0" fontId="0" fillId="0" borderId="0" xfId="0" applyAlignment="1">
      <alignment horizontal="center"/>
    </xf>
    <xf numFmtId="0" fontId="2" fillId="0" borderId="2" xfId="0" applyFont="1" applyFill="1" applyBorder="1" applyAlignment="1">
      <alignment horizontal="center" vertical="center"/>
    </xf>
    <xf numFmtId="0" fontId="2" fillId="0" borderId="14" xfId="0" applyFont="1" applyFill="1" applyBorder="1" applyAlignment="1">
      <alignment horizontal="center"/>
    </xf>
    <xf numFmtId="0" fontId="4" fillId="0" borderId="0" xfId="0" applyFont="1" applyFill="1" applyAlignment="1">
      <alignment horizontal="center" wrapText="1"/>
    </xf>
    <xf numFmtId="0" fontId="2" fillId="0" borderId="2" xfId="0" applyFont="1" applyFill="1" applyBorder="1" applyAlignment="1">
      <alignment horizontal="center" vertical="center"/>
    </xf>
    <xf numFmtId="0" fontId="2" fillId="0" borderId="0" xfId="0" applyFont="1" applyFill="1" applyAlignment="1">
      <alignment horizontal="center"/>
    </xf>
    <xf numFmtId="0" fontId="2" fillId="0" borderId="1" xfId="0" applyFont="1" applyFill="1" applyBorder="1" applyAlignment="1">
      <alignment horizontal="center" wrapText="1"/>
    </xf>
    <xf numFmtId="0" fontId="32" fillId="0" borderId="0" xfId="0" applyFont="1" applyFill="1" applyAlignment="1">
      <alignment horizontal="center" wrapText="1"/>
    </xf>
    <xf numFmtId="43" fontId="2" fillId="0" borderId="0" xfId="1" applyFont="1" applyFill="1" applyBorder="1" applyAlignment="1">
      <alignment horizontal="center"/>
    </xf>
    <xf numFmtId="0" fontId="2" fillId="0" borderId="0" xfId="0" applyFont="1" applyFill="1" applyBorder="1" applyAlignment="1">
      <alignment horizontal="center"/>
    </xf>
    <xf numFmtId="164" fontId="5" fillId="3" borderId="11" xfId="0" applyNumberFormat="1" applyFont="1" applyFill="1" applyBorder="1" applyAlignment="1">
      <alignment horizontal="left" vertical="top" wrapText="1"/>
    </xf>
    <xf numFmtId="0" fontId="5" fillId="3" borderId="2" xfId="0" applyFont="1" applyFill="1" applyBorder="1" applyAlignment="1">
      <alignment horizontal="center" vertical="center" wrapText="1"/>
    </xf>
    <xf numFmtId="164" fontId="5" fillId="3" borderId="2" xfId="1" applyNumberFormat="1" applyFont="1" applyFill="1" applyBorder="1" applyAlignment="1">
      <alignment horizontal="center" vertical="center" wrapText="1"/>
    </xf>
    <xf numFmtId="164" fontId="16" fillId="3" borderId="2" xfId="1" applyNumberFormat="1" applyFont="1" applyFill="1" applyBorder="1" applyAlignment="1">
      <alignment horizontal="center" vertical="center" wrapText="1"/>
    </xf>
    <xf numFmtId="164" fontId="5" fillId="3" borderId="2" xfId="1" applyNumberFormat="1" applyFont="1" applyFill="1" applyBorder="1" applyAlignment="1">
      <alignment horizontal="center" vertical="center"/>
    </xf>
    <xf numFmtId="0" fontId="5" fillId="3" borderId="2" xfId="0" applyFont="1" applyFill="1" applyBorder="1" applyAlignment="1">
      <alignment horizontal="center" vertical="center"/>
    </xf>
    <xf numFmtId="0" fontId="5" fillId="0" borderId="2" xfId="0" applyFont="1" applyBorder="1" applyAlignment="1">
      <alignment horizontal="center" vertical="center"/>
    </xf>
    <xf numFmtId="0" fontId="5" fillId="0" borderId="2" xfId="0" applyFont="1" applyBorder="1" applyAlignment="1">
      <alignment vertical="top"/>
    </xf>
    <xf numFmtId="0" fontId="6" fillId="0" borderId="2" xfId="0" applyFont="1" applyBorder="1" applyAlignment="1">
      <alignment horizontal="center"/>
    </xf>
    <xf numFmtId="0" fontId="6" fillId="3" borderId="2" xfId="0" applyFont="1" applyFill="1" applyBorder="1" applyAlignment="1">
      <alignment horizontal="center"/>
    </xf>
    <xf numFmtId="0" fontId="5" fillId="3" borderId="2" xfId="0" applyFont="1" applyFill="1" applyBorder="1" applyAlignment="1">
      <alignment horizontal="center" vertical="top" wrapText="1"/>
    </xf>
    <xf numFmtId="43" fontId="5" fillId="3" borderId="2" xfId="1" applyFont="1" applyFill="1" applyBorder="1" applyAlignment="1">
      <alignment horizontal="center" vertical="center"/>
    </xf>
    <xf numFmtId="0" fontId="5" fillId="0" borderId="0" xfId="0" applyFont="1" applyBorder="1" applyAlignment="1">
      <alignment horizontal="center"/>
    </xf>
    <xf numFmtId="0" fontId="6" fillId="0" borderId="0" xfId="0" applyFont="1" applyAlignment="1">
      <alignment horizontal="center"/>
    </xf>
    <xf numFmtId="0" fontId="18" fillId="0" borderId="0" xfId="2" applyFont="1" applyAlignment="1">
      <alignment horizontal="center"/>
    </xf>
    <xf numFmtId="0" fontId="2" fillId="0" borderId="2" xfId="2" applyFont="1" applyBorder="1" applyAlignment="1">
      <alignment horizontal="center" vertical="center" wrapText="1"/>
    </xf>
    <xf numFmtId="0" fontId="2" fillId="0" borderId="2" xfId="2" applyFont="1" applyBorder="1" applyAlignment="1">
      <alignment horizontal="center" vertical="center"/>
    </xf>
    <xf numFmtId="164" fontId="30" fillId="0" borderId="2" xfId="3" applyNumberFormat="1" applyFont="1" applyBorder="1" applyAlignment="1">
      <alignment horizontal="center" vertical="center" wrapText="1"/>
    </xf>
    <xf numFmtId="0" fontId="2" fillId="0" borderId="0" xfId="2" applyFont="1" applyBorder="1" applyAlignment="1">
      <alignment horizontal="center"/>
    </xf>
    <xf numFmtId="0" fontId="29" fillId="0" borderId="2" xfId="2" applyFont="1" applyBorder="1" applyAlignment="1">
      <alignment vertical="center"/>
    </xf>
    <xf numFmtId="0" fontId="2" fillId="0" borderId="2" xfId="2" applyFont="1" applyBorder="1" applyAlignment="1">
      <alignment vertical="top" wrapText="1"/>
    </xf>
    <xf numFmtId="0" fontId="2" fillId="0" borderId="2" xfId="2" applyFont="1" applyBorder="1" applyAlignment="1">
      <alignment vertical="top"/>
    </xf>
    <xf numFmtId="164" fontId="2" fillId="0" borderId="2" xfId="3" applyNumberFormat="1" applyFont="1" applyBorder="1" applyAlignment="1">
      <alignment horizontal="center" vertical="center"/>
    </xf>
    <xf numFmtId="0" fontId="2" fillId="0" borderId="2" xfId="2" applyNumberFormat="1" applyFont="1" applyBorder="1" applyAlignment="1">
      <alignment horizontal="center" vertical="top" wrapText="1"/>
    </xf>
    <xf numFmtId="164" fontId="2" fillId="0" borderId="2" xfId="2" applyNumberFormat="1" applyFont="1" applyBorder="1" applyAlignment="1">
      <alignment horizontal="center" vertical="center" wrapText="1"/>
    </xf>
    <xf numFmtId="164" fontId="2" fillId="0" borderId="2" xfId="2" applyNumberFormat="1" applyFont="1" applyBorder="1" applyAlignment="1">
      <alignment horizontal="center" vertical="center"/>
    </xf>
    <xf numFmtId="0" fontId="18" fillId="0" borderId="2" xfId="2" applyFont="1" applyBorder="1" applyAlignment="1">
      <alignment horizontal="center"/>
    </xf>
    <xf numFmtId="0" fontId="2" fillId="0" borderId="2" xfId="2" applyFont="1" applyBorder="1" applyAlignment="1">
      <alignment vertical="center" wrapText="1"/>
    </xf>
    <xf numFmtId="164" fontId="2" fillId="0" borderId="2" xfId="3" applyNumberFormat="1" applyFont="1" applyFill="1" applyBorder="1" applyAlignment="1" applyProtection="1">
      <alignment horizontal="center" vertical="center" wrapText="1"/>
    </xf>
    <xf numFmtId="164" fontId="2" fillId="0" borderId="2" xfId="3" applyNumberFormat="1" applyFont="1" applyFill="1" applyBorder="1" applyAlignment="1" applyProtection="1">
      <alignment horizontal="center" vertical="center"/>
    </xf>
    <xf numFmtId="0" fontId="5" fillId="0" borderId="8" xfId="0" applyNumberFormat="1" applyFont="1" applyBorder="1" applyAlignment="1">
      <alignment horizontal="left" vertical="top"/>
    </xf>
    <xf numFmtId="0" fontId="5" fillId="0" borderId="10" xfId="0" applyNumberFormat="1" applyFont="1" applyBorder="1" applyAlignment="1">
      <alignment horizontal="left" vertical="top"/>
    </xf>
    <xf numFmtId="0" fontId="5" fillId="0" borderId="9" xfId="0" applyNumberFormat="1" applyFont="1" applyBorder="1" applyAlignment="1">
      <alignment horizontal="left" vertical="top"/>
    </xf>
    <xf numFmtId="0" fontId="5" fillId="0" borderId="3" xfId="0" applyNumberFormat="1" applyFont="1" applyBorder="1" applyAlignment="1">
      <alignment horizontal="left" vertical="top" wrapText="1"/>
    </xf>
    <xf numFmtId="0" fontId="5" fillId="0" borderId="7" xfId="0" applyNumberFormat="1" applyFont="1" applyBorder="1" applyAlignment="1">
      <alignment horizontal="left" vertical="top" wrapText="1"/>
    </xf>
    <xf numFmtId="0" fontId="5" fillId="0" borderId="2" xfId="0" applyNumberFormat="1" applyFont="1" applyBorder="1" applyAlignment="1">
      <alignment horizontal="left" vertical="top"/>
    </xf>
    <xf numFmtId="0" fontId="6" fillId="0" borderId="2" xfId="0" applyNumberFormat="1" applyFont="1" applyBorder="1" applyAlignment="1">
      <alignment horizontal="left" vertical="top"/>
    </xf>
    <xf numFmtId="0" fontId="5" fillId="0" borderId="2" xfId="0" applyNumberFormat="1" applyFont="1" applyBorder="1" applyAlignment="1">
      <alignment horizontal="left" vertical="top" wrapText="1"/>
    </xf>
    <xf numFmtId="0" fontId="8" fillId="3" borderId="2" xfId="0" applyNumberFormat="1" applyFont="1" applyFill="1" applyBorder="1" applyAlignment="1">
      <alignment horizontal="left" vertical="top"/>
    </xf>
    <xf numFmtId="0" fontId="5" fillId="0" borderId="0" xfId="0" applyNumberFormat="1" applyFont="1" applyAlignment="1">
      <alignment horizontal="left" vertical="top"/>
    </xf>
    <xf numFmtId="0" fontId="6" fillId="0" borderId="3" xfId="0" applyNumberFormat="1" applyFont="1" applyBorder="1" applyAlignment="1">
      <alignment horizontal="left" vertical="top"/>
    </xf>
    <xf numFmtId="0" fontId="6" fillId="0" borderId="5" xfId="0" applyNumberFormat="1" applyFont="1" applyBorder="1" applyAlignment="1">
      <alignment horizontal="left" vertical="top"/>
    </xf>
    <xf numFmtId="0" fontId="6" fillId="0" borderId="7" xfId="0" applyNumberFormat="1" applyFont="1" applyBorder="1" applyAlignment="1">
      <alignment horizontal="left" vertical="top"/>
    </xf>
    <xf numFmtId="0" fontId="9" fillId="0" borderId="3" xfId="1" applyNumberFormat="1" applyFont="1" applyBorder="1" applyAlignment="1">
      <alignment horizontal="left" vertical="top" wrapText="1"/>
    </xf>
    <xf numFmtId="0" fontId="9" fillId="0" borderId="7" xfId="1" applyNumberFormat="1" applyFont="1" applyBorder="1" applyAlignment="1">
      <alignment horizontal="left" vertical="top" wrapText="1"/>
    </xf>
    <xf numFmtId="0" fontId="5" fillId="0" borderId="4" xfId="1" applyNumberFormat="1" applyFont="1" applyBorder="1" applyAlignment="1">
      <alignment horizontal="left" vertical="top" wrapText="1"/>
    </xf>
    <xf numFmtId="0" fontId="5" fillId="0" borderId="6" xfId="1" applyNumberFormat="1" applyFont="1" applyBorder="1" applyAlignment="1">
      <alignment horizontal="left" vertical="top" wrapText="1"/>
    </xf>
    <xf numFmtId="0" fontId="6" fillId="0" borderId="2" xfId="0" applyNumberFormat="1" applyFont="1" applyBorder="1" applyAlignment="1">
      <alignment horizontal="center" vertical="top"/>
    </xf>
    <xf numFmtId="0" fontId="5" fillId="0" borderId="7" xfId="0" applyNumberFormat="1" applyFont="1" applyBorder="1" applyAlignment="1">
      <alignment horizontal="left" vertical="top"/>
    </xf>
    <xf numFmtId="0" fontId="6" fillId="0" borderId="0" xfId="0" applyNumberFormat="1" applyFont="1" applyAlignment="1">
      <alignment horizontal="center" vertical="top"/>
    </xf>
    <xf numFmtId="0" fontId="5" fillId="0" borderId="0" xfId="0" applyNumberFormat="1" applyFont="1" applyAlignment="1">
      <alignment horizontal="center" vertical="top"/>
    </xf>
    <xf numFmtId="0" fontId="5" fillId="0" borderId="1" xfId="0" applyNumberFormat="1" applyFont="1" applyBorder="1" applyAlignment="1">
      <alignment horizontal="left" vertical="top"/>
    </xf>
    <xf numFmtId="0" fontId="2" fillId="0" borderId="12" xfId="0" applyFont="1" applyFill="1" applyBorder="1" applyAlignment="1">
      <alignment horizontal="center" vertical="center"/>
    </xf>
    <xf numFmtId="0" fontId="2" fillId="0" borderId="13" xfId="0" applyFont="1" applyFill="1" applyBorder="1" applyAlignment="1">
      <alignment horizontal="center" vertical="center"/>
    </xf>
    <xf numFmtId="0" fontId="2" fillId="0" borderId="14" xfId="0" applyFont="1" applyFill="1" applyBorder="1" applyAlignment="1">
      <alignment horizontal="center" vertical="center"/>
    </xf>
    <xf numFmtId="0" fontId="2" fillId="0" borderId="12" xfId="0" applyFont="1" applyFill="1" applyBorder="1" applyAlignment="1">
      <alignment horizontal="center"/>
    </xf>
    <xf numFmtId="0" fontId="2" fillId="0" borderId="13" xfId="0" applyFont="1" applyFill="1" applyBorder="1" applyAlignment="1">
      <alignment horizontal="center"/>
    </xf>
    <xf numFmtId="0" fontId="2" fillId="0" borderId="14" xfId="0" applyFont="1" applyFill="1" applyBorder="1" applyAlignment="1">
      <alignment horizontal="center"/>
    </xf>
  </cellXfs>
  <cellStyles count="4">
    <cellStyle name="Comma" xfId="1" builtinId="3"/>
    <cellStyle name="Comma 2" xfId="3"/>
    <cellStyle name="Normal" xfId="0" builtinId="0"/>
    <cellStyle name="Normal 2" xfId="2"/>
  </cellStyles>
  <dxfs count="48">
    <dxf>
      <font>
        <color indexed="20"/>
      </font>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1</xdr:col>
      <xdr:colOff>76199</xdr:colOff>
      <xdr:row>0</xdr:row>
      <xdr:rowOff>57150</xdr:rowOff>
    </xdr:from>
    <xdr:to>
      <xdr:col>1</xdr:col>
      <xdr:colOff>638174</xdr:colOff>
      <xdr:row>0</xdr:row>
      <xdr:rowOff>762000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1974" y="57150"/>
          <a:ext cx="56197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447675</xdr:colOff>
      <xdr:row>0</xdr:row>
      <xdr:rowOff>0</xdr:rowOff>
    </xdr:from>
    <xdr:to>
      <xdr:col>9</xdr:col>
      <xdr:colOff>285750</xdr:colOff>
      <xdr:row>3</xdr:row>
      <xdr:rowOff>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76750" y="0"/>
          <a:ext cx="447675"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0</xdr:colOff>
      <xdr:row>0</xdr:row>
      <xdr:rowOff>0</xdr:rowOff>
    </xdr:from>
    <xdr:to>
      <xdr:col>13</xdr:col>
      <xdr:colOff>504825</xdr:colOff>
      <xdr:row>3</xdr:row>
      <xdr:rowOff>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34175" y="0"/>
          <a:ext cx="504825"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76199</xdr:colOff>
      <xdr:row>0</xdr:row>
      <xdr:rowOff>57150</xdr:rowOff>
    </xdr:from>
    <xdr:to>
      <xdr:col>1</xdr:col>
      <xdr:colOff>638174</xdr:colOff>
      <xdr:row>0</xdr:row>
      <xdr:rowOff>790575</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5799" y="57150"/>
          <a:ext cx="561975"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76199</xdr:colOff>
      <xdr:row>0</xdr:row>
      <xdr:rowOff>57150</xdr:rowOff>
    </xdr:from>
    <xdr:to>
      <xdr:col>1</xdr:col>
      <xdr:colOff>638174</xdr:colOff>
      <xdr:row>0</xdr:row>
      <xdr:rowOff>685800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5799" y="57150"/>
          <a:ext cx="561975"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2"/>
  <sheetViews>
    <sheetView tabSelected="1" topLeftCell="A39" workbookViewId="0">
      <selection activeCell="E18" sqref="E18"/>
    </sheetView>
  </sheetViews>
  <sheetFormatPr defaultRowHeight="17.25" x14ac:dyDescent="0.35"/>
  <cols>
    <col min="1" max="1" width="7.28515625" style="1" customWidth="1"/>
    <col min="2" max="2" width="60.7109375" style="2" customWidth="1"/>
    <col min="3" max="3" width="2.42578125" style="1" customWidth="1"/>
    <col min="4" max="4" width="26.140625" style="3" customWidth="1"/>
    <col min="5" max="5" width="16.140625" style="2" customWidth="1"/>
    <col min="6" max="14" width="9" style="2" bestFit="1" customWidth="1"/>
    <col min="15" max="16384" width="9.140625" style="4"/>
  </cols>
  <sheetData>
    <row r="1" spans="1:14" ht="77.25" customHeight="1" x14ac:dyDescent="0.5">
      <c r="A1" s="467" t="s">
        <v>1641</v>
      </c>
      <c r="B1" s="467"/>
      <c r="C1" s="467"/>
      <c r="D1" s="467"/>
    </row>
    <row r="2" spans="1:14" ht="9.75" customHeight="1" x14ac:dyDescent="0.35">
      <c r="A2" s="8"/>
      <c r="B2" s="9"/>
      <c r="C2" s="453"/>
      <c r="D2" s="10"/>
    </row>
    <row r="3" spans="1:14" ht="20.25" customHeight="1" x14ac:dyDescent="0.35">
      <c r="A3" s="471" t="s">
        <v>1630</v>
      </c>
      <c r="B3" s="471"/>
      <c r="C3" s="471"/>
      <c r="D3" s="471"/>
    </row>
    <row r="4" spans="1:14" ht="9.75" customHeight="1" x14ac:dyDescent="0.35">
      <c r="A4" s="8"/>
      <c r="B4" s="11"/>
      <c r="C4" s="453"/>
      <c r="D4" s="10"/>
    </row>
    <row r="5" spans="1:14" ht="19.5" x14ac:dyDescent="0.35">
      <c r="A5" s="422"/>
      <c r="B5" s="423" t="s">
        <v>1600</v>
      </c>
      <c r="C5" s="422"/>
      <c r="D5" s="424">
        <v>218</v>
      </c>
      <c r="F5" s="2" t="s">
        <v>1618</v>
      </c>
      <c r="G5" s="2" t="s">
        <v>1613</v>
      </c>
      <c r="H5" s="2" t="s">
        <v>1614</v>
      </c>
      <c r="I5" s="2" t="s">
        <v>1615</v>
      </c>
      <c r="J5" s="2" t="s">
        <v>1616</v>
      </c>
      <c r="K5" s="2" t="s">
        <v>1617</v>
      </c>
      <c r="L5" s="2" t="s">
        <v>1619</v>
      </c>
      <c r="M5" s="2" t="s">
        <v>1620</v>
      </c>
      <c r="N5" s="2" t="s">
        <v>1621</v>
      </c>
    </row>
    <row r="6" spans="1:14" x14ac:dyDescent="0.35">
      <c r="A6" s="422">
        <v>1</v>
      </c>
      <c r="B6" s="423" t="s">
        <v>2</v>
      </c>
      <c r="C6" s="422" t="s">
        <v>1</v>
      </c>
      <c r="D6" s="430" t="str">
        <f>VLOOKUP(D5,Inforation!A2:G412,2,FALSE)</f>
        <v>‡gvt mvnv`vZ †nv‡mb</v>
      </c>
      <c r="F6" s="448">
        <v>156000</v>
      </c>
      <c r="G6" s="448">
        <v>132000</v>
      </c>
      <c r="H6" s="448">
        <v>113000</v>
      </c>
      <c r="I6" s="448">
        <v>100000</v>
      </c>
      <c r="J6" s="448">
        <v>86000</v>
      </c>
      <c r="K6" s="448">
        <v>71000</v>
      </c>
      <c r="L6" s="448">
        <v>58000</v>
      </c>
      <c r="M6" s="448">
        <v>46000</v>
      </c>
      <c r="N6" s="448">
        <v>44000</v>
      </c>
    </row>
    <row r="7" spans="1:14" x14ac:dyDescent="0.35">
      <c r="A7" s="422">
        <v>2</v>
      </c>
      <c r="B7" s="423" t="s">
        <v>4</v>
      </c>
      <c r="C7" s="422" t="s">
        <v>1</v>
      </c>
      <c r="D7" s="430" t="str">
        <f>VLOOKUP(D6,Inforation!B2:G412,2,FALSE)</f>
        <v>†mKkb Awdmvi</v>
      </c>
      <c r="F7" s="448"/>
      <c r="G7" s="448">
        <v>135700</v>
      </c>
      <c r="H7" s="448">
        <v>117000</v>
      </c>
      <c r="I7" s="448">
        <v>103500</v>
      </c>
      <c r="J7" s="448">
        <v>89500</v>
      </c>
      <c r="K7" s="448">
        <v>74600</v>
      </c>
      <c r="L7" s="448">
        <v>60900</v>
      </c>
      <c r="M7" s="448">
        <v>48300</v>
      </c>
      <c r="N7" s="448">
        <v>46200</v>
      </c>
    </row>
    <row r="8" spans="1:14" x14ac:dyDescent="0.35">
      <c r="A8" s="422">
        <v>3</v>
      </c>
      <c r="B8" s="423" t="s">
        <v>1649</v>
      </c>
      <c r="C8" s="422" t="s">
        <v>1</v>
      </c>
      <c r="D8" s="439"/>
      <c r="F8" s="448"/>
      <c r="G8" s="448">
        <v>139400</v>
      </c>
      <c r="H8" s="448">
        <v>121100</v>
      </c>
      <c r="I8" s="448">
        <v>107200</v>
      </c>
      <c r="J8" s="448">
        <v>93100</v>
      </c>
      <c r="K8" s="448">
        <v>78300</v>
      </c>
      <c r="L8" s="448">
        <v>64000</v>
      </c>
      <c r="M8" s="448">
        <v>50800</v>
      </c>
      <c r="N8" s="448">
        <v>48600</v>
      </c>
    </row>
    <row r="9" spans="1:14" x14ac:dyDescent="0.35">
      <c r="A9" s="422">
        <v>4</v>
      </c>
      <c r="B9" s="423" t="s">
        <v>5</v>
      </c>
      <c r="C9" s="422" t="s">
        <v>1</v>
      </c>
      <c r="D9" s="430" t="str">
        <f>VLOOKUP(D6,Inforation!B2:G412,3,FALSE)</f>
        <v>A_© I wnmve</v>
      </c>
      <c r="F9" s="448"/>
      <c r="G9" s="448">
        <v>147200</v>
      </c>
      <c r="H9" s="448">
        <v>129700</v>
      </c>
      <c r="I9" s="448">
        <v>110900</v>
      </c>
      <c r="J9" s="448">
        <v>96800</v>
      </c>
      <c r="K9" s="448">
        <v>82200</v>
      </c>
      <c r="L9" s="448">
        <v>67200</v>
      </c>
      <c r="M9" s="448">
        <v>53300</v>
      </c>
      <c r="N9" s="448">
        <v>51000</v>
      </c>
    </row>
    <row r="10" spans="1:14" x14ac:dyDescent="0.35">
      <c r="A10" s="422">
        <v>5</v>
      </c>
      <c r="B10" s="423" t="s">
        <v>1611</v>
      </c>
      <c r="C10" s="422" t="s">
        <v>1</v>
      </c>
      <c r="D10" s="425">
        <f>VLOOKUP(D6,Inforation!B2:G413,4,FALSE)</f>
        <v>0</v>
      </c>
      <c r="F10" s="448"/>
      <c r="G10" s="448">
        <v>151200</v>
      </c>
      <c r="H10" s="448">
        <v>134300</v>
      </c>
      <c r="I10" s="448">
        <v>114800</v>
      </c>
      <c r="J10" s="448">
        <v>100700</v>
      </c>
      <c r="K10" s="448">
        <v>86400</v>
      </c>
      <c r="L10" s="448">
        <v>70500</v>
      </c>
      <c r="M10" s="448">
        <v>56000</v>
      </c>
      <c r="N10" s="448">
        <v>53500</v>
      </c>
    </row>
    <row r="11" spans="1:14" x14ac:dyDescent="0.35">
      <c r="A11" s="422">
        <v>6</v>
      </c>
      <c r="B11" s="423" t="s">
        <v>1612</v>
      </c>
      <c r="C11" s="422" t="s">
        <v>1</v>
      </c>
      <c r="D11" s="430" t="str">
        <f>VLOOKUP(D6,Inforation!B2:G414,5,FALSE)</f>
        <v>0124100063454</v>
      </c>
      <c r="F11" s="448"/>
      <c r="G11" s="448">
        <v>153000</v>
      </c>
      <c r="H11" s="448">
        <v>139000</v>
      </c>
      <c r="I11" s="448">
        <v>118800</v>
      </c>
      <c r="J11" s="448">
        <v>104700</v>
      </c>
      <c r="K11" s="448">
        <v>90700</v>
      </c>
      <c r="L11" s="448">
        <v>74100</v>
      </c>
      <c r="M11" s="448">
        <v>58800</v>
      </c>
      <c r="N11" s="448">
        <v>56200</v>
      </c>
    </row>
    <row r="12" spans="1:14" x14ac:dyDescent="0.35">
      <c r="A12" s="428">
        <v>8</v>
      </c>
      <c r="B12" s="423" t="s">
        <v>1656</v>
      </c>
      <c r="C12" s="422" t="s">
        <v>1</v>
      </c>
      <c r="D12" s="425">
        <f>VLOOKUP('Fixation '!D6,Inforation!B2:G413,6,FALSE)</f>
        <v>28100</v>
      </c>
      <c r="F12" s="448"/>
      <c r="G12" s="448"/>
      <c r="H12" s="448">
        <v>143800</v>
      </c>
      <c r="I12" s="448">
        <v>123000</v>
      </c>
      <c r="J12" s="448">
        <v>108900</v>
      </c>
      <c r="K12" s="448">
        <v>95200</v>
      </c>
      <c r="L12" s="448">
        <v>77800</v>
      </c>
      <c r="M12" s="448">
        <v>61700</v>
      </c>
      <c r="N12" s="448">
        <v>59000</v>
      </c>
    </row>
    <row r="13" spans="1:14" x14ac:dyDescent="0.35">
      <c r="A13" s="468">
        <v>9</v>
      </c>
      <c r="B13" s="427" t="s">
        <v>1651</v>
      </c>
      <c r="C13" s="422" t="s">
        <v>1</v>
      </c>
      <c r="D13" s="425"/>
      <c r="F13" s="448"/>
      <c r="G13" s="448"/>
      <c r="H13" s="448">
        <v>148800</v>
      </c>
      <c r="I13" s="448">
        <v>127300</v>
      </c>
      <c r="J13" s="448">
        <v>113200</v>
      </c>
      <c r="K13" s="448">
        <v>100000</v>
      </c>
      <c r="L13" s="448">
        <v>81700</v>
      </c>
      <c r="M13" s="448">
        <v>64800</v>
      </c>
      <c r="N13" s="448">
        <v>62000</v>
      </c>
    </row>
    <row r="14" spans="1:14" x14ac:dyDescent="0.35">
      <c r="A14" s="468"/>
      <c r="B14" s="427" t="s">
        <v>1674</v>
      </c>
      <c r="C14" s="422" t="s">
        <v>1</v>
      </c>
      <c r="D14" s="430" t="s">
        <v>1691</v>
      </c>
      <c r="E14" s="2" t="s">
        <v>1694</v>
      </c>
      <c r="F14" s="448"/>
      <c r="G14" s="448"/>
      <c r="H14" s="448"/>
      <c r="I14" s="448">
        <v>131700</v>
      </c>
      <c r="J14" s="448">
        <v>117700</v>
      </c>
      <c r="K14" s="448">
        <v>104900</v>
      </c>
      <c r="L14" s="448">
        <v>85700</v>
      </c>
      <c r="M14" s="448">
        <v>68000</v>
      </c>
      <c r="N14" s="448">
        <v>65100</v>
      </c>
    </row>
    <row r="15" spans="1:14" ht="19.5" customHeight="1" x14ac:dyDescent="0.35">
      <c r="A15" s="468"/>
      <c r="B15" s="427" t="s">
        <v>1675</v>
      </c>
      <c r="C15" s="422" t="s">
        <v>1</v>
      </c>
      <c r="D15" s="426">
        <v>22000</v>
      </c>
      <c r="E15" s="2" t="s">
        <v>1634</v>
      </c>
      <c r="F15" s="448"/>
      <c r="G15" s="448"/>
      <c r="H15" s="448"/>
      <c r="I15" s="448">
        <v>136300</v>
      </c>
      <c r="J15" s="448">
        <v>122500</v>
      </c>
      <c r="K15" s="448">
        <v>110200</v>
      </c>
      <c r="L15" s="448">
        <v>90000</v>
      </c>
      <c r="M15" s="448">
        <v>71400</v>
      </c>
      <c r="N15" s="448">
        <v>68300</v>
      </c>
    </row>
    <row r="16" spans="1:14" x14ac:dyDescent="0.35">
      <c r="A16" s="422">
        <v>10</v>
      </c>
      <c r="B16" s="423" t="s">
        <v>1655</v>
      </c>
      <c r="C16" s="422" t="s">
        <v>1</v>
      </c>
      <c r="D16" s="425">
        <f>D12-D15</f>
        <v>6100</v>
      </c>
      <c r="F16" s="448"/>
      <c r="G16" s="448"/>
      <c r="H16" s="448"/>
      <c r="I16" s="448">
        <v>142400</v>
      </c>
      <c r="J16" s="448">
        <v>127400</v>
      </c>
      <c r="K16" s="448">
        <v>115700</v>
      </c>
      <c r="L16" s="448">
        <v>94500</v>
      </c>
      <c r="M16" s="448">
        <v>75000</v>
      </c>
      <c r="N16" s="448">
        <v>71700</v>
      </c>
    </row>
    <row r="17" spans="1:14" x14ac:dyDescent="0.35">
      <c r="A17" s="468">
        <v>11</v>
      </c>
      <c r="B17" s="427" t="s">
        <v>1682</v>
      </c>
      <c r="C17" s="422" t="s">
        <v>1</v>
      </c>
      <c r="D17" s="425"/>
      <c r="F17" s="448"/>
      <c r="G17" s="448"/>
      <c r="H17" s="448"/>
      <c r="I17" s="448"/>
      <c r="J17" s="448">
        <v>132400</v>
      </c>
      <c r="K17" s="448">
        <v>121500</v>
      </c>
      <c r="L17" s="448">
        <v>99200</v>
      </c>
      <c r="M17" s="448">
        <v>78700</v>
      </c>
      <c r="N17" s="448">
        <v>75300</v>
      </c>
    </row>
    <row r="18" spans="1:14" x14ac:dyDescent="0.35">
      <c r="A18" s="468"/>
      <c r="B18" s="427" t="s">
        <v>1672</v>
      </c>
      <c r="C18" s="422" t="s">
        <v>1</v>
      </c>
      <c r="D18" s="430" t="s">
        <v>1691</v>
      </c>
      <c r="E18" s="2" t="s">
        <v>1695</v>
      </c>
      <c r="F18" s="448"/>
      <c r="G18" s="448"/>
      <c r="H18" s="448"/>
      <c r="I18" s="448"/>
      <c r="J18" s="448">
        <v>139700</v>
      </c>
      <c r="K18" s="448">
        <v>127600</v>
      </c>
      <c r="L18" s="448">
        <v>104200</v>
      </c>
      <c r="M18" s="448">
        <v>82700</v>
      </c>
      <c r="N18" s="448">
        <v>79100</v>
      </c>
    </row>
    <row r="19" spans="1:14" x14ac:dyDescent="0.35">
      <c r="A19" s="468"/>
      <c r="B19" s="427" t="s">
        <v>1608</v>
      </c>
      <c r="C19" s="422" t="s">
        <v>1</v>
      </c>
      <c r="D19" s="426">
        <v>44000</v>
      </c>
      <c r="E19" s="2" t="s">
        <v>1634</v>
      </c>
      <c r="F19" s="448"/>
      <c r="G19" s="448"/>
      <c r="H19" s="448"/>
      <c r="I19" s="448"/>
      <c r="J19" s="448"/>
      <c r="K19" s="448">
        <v>134000</v>
      </c>
      <c r="L19" s="448">
        <v>109400</v>
      </c>
      <c r="M19" s="448">
        <v>86800</v>
      </c>
      <c r="N19" s="448">
        <v>83000</v>
      </c>
    </row>
    <row r="20" spans="1:14" ht="18.75" customHeight="1" x14ac:dyDescent="0.35">
      <c r="A20" s="422">
        <v>12</v>
      </c>
      <c r="B20" s="427" t="s">
        <v>1610</v>
      </c>
      <c r="C20" s="422" t="s">
        <v>1</v>
      </c>
      <c r="D20" s="425">
        <f>D16+D19</f>
        <v>50100</v>
      </c>
      <c r="F20" s="448"/>
      <c r="G20" s="448"/>
      <c r="H20" s="448"/>
      <c r="I20" s="448"/>
      <c r="J20" s="448"/>
      <c r="K20" s="448"/>
      <c r="L20" s="448">
        <v>114900</v>
      </c>
      <c r="M20" s="448">
        <v>91100</v>
      </c>
      <c r="N20" s="448">
        <v>87200</v>
      </c>
    </row>
    <row r="21" spans="1:14" x14ac:dyDescent="0.35">
      <c r="A21" s="422">
        <v>13</v>
      </c>
      <c r="B21" s="427" t="s">
        <v>1683</v>
      </c>
      <c r="C21" s="422" t="s">
        <v>1</v>
      </c>
      <c r="D21" s="433">
        <v>51000</v>
      </c>
      <c r="E21" s="2" t="s">
        <v>1634</v>
      </c>
      <c r="F21" s="448"/>
      <c r="G21" s="448"/>
      <c r="H21" s="448"/>
      <c r="I21" s="448"/>
      <c r="J21" s="448"/>
      <c r="K21" s="448"/>
      <c r="L21" s="448">
        <v>120600</v>
      </c>
      <c r="M21" s="448">
        <v>95700</v>
      </c>
      <c r="N21" s="448">
        <v>91500</v>
      </c>
    </row>
    <row r="22" spans="1:14" ht="34.5" x14ac:dyDescent="0.35">
      <c r="A22" s="428">
        <v>14</v>
      </c>
      <c r="B22" s="427" t="s">
        <v>1684</v>
      </c>
      <c r="C22" s="422" t="s">
        <v>1</v>
      </c>
      <c r="D22" s="426">
        <v>53500</v>
      </c>
      <c r="E22" s="2" t="s">
        <v>1634</v>
      </c>
      <c r="L22" s="2">
        <v>126800</v>
      </c>
      <c r="M22" s="448">
        <v>100500</v>
      </c>
      <c r="N22" s="448">
        <v>96100</v>
      </c>
    </row>
    <row r="23" spans="1:14" x14ac:dyDescent="0.35">
      <c r="A23" s="431">
        <v>15</v>
      </c>
      <c r="B23" s="427" t="s">
        <v>1643</v>
      </c>
      <c r="C23" s="422" t="s">
        <v>1</v>
      </c>
      <c r="D23" s="425">
        <f>D21-D12</f>
        <v>22900</v>
      </c>
      <c r="M23" s="448">
        <v>105500</v>
      </c>
      <c r="N23" s="448">
        <v>100900</v>
      </c>
    </row>
    <row r="24" spans="1:14" x14ac:dyDescent="0.35">
      <c r="A24" s="468">
        <v>16</v>
      </c>
      <c r="B24" s="423" t="s">
        <v>1676</v>
      </c>
      <c r="C24" s="422" t="s">
        <v>1</v>
      </c>
      <c r="D24" s="425"/>
      <c r="M24" s="448">
        <v>110800</v>
      </c>
      <c r="N24" s="448">
        <v>105900</v>
      </c>
    </row>
    <row r="25" spans="1:14" x14ac:dyDescent="0.35">
      <c r="A25" s="468"/>
      <c r="B25" s="423" t="s">
        <v>1605</v>
      </c>
      <c r="C25" s="422" t="s">
        <v>1</v>
      </c>
      <c r="D25" s="425">
        <f>D23*40%</f>
        <v>9160</v>
      </c>
    </row>
    <row r="26" spans="1:14" x14ac:dyDescent="0.35">
      <c r="A26" s="468"/>
      <c r="B26" s="423" t="s">
        <v>1606</v>
      </c>
      <c r="C26" s="422" t="s">
        <v>1</v>
      </c>
      <c r="D26" s="425"/>
    </row>
    <row r="27" spans="1:14" x14ac:dyDescent="0.35">
      <c r="A27" s="468">
        <v>17</v>
      </c>
      <c r="B27" s="423" t="s">
        <v>1673</v>
      </c>
      <c r="C27" s="422" t="s">
        <v>1</v>
      </c>
      <c r="D27" s="425"/>
    </row>
    <row r="28" spans="1:14" x14ac:dyDescent="0.35">
      <c r="A28" s="468"/>
      <c r="B28" s="423" t="s">
        <v>1660</v>
      </c>
      <c r="C28" s="422" t="s">
        <v>1</v>
      </c>
      <c r="D28" s="425">
        <f>D23*70%</f>
        <v>16029.999999999998</v>
      </c>
    </row>
    <row r="29" spans="1:14" x14ac:dyDescent="0.35">
      <c r="A29" s="468"/>
      <c r="B29" s="423" t="s">
        <v>1661</v>
      </c>
      <c r="C29" s="422" t="s">
        <v>1</v>
      </c>
      <c r="D29" s="425"/>
    </row>
    <row r="30" spans="1:14" x14ac:dyDescent="0.35">
      <c r="A30" s="436">
        <v>18</v>
      </c>
      <c r="B30" s="437" t="s">
        <v>1685</v>
      </c>
      <c r="C30" s="422" t="s">
        <v>1</v>
      </c>
      <c r="D30" s="438">
        <f>D12+D25</f>
        <v>37260</v>
      </c>
    </row>
    <row r="31" spans="1:14" ht="18" customHeight="1" x14ac:dyDescent="0.35">
      <c r="A31" s="436">
        <v>19</v>
      </c>
      <c r="B31" s="449" t="s">
        <v>1686</v>
      </c>
      <c r="C31" s="422" t="s">
        <v>1</v>
      </c>
      <c r="D31" s="438">
        <f>D22-D21</f>
        <v>2500</v>
      </c>
      <c r="G31" s="2">
        <f>53500-51000</f>
        <v>2500</v>
      </c>
    </row>
    <row r="32" spans="1:14" x14ac:dyDescent="0.35">
      <c r="A32" s="422">
        <v>20</v>
      </c>
      <c r="B32" s="434" t="s">
        <v>1689</v>
      </c>
      <c r="C32" s="422" t="s">
        <v>1</v>
      </c>
      <c r="D32" s="435">
        <f>D12+D25+D31</f>
        <v>39760</v>
      </c>
    </row>
    <row r="33" spans="1:5" x14ac:dyDescent="0.35">
      <c r="A33" s="422">
        <v>21</v>
      </c>
      <c r="B33" s="434" t="s">
        <v>1687</v>
      </c>
      <c r="C33" s="422" t="s">
        <v>1</v>
      </c>
      <c r="D33" s="435">
        <f>D12+D28+D31</f>
        <v>46630</v>
      </c>
    </row>
    <row r="34" spans="1:5" x14ac:dyDescent="0.35">
      <c r="A34" s="422">
        <v>22</v>
      </c>
      <c r="B34" s="423" t="s">
        <v>1688</v>
      </c>
      <c r="C34" s="422" t="s">
        <v>1</v>
      </c>
      <c r="D34" s="439">
        <f>D22</f>
        <v>53500</v>
      </c>
    </row>
    <row r="35" spans="1:5" ht="19.5" customHeight="1" x14ac:dyDescent="0.35">
      <c r="A35" s="428">
        <v>23</v>
      </c>
      <c r="B35" s="427" t="s">
        <v>1690</v>
      </c>
      <c r="C35" s="422" t="s">
        <v>1</v>
      </c>
      <c r="D35" s="425">
        <v>56200</v>
      </c>
      <c r="E35" s="2" t="s">
        <v>1634</v>
      </c>
    </row>
    <row r="36" spans="1:5" ht="19.5" customHeight="1" x14ac:dyDescent="0.35">
      <c r="A36" s="422">
        <v>24</v>
      </c>
      <c r="B36" s="423" t="s">
        <v>7</v>
      </c>
      <c r="C36" s="422" t="s">
        <v>1</v>
      </c>
      <c r="D36" s="432">
        <v>46759</v>
      </c>
    </row>
    <row r="37" spans="1:5" x14ac:dyDescent="0.35">
      <c r="A37" s="440"/>
      <c r="B37" s="441"/>
      <c r="C37" s="455"/>
      <c r="D37" s="442"/>
    </row>
    <row r="38" spans="1:5" x14ac:dyDescent="0.35">
      <c r="A38" s="440"/>
      <c r="B38" s="441"/>
      <c r="C38" s="455"/>
      <c r="D38" s="442"/>
    </row>
    <row r="39" spans="1:5" x14ac:dyDescent="0.35">
      <c r="A39" s="440"/>
      <c r="B39" s="441"/>
      <c r="C39" s="455"/>
      <c r="D39" s="443" t="s">
        <v>1635</v>
      </c>
    </row>
    <row r="40" spans="1:5" x14ac:dyDescent="0.35">
      <c r="A40" s="440"/>
      <c r="B40" s="441"/>
      <c r="C40" s="472" t="s">
        <v>1636</v>
      </c>
      <c r="D40" s="472"/>
    </row>
    <row r="41" spans="1:5" x14ac:dyDescent="0.35">
      <c r="A41" s="440"/>
      <c r="B41" s="441"/>
      <c r="C41" s="455"/>
      <c r="D41" s="442"/>
    </row>
    <row r="42" spans="1:5" x14ac:dyDescent="0.35">
      <c r="A42" s="473"/>
      <c r="B42" s="473"/>
      <c r="C42" s="455"/>
      <c r="D42" s="442"/>
    </row>
    <row r="43" spans="1:5" x14ac:dyDescent="0.35">
      <c r="A43" s="469" t="s">
        <v>1638</v>
      </c>
      <c r="B43" s="469"/>
      <c r="C43" s="453"/>
      <c r="D43" s="444" t="s">
        <v>1637</v>
      </c>
    </row>
    <row r="44" spans="1:5" ht="11.25" customHeight="1" x14ac:dyDescent="0.35">
      <c r="A44" s="8"/>
      <c r="B44" s="9"/>
      <c r="C44" s="453"/>
      <c r="D44" s="10"/>
    </row>
    <row r="45" spans="1:5" ht="21.75" x14ac:dyDescent="0.4">
      <c r="A45" s="8"/>
      <c r="B45" s="429" t="s">
        <v>1622</v>
      </c>
      <c r="C45" s="453"/>
      <c r="D45" s="10"/>
    </row>
    <row r="46" spans="1:5" x14ac:dyDescent="0.35">
      <c r="A46" s="470" t="s">
        <v>1623</v>
      </c>
      <c r="B46" s="470"/>
      <c r="C46" s="470"/>
      <c r="D46" s="470"/>
    </row>
    <row r="47" spans="1:5" x14ac:dyDescent="0.35">
      <c r="A47" s="468">
        <v>1</v>
      </c>
      <c r="B47" s="423" t="s">
        <v>1624</v>
      </c>
      <c r="C47" s="422" t="s">
        <v>1</v>
      </c>
      <c r="D47" s="425"/>
    </row>
    <row r="48" spans="1:5" x14ac:dyDescent="0.35">
      <c r="A48" s="468"/>
      <c r="B48" s="423" t="s">
        <v>1625</v>
      </c>
      <c r="C48" s="422" t="s">
        <v>1</v>
      </c>
      <c r="D48" s="425"/>
    </row>
    <row r="49" spans="1:4" x14ac:dyDescent="0.35">
      <c r="A49" s="422">
        <v>2</v>
      </c>
      <c r="B49" s="423" t="s">
        <v>1626</v>
      </c>
      <c r="C49" s="422" t="s">
        <v>1</v>
      </c>
      <c r="D49" s="425"/>
    </row>
    <row r="50" spans="1:4" x14ac:dyDescent="0.35">
      <c r="A50" s="468">
        <v>3</v>
      </c>
      <c r="B50" s="423" t="s">
        <v>1627</v>
      </c>
      <c r="C50" s="422" t="s">
        <v>1</v>
      </c>
      <c r="D50" s="425"/>
    </row>
    <row r="51" spans="1:4" x14ac:dyDescent="0.35">
      <c r="A51" s="468"/>
      <c r="B51" s="423" t="s">
        <v>1628</v>
      </c>
      <c r="C51" s="422" t="s">
        <v>1</v>
      </c>
      <c r="D51" s="425"/>
    </row>
    <row r="52" spans="1:4" x14ac:dyDescent="0.35">
      <c r="A52" s="422">
        <v>4</v>
      </c>
      <c r="B52" s="423" t="s">
        <v>1629</v>
      </c>
      <c r="C52" s="422" t="s">
        <v>1</v>
      </c>
      <c r="D52" s="425"/>
    </row>
    <row r="53" spans="1:4" ht="19.5" x14ac:dyDescent="0.35">
      <c r="A53" s="12"/>
      <c r="B53" s="13"/>
      <c r="C53" s="12"/>
      <c r="D53" s="14"/>
    </row>
    <row r="54" spans="1:4" ht="19.5" x14ac:dyDescent="0.35">
      <c r="A54" s="12"/>
      <c r="B54" s="13"/>
      <c r="C54" s="12"/>
      <c r="D54" s="14"/>
    </row>
    <row r="55" spans="1:4" x14ac:dyDescent="0.35">
      <c r="A55" s="469" t="s">
        <v>1692</v>
      </c>
      <c r="B55" s="469"/>
      <c r="C55" s="453"/>
      <c r="D55" s="444" t="s">
        <v>1693</v>
      </c>
    </row>
    <row r="56" spans="1:4" ht="19.5" x14ac:dyDescent="0.35">
      <c r="A56" s="12"/>
      <c r="B56" s="13"/>
      <c r="C56" s="12"/>
      <c r="D56" s="14"/>
    </row>
    <row r="57" spans="1:4" ht="19.5" x14ac:dyDescent="0.35">
      <c r="A57" s="5"/>
      <c r="B57" s="6"/>
      <c r="C57" s="5"/>
      <c r="D57" s="7"/>
    </row>
    <row r="58" spans="1:4" ht="19.5" x14ac:dyDescent="0.35">
      <c r="A58" s="5"/>
      <c r="B58" s="6"/>
      <c r="C58" s="5"/>
      <c r="D58" s="7"/>
    </row>
    <row r="59" spans="1:4" ht="19.5" x14ac:dyDescent="0.35">
      <c r="A59" s="5"/>
      <c r="B59" s="6"/>
      <c r="C59" s="5"/>
      <c r="D59" s="7"/>
    </row>
    <row r="60" spans="1:4" ht="19.5" x14ac:dyDescent="0.35">
      <c r="A60" s="5"/>
      <c r="B60" s="6"/>
      <c r="C60" s="5"/>
      <c r="D60" s="7"/>
    </row>
    <row r="61" spans="1:4" ht="19.5" x14ac:dyDescent="0.35">
      <c r="A61" s="5"/>
      <c r="B61" s="6"/>
      <c r="C61" s="5"/>
      <c r="D61" s="7"/>
    </row>
    <row r="62" spans="1:4" ht="19.5" x14ac:dyDescent="0.35">
      <c r="A62" s="5"/>
      <c r="B62" s="6"/>
      <c r="C62" s="5"/>
      <c r="D62" s="7"/>
    </row>
  </sheetData>
  <mergeCells count="13">
    <mergeCell ref="A55:B55"/>
    <mergeCell ref="A47:A48"/>
    <mergeCell ref="A50:A51"/>
    <mergeCell ref="A46:D46"/>
    <mergeCell ref="A3:D3"/>
    <mergeCell ref="C40:D40"/>
    <mergeCell ref="A43:B43"/>
    <mergeCell ref="A42:B42"/>
    <mergeCell ref="A1:D1"/>
    <mergeCell ref="A13:A15"/>
    <mergeCell ref="A17:A19"/>
    <mergeCell ref="A24:A26"/>
    <mergeCell ref="A27:A29"/>
  </mergeCells>
  <dataValidations count="1">
    <dataValidation type="list" allowBlank="1" showInputMessage="1" showErrorMessage="1" sqref="D14 D18">
      <formula1>"গ্রেড - ১ , গ্রেড - ২ , গ্রেড -৩ , গ্রেড - ৪ , গ্রেড - ৫ , গ্রেড - ৬ , গ্রেড - ৭ , গ্রেড - ৮ , গ্রেড - ৯ , গ্রেড - ১০ , গ্রেড - ১১ , গ্রেড - ১২ , গ্রেড - ১৩ , গ্রেড - ১৪ , গ্রেড - ১৫ , গ্রেড - ১৬ , গ্রেড - ১৭ , গ্রেড - ১৮ ,  গ্রেড - ১৯ , গ্রেড - ২০  "</formula1>
    </dataValidation>
  </dataValidations>
  <pageMargins left="0.45" right="0.45" top="0.5" bottom="0.25" header="0.05" footer="0.05"/>
  <pageSetup paperSize="5"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Inforation!$A:$A</xm:f>
          </x14:formula1>
          <xm:sqref>D5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11"/>
  <sheetViews>
    <sheetView workbookViewId="0">
      <pane ySplit="1" topLeftCell="A176" activePane="bottomLeft" state="frozen"/>
      <selection pane="bottomLeft" activeCell="B203" sqref="B203"/>
    </sheetView>
  </sheetViews>
  <sheetFormatPr defaultRowHeight="17.25" x14ac:dyDescent="0.35"/>
  <cols>
    <col min="1" max="1" width="9.140625" style="420"/>
    <col min="2" max="2" width="29.85546875" style="149" customWidth="1"/>
    <col min="3" max="5" width="20.28515625" style="149" customWidth="1"/>
    <col min="6" max="6" width="21.85546875" style="150" customWidth="1"/>
    <col min="7" max="7" width="13.7109375" style="419" customWidth="1"/>
  </cols>
  <sheetData>
    <row r="1" spans="1:7" ht="19.5" x14ac:dyDescent="0.35">
      <c r="A1" s="420" t="s">
        <v>1601</v>
      </c>
      <c r="B1" s="151" t="s">
        <v>2</v>
      </c>
      <c r="C1" s="409" t="s">
        <v>494</v>
      </c>
      <c r="D1" s="166" t="s">
        <v>5</v>
      </c>
      <c r="E1" s="166" t="s">
        <v>1602</v>
      </c>
      <c r="F1" s="162" t="s">
        <v>6</v>
      </c>
      <c r="G1" s="165" t="s">
        <v>1599</v>
      </c>
    </row>
    <row r="2" spans="1:7" ht="19.5" x14ac:dyDescent="0.35">
      <c r="A2" s="420">
        <v>1</v>
      </c>
      <c r="B2" s="410" t="s">
        <v>519</v>
      </c>
      <c r="C2" s="166" t="s">
        <v>520</v>
      </c>
      <c r="D2" s="166" t="s">
        <v>1550</v>
      </c>
      <c r="E2" s="421">
        <v>333333171</v>
      </c>
      <c r="F2" s="162" t="s">
        <v>521</v>
      </c>
      <c r="G2" s="169">
        <v>78000</v>
      </c>
    </row>
    <row r="3" spans="1:7" ht="19.5" x14ac:dyDescent="0.35">
      <c r="A3" s="420">
        <v>2</v>
      </c>
      <c r="B3" s="181" t="s">
        <v>524</v>
      </c>
      <c r="C3" s="177" t="s">
        <v>525</v>
      </c>
      <c r="D3" s="177" t="s">
        <v>1551</v>
      </c>
      <c r="E3" s="177"/>
      <c r="F3" s="162" t="s">
        <v>526</v>
      </c>
      <c r="G3" s="169">
        <v>78000</v>
      </c>
    </row>
    <row r="4" spans="1:7" ht="19.5" x14ac:dyDescent="0.35">
      <c r="A4" s="420">
        <v>3</v>
      </c>
      <c r="B4" s="181" t="s">
        <v>528</v>
      </c>
      <c r="C4" s="166" t="s">
        <v>525</v>
      </c>
      <c r="D4" s="166" t="s">
        <v>1552</v>
      </c>
      <c r="E4" s="166"/>
      <c r="F4" s="162" t="s">
        <v>529</v>
      </c>
      <c r="G4" s="169">
        <v>78000</v>
      </c>
    </row>
    <row r="5" spans="1:7" ht="19.5" x14ac:dyDescent="0.35">
      <c r="A5" s="420">
        <v>4</v>
      </c>
      <c r="B5" s="181" t="s">
        <v>531</v>
      </c>
      <c r="C5" s="166" t="s">
        <v>525</v>
      </c>
      <c r="D5" s="166" t="s">
        <v>1553</v>
      </c>
      <c r="E5" s="166"/>
      <c r="F5" s="162" t="s">
        <v>532</v>
      </c>
      <c r="G5" s="169">
        <v>78000</v>
      </c>
    </row>
    <row r="6" spans="1:7" ht="19.5" x14ac:dyDescent="0.35">
      <c r="A6" s="420">
        <v>5</v>
      </c>
      <c r="B6" s="181" t="s">
        <v>534</v>
      </c>
      <c r="C6" s="166" t="s">
        <v>525</v>
      </c>
      <c r="D6" s="166" t="s">
        <v>1554</v>
      </c>
      <c r="E6" s="166"/>
      <c r="F6" s="162" t="s">
        <v>535</v>
      </c>
      <c r="G6" s="169">
        <v>76490</v>
      </c>
    </row>
    <row r="7" spans="1:7" ht="33.75" customHeight="1" x14ac:dyDescent="0.35">
      <c r="A7" s="420">
        <v>6</v>
      </c>
      <c r="B7" s="181" t="s">
        <v>537</v>
      </c>
      <c r="C7" s="166" t="s">
        <v>525</v>
      </c>
      <c r="D7" s="166" t="s">
        <v>1555</v>
      </c>
      <c r="E7" s="166"/>
      <c r="F7" s="162" t="s">
        <v>538</v>
      </c>
      <c r="G7" s="169">
        <v>78000</v>
      </c>
    </row>
    <row r="8" spans="1:7" ht="19.5" x14ac:dyDescent="0.35">
      <c r="A8" s="420">
        <v>7</v>
      </c>
      <c r="B8" s="181" t="s">
        <v>541</v>
      </c>
      <c r="C8" s="166" t="s">
        <v>525</v>
      </c>
      <c r="D8" s="166" t="s">
        <v>1556</v>
      </c>
      <c r="E8" s="166"/>
      <c r="F8" s="162" t="s">
        <v>542</v>
      </c>
      <c r="G8" s="169">
        <v>78000</v>
      </c>
    </row>
    <row r="9" spans="1:7" ht="19.5" x14ac:dyDescent="0.35">
      <c r="A9" s="420">
        <v>8</v>
      </c>
      <c r="B9" s="181" t="s">
        <v>544</v>
      </c>
      <c r="C9" s="166" t="s">
        <v>525</v>
      </c>
      <c r="D9" s="166" t="s">
        <v>1557</v>
      </c>
      <c r="E9" s="166"/>
      <c r="F9" s="162" t="s">
        <v>545</v>
      </c>
      <c r="G9" s="169">
        <v>76490</v>
      </c>
    </row>
    <row r="10" spans="1:7" ht="19.5" x14ac:dyDescent="0.35">
      <c r="A10" s="420">
        <v>9</v>
      </c>
      <c r="B10" s="181" t="s">
        <v>548</v>
      </c>
      <c r="C10" s="166" t="s">
        <v>525</v>
      </c>
      <c r="D10" s="166" t="s">
        <v>1558</v>
      </c>
      <c r="E10" s="166"/>
      <c r="F10" s="162" t="s">
        <v>549</v>
      </c>
      <c r="G10" s="169">
        <v>76490</v>
      </c>
    </row>
    <row r="11" spans="1:7" ht="19.5" x14ac:dyDescent="0.35">
      <c r="A11" s="420">
        <v>10</v>
      </c>
      <c r="B11" s="181" t="s">
        <v>552</v>
      </c>
      <c r="C11" s="166" t="s">
        <v>525</v>
      </c>
      <c r="D11" s="166" t="s">
        <v>1559</v>
      </c>
      <c r="E11" s="166"/>
      <c r="F11" s="162" t="s">
        <v>553</v>
      </c>
      <c r="G11" s="169">
        <v>76490</v>
      </c>
    </row>
    <row r="12" spans="1:7" ht="19.5" x14ac:dyDescent="0.35">
      <c r="A12" s="420">
        <v>11</v>
      </c>
      <c r="B12" s="181" t="s">
        <v>555</v>
      </c>
      <c r="C12" s="166" t="s">
        <v>525</v>
      </c>
      <c r="D12" s="166" t="s">
        <v>1560</v>
      </c>
      <c r="E12" s="166"/>
      <c r="F12" s="162" t="s">
        <v>556</v>
      </c>
      <c r="G12" s="169">
        <v>76490</v>
      </c>
    </row>
    <row r="13" spans="1:7" ht="19.5" x14ac:dyDescent="0.35">
      <c r="A13" s="420">
        <v>12</v>
      </c>
      <c r="B13" s="181" t="s">
        <v>558</v>
      </c>
      <c r="C13" s="166" t="s">
        <v>559</v>
      </c>
      <c r="D13" s="166" t="s">
        <v>1560</v>
      </c>
      <c r="E13" s="166"/>
      <c r="F13" s="162" t="s">
        <v>560</v>
      </c>
      <c r="G13" s="169">
        <v>68770</v>
      </c>
    </row>
    <row r="14" spans="1:7" ht="19.5" x14ac:dyDescent="0.35">
      <c r="A14" s="420">
        <v>13</v>
      </c>
      <c r="B14" s="181" t="s">
        <v>563</v>
      </c>
      <c r="C14" s="166" t="s">
        <v>559</v>
      </c>
      <c r="D14" s="166" t="s">
        <v>1561</v>
      </c>
      <c r="E14" s="166"/>
      <c r="F14" s="182" t="s">
        <v>564</v>
      </c>
      <c r="G14" s="169">
        <v>68770</v>
      </c>
    </row>
    <row r="15" spans="1:7" ht="23.25" customHeight="1" x14ac:dyDescent="0.35">
      <c r="A15" s="420">
        <v>14</v>
      </c>
      <c r="B15" s="181" t="s">
        <v>567</v>
      </c>
      <c r="C15" s="166" t="s">
        <v>559</v>
      </c>
      <c r="D15" s="166" t="s">
        <v>1553</v>
      </c>
      <c r="E15" s="166"/>
      <c r="F15" s="162" t="s">
        <v>568</v>
      </c>
      <c r="G15" s="169">
        <v>68770</v>
      </c>
    </row>
    <row r="16" spans="1:7" ht="19.5" x14ac:dyDescent="0.35">
      <c r="A16" s="420">
        <v>15</v>
      </c>
      <c r="B16" s="181" t="s">
        <v>571</v>
      </c>
      <c r="C16" s="166" t="s">
        <v>559</v>
      </c>
      <c r="D16" s="166" t="s">
        <v>1562</v>
      </c>
      <c r="E16" s="166"/>
      <c r="F16" s="162" t="s">
        <v>572</v>
      </c>
      <c r="G16" s="169">
        <v>68770</v>
      </c>
    </row>
    <row r="17" spans="1:7" ht="19.5" x14ac:dyDescent="0.35">
      <c r="A17" s="420">
        <v>16</v>
      </c>
      <c r="B17" s="181" t="s">
        <v>574</v>
      </c>
      <c r="C17" s="166" t="s">
        <v>559</v>
      </c>
      <c r="D17" s="166" t="s">
        <v>1563</v>
      </c>
      <c r="E17" s="166"/>
      <c r="F17" s="162" t="s">
        <v>575</v>
      </c>
      <c r="G17" s="169">
        <v>66120</v>
      </c>
    </row>
    <row r="18" spans="1:7" ht="27" customHeight="1" x14ac:dyDescent="0.35">
      <c r="A18" s="420">
        <v>17</v>
      </c>
      <c r="B18" s="181" t="s">
        <v>578</v>
      </c>
      <c r="C18" s="166" t="s">
        <v>559</v>
      </c>
      <c r="D18" s="166" t="s">
        <v>1564</v>
      </c>
      <c r="E18" s="166"/>
      <c r="F18" s="162" t="s">
        <v>579</v>
      </c>
      <c r="G18" s="169">
        <v>66120</v>
      </c>
    </row>
    <row r="19" spans="1:7" ht="23.25" customHeight="1" x14ac:dyDescent="0.35">
      <c r="A19" s="420">
        <v>18</v>
      </c>
      <c r="B19" s="181" t="s">
        <v>581</v>
      </c>
      <c r="C19" s="166" t="s">
        <v>517</v>
      </c>
      <c r="D19" s="166" t="s">
        <v>1558</v>
      </c>
      <c r="E19" s="166"/>
      <c r="F19" s="162" t="s">
        <v>582</v>
      </c>
      <c r="G19" s="169">
        <v>74400</v>
      </c>
    </row>
    <row r="20" spans="1:7" ht="19.5" x14ac:dyDescent="0.35">
      <c r="A20" s="420">
        <v>19</v>
      </c>
      <c r="B20" s="181" t="s">
        <v>584</v>
      </c>
      <c r="C20" s="166" t="s">
        <v>517</v>
      </c>
      <c r="D20" s="166" t="s">
        <v>1558</v>
      </c>
      <c r="E20" s="166"/>
      <c r="F20" s="162" t="s">
        <v>585</v>
      </c>
      <c r="G20" s="169">
        <v>74400</v>
      </c>
    </row>
    <row r="21" spans="1:7" ht="19.5" x14ac:dyDescent="0.35">
      <c r="A21" s="420">
        <v>20</v>
      </c>
      <c r="B21" s="181" t="s">
        <v>588</v>
      </c>
      <c r="C21" s="166" t="s">
        <v>517</v>
      </c>
      <c r="D21" s="166"/>
      <c r="E21" s="166"/>
      <c r="F21" s="162" t="s">
        <v>589</v>
      </c>
      <c r="G21" s="169">
        <v>74400</v>
      </c>
    </row>
    <row r="22" spans="1:7" ht="19.5" x14ac:dyDescent="0.35">
      <c r="A22" s="420">
        <v>21</v>
      </c>
      <c r="B22" s="181" t="s">
        <v>592</v>
      </c>
      <c r="C22" s="166" t="s">
        <v>517</v>
      </c>
      <c r="D22" s="166"/>
      <c r="E22" s="166"/>
      <c r="F22" s="162" t="s">
        <v>593</v>
      </c>
      <c r="G22" s="169">
        <v>74400</v>
      </c>
    </row>
    <row r="23" spans="1:7" ht="19.5" x14ac:dyDescent="0.35">
      <c r="A23" s="420">
        <v>22</v>
      </c>
      <c r="B23" s="181" t="s">
        <v>596</v>
      </c>
      <c r="C23" s="166" t="s">
        <v>517</v>
      </c>
      <c r="D23" s="166" t="s">
        <v>1558</v>
      </c>
      <c r="E23" s="166"/>
      <c r="F23" s="162" t="s">
        <v>597</v>
      </c>
      <c r="G23" s="169">
        <v>66120</v>
      </c>
    </row>
    <row r="24" spans="1:7" ht="19.5" x14ac:dyDescent="0.35">
      <c r="A24" s="420">
        <v>23</v>
      </c>
      <c r="B24" s="181" t="s">
        <v>599</v>
      </c>
      <c r="C24" s="166" t="s">
        <v>517</v>
      </c>
      <c r="D24" s="166" t="s">
        <v>1553</v>
      </c>
      <c r="E24" s="166"/>
      <c r="F24" s="189" t="s">
        <v>600</v>
      </c>
      <c r="G24" s="169">
        <v>66120</v>
      </c>
    </row>
    <row r="25" spans="1:7" ht="19.5" x14ac:dyDescent="0.35">
      <c r="A25" s="420">
        <v>24</v>
      </c>
      <c r="B25" s="181" t="s">
        <v>602</v>
      </c>
      <c r="C25" s="166" t="s">
        <v>517</v>
      </c>
      <c r="D25" s="166" t="s">
        <v>1565</v>
      </c>
      <c r="E25" s="166"/>
      <c r="F25" s="162" t="s">
        <v>603</v>
      </c>
      <c r="G25" s="169">
        <v>66120</v>
      </c>
    </row>
    <row r="26" spans="1:7" ht="19.5" x14ac:dyDescent="0.35">
      <c r="A26" s="420">
        <v>25</v>
      </c>
      <c r="B26" s="181" t="s">
        <v>605</v>
      </c>
      <c r="C26" s="166" t="s">
        <v>517</v>
      </c>
      <c r="D26" s="166" t="s">
        <v>1558</v>
      </c>
      <c r="E26" s="166"/>
      <c r="F26" s="162" t="s">
        <v>606</v>
      </c>
      <c r="G26" s="169">
        <v>66120</v>
      </c>
    </row>
    <row r="27" spans="1:7" ht="19.5" x14ac:dyDescent="0.35">
      <c r="A27" s="420">
        <v>26</v>
      </c>
      <c r="B27" s="181" t="s">
        <v>608</v>
      </c>
      <c r="C27" s="166" t="s">
        <v>609</v>
      </c>
      <c r="D27" s="166" t="s">
        <v>1566</v>
      </c>
      <c r="E27" s="166"/>
      <c r="F27" s="162" t="s">
        <v>610</v>
      </c>
      <c r="G27" s="169">
        <v>74400</v>
      </c>
    </row>
    <row r="28" spans="1:7" ht="19.5" x14ac:dyDescent="0.35">
      <c r="A28" s="420">
        <v>27</v>
      </c>
      <c r="B28" s="181" t="s">
        <v>612</v>
      </c>
      <c r="C28" s="166" t="s">
        <v>609</v>
      </c>
      <c r="D28" s="166"/>
      <c r="E28" s="166"/>
      <c r="F28" s="162" t="s">
        <v>613</v>
      </c>
      <c r="G28" s="178">
        <v>68770</v>
      </c>
    </row>
    <row r="29" spans="1:7" ht="19.5" x14ac:dyDescent="0.35">
      <c r="A29" s="420">
        <v>28</v>
      </c>
      <c r="B29" s="411" t="s">
        <v>616</v>
      </c>
      <c r="C29" s="166" t="s">
        <v>609</v>
      </c>
      <c r="D29" s="166"/>
      <c r="E29" s="166"/>
      <c r="F29" s="162" t="s">
        <v>617</v>
      </c>
      <c r="G29" s="169">
        <v>66120</v>
      </c>
    </row>
    <row r="30" spans="1:7" ht="19.5" x14ac:dyDescent="0.35">
      <c r="A30" s="420">
        <v>29</v>
      </c>
      <c r="B30" s="181" t="s">
        <v>620</v>
      </c>
      <c r="C30" s="166" t="s">
        <v>609</v>
      </c>
      <c r="D30" s="166"/>
      <c r="E30" s="166"/>
      <c r="F30" s="189" t="s">
        <v>621</v>
      </c>
      <c r="G30" s="169">
        <v>61120</v>
      </c>
    </row>
    <row r="31" spans="1:7" ht="19.5" x14ac:dyDescent="0.35">
      <c r="A31" s="420">
        <v>30</v>
      </c>
      <c r="B31" s="181" t="s">
        <v>623</v>
      </c>
      <c r="C31" s="166" t="s">
        <v>609</v>
      </c>
      <c r="D31" s="166"/>
      <c r="E31" s="166"/>
      <c r="F31" s="201" t="s">
        <v>624</v>
      </c>
      <c r="G31" s="169">
        <v>61120</v>
      </c>
    </row>
    <row r="32" spans="1:7" ht="19.5" x14ac:dyDescent="0.35">
      <c r="A32" s="420">
        <v>31</v>
      </c>
      <c r="B32" s="181" t="s">
        <v>626</v>
      </c>
      <c r="C32" s="166" t="s">
        <v>609</v>
      </c>
      <c r="D32" s="166"/>
      <c r="E32" s="166"/>
      <c r="F32" s="162" t="s">
        <v>627</v>
      </c>
      <c r="G32" s="169">
        <v>58760</v>
      </c>
    </row>
    <row r="33" spans="1:7" ht="19.5" x14ac:dyDescent="0.35">
      <c r="A33" s="420">
        <v>32</v>
      </c>
      <c r="B33" s="181" t="s">
        <v>629</v>
      </c>
      <c r="C33" s="166" t="s">
        <v>609</v>
      </c>
      <c r="D33" s="166" t="s">
        <v>1554</v>
      </c>
      <c r="E33" s="166"/>
      <c r="F33" s="162" t="s">
        <v>630</v>
      </c>
      <c r="G33" s="169">
        <v>65820</v>
      </c>
    </row>
    <row r="34" spans="1:7" ht="19.5" x14ac:dyDescent="0.35">
      <c r="A34" s="420">
        <v>33</v>
      </c>
      <c r="B34" s="411" t="s">
        <v>632</v>
      </c>
      <c r="C34" s="166" t="s">
        <v>609</v>
      </c>
      <c r="D34" s="166" t="s">
        <v>1568</v>
      </c>
      <c r="E34" s="166"/>
      <c r="F34" s="162" t="s">
        <v>633</v>
      </c>
      <c r="G34" s="169">
        <v>56250</v>
      </c>
    </row>
    <row r="35" spans="1:7" ht="19.5" x14ac:dyDescent="0.35">
      <c r="A35" s="420">
        <v>34</v>
      </c>
      <c r="B35" s="181" t="s">
        <v>635</v>
      </c>
      <c r="C35" s="166" t="s">
        <v>609</v>
      </c>
      <c r="D35" s="166" t="s">
        <v>1554</v>
      </c>
      <c r="E35" s="166"/>
      <c r="F35" s="162" t="s">
        <v>636</v>
      </c>
      <c r="G35" s="169">
        <v>65820</v>
      </c>
    </row>
    <row r="36" spans="1:7" ht="19.5" x14ac:dyDescent="0.35">
      <c r="A36" s="420">
        <v>35</v>
      </c>
      <c r="B36" s="410" t="s">
        <v>638</v>
      </c>
      <c r="C36" s="166" t="s">
        <v>609</v>
      </c>
      <c r="D36" s="166" t="s">
        <v>1561</v>
      </c>
      <c r="E36" s="166"/>
      <c r="F36" s="162" t="s">
        <v>639</v>
      </c>
      <c r="G36" s="169">
        <v>63280</v>
      </c>
    </row>
    <row r="37" spans="1:7" ht="19.5" x14ac:dyDescent="0.35">
      <c r="A37" s="420">
        <v>36</v>
      </c>
      <c r="B37" s="181" t="s">
        <v>642</v>
      </c>
      <c r="C37" s="166" t="s">
        <v>609</v>
      </c>
      <c r="D37" s="166"/>
      <c r="E37" s="166"/>
      <c r="F37" s="162" t="s">
        <v>643</v>
      </c>
      <c r="G37" s="169">
        <v>71200</v>
      </c>
    </row>
    <row r="38" spans="1:7" ht="19.5" x14ac:dyDescent="0.35">
      <c r="A38" s="420">
        <v>37</v>
      </c>
      <c r="B38" s="181" t="s">
        <v>645</v>
      </c>
      <c r="C38" s="166" t="s">
        <v>609</v>
      </c>
      <c r="D38" s="166"/>
      <c r="E38" s="166"/>
      <c r="F38" s="162" t="s">
        <v>646</v>
      </c>
      <c r="G38" s="169">
        <v>71200</v>
      </c>
    </row>
    <row r="39" spans="1:7" ht="19.5" x14ac:dyDescent="0.35">
      <c r="A39" s="420">
        <v>38</v>
      </c>
      <c r="B39" s="411" t="s">
        <v>649</v>
      </c>
      <c r="C39" s="166" t="s">
        <v>609</v>
      </c>
      <c r="D39" s="166"/>
      <c r="E39" s="166"/>
      <c r="F39" s="204" t="s">
        <v>650</v>
      </c>
      <c r="G39" s="169">
        <v>56250</v>
      </c>
    </row>
    <row r="40" spans="1:7" ht="19.5" x14ac:dyDescent="0.35">
      <c r="A40" s="420">
        <v>39</v>
      </c>
      <c r="B40" s="411" t="s">
        <v>652</v>
      </c>
      <c r="C40" s="166" t="s">
        <v>653</v>
      </c>
      <c r="D40" s="166"/>
      <c r="E40" s="166"/>
      <c r="F40" s="204" t="s">
        <v>654</v>
      </c>
      <c r="G40" s="169">
        <v>58500</v>
      </c>
    </row>
    <row r="41" spans="1:7" ht="19.5" x14ac:dyDescent="0.35">
      <c r="A41" s="420">
        <v>40</v>
      </c>
      <c r="B41" s="411" t="s">
        <v>656</v>
      </c>
      <c r="C41" s="166" t="s">
        <v>657</v>
      </c>
      <c r="D41" s="166"/>
      <c r="E41" s="166"/>
      <c r="F41" s="162" t="s">
        <v>658</v>
      </c>
      <c r="G41" s="169">
        <v>60840</v>
      </c>
    </row>
    <row r="42" spans="1:7" ht="19.5" x14ac:dyDescent="0.35">
      <c r="A42" s="420">
        <v>41</v>
      </c>
      <c r="B42" s="411" t="s">
        <v>660</v>
      </c>
      <c r="C42" s="166" t="s">
        <v>657</v>
      </c>
      <c r="D42" s="166"/>
      <c r="E42" s="166"/>
      <c r="F42" s="162" t="s">
        <v>661</v>
      </c>
      <c r="G42" s="169">
        <v>58500</v>
      </c>
    </row>
    <row r="43" spans="1:7" ht="19.5" x14ac:dyDescent="0.35">
      <c r="A43" s="420">
        <v>42</v>
      </c>
      <c r="B43" s="411" t="s">
        <v>663</v>
      </c>
      <c r="C43" s="166" t="s">
        <v>653</v>
      </c>
      <c r="D43" s="166"/>
      <c r="E43" s="166"/>
      <c r="F43" s="204" t="s">
        <v>664</v>
      </c>
      <c r="G43" s="169">
        <v>56250</v>
      </c>
    </row>
    <row r="44" spans="1:7" ht="19.5" x14ac:dyDescent="0.35">
      <c r="A44" s="420">
        <v>43</v>
      </c>
      <c r="B44" s="181" t="s">
        <v>667</v>
      </c>
      <c r="C44" s="166" t="s">
        <v>517</v>
      </c>
      <c r="D44" s="166" t="s">
        <v>1553</v>
      </c>
      <c r="E44" s="166"/>
      <c r="F44" s="162" t="s">
        <v>668</v>
      </c>
      <c r="G44" s="169">
        <v>71530</v>
      </c>
    </row>
    <row r="45" spans="1:7" ht="19.5" x14ac:dyDescent="0.35">
      <c r="A45" s="420">
        <v>44</v>
      </c>
      <c r="B45" s="181" t="s">
        <v>671</v>
      </c>
      <c r="C45" s="166" t="s">
        <v>609</v>
      </c>
      <c r="D45" s="166" t="s">
        <v>1565</v>
      </c>
      <c r="E45" s="166"/>
      <c r="F45" s="198" t="s">
        <v>672</v>
      </c>
      <c r="G45" s="169"/>
    </row>
    <row r="46" spans="1:7" ht="19.5" x14ac:dyDescent="0.35">
      <c r="A46" s="420">
        <v>45</v>
      </c>
      <c r="B46" s="181" t="s">
        <v>677</v>
      </c>
      <c r="C46" s="166" t="s">
        <v>653</v>
      </c>
      <c r="D46" s="166"/>
      <c r="E46" s="166"/>
      <c r="F46" s="201" t="s">
        <v>678</v>
      </c>
      <c r="G46" s="169"/>
    </row>
    <row r="47" spans="1:7" ht="19.5" x14ac:dyDescent="0.35">
      <c r="A47" s="420">
        <v>46</v>
      </c>
      <c r="B47" s="181" t="s">
        <v>681</v>
      </c>
      <c r="C47" s="166" t="s">
        <v>653</v>
      </c>
      <c r="D47" s="166"/>
      <c r="E47" s="166"/>
      <c r="F47" s="189" t="s">
        <v>682</v>
      </c>
      <c r="G47" s="169"/>
    </row>
    <row r="48" spans="1:7" ht="19.5" x14ac:dyDescent="0.35">
      <c r="A48" s="420">
        <v>47</v>
      </c>
      <c r="B48" s="411" t="s">
        <v>685</v>
      </c>
      <c r="C48" s="166" t="s">
        <v>653</v>
      </c>
      <c r="D48" s="166" t="s">
        <v>1567</v>
      </c>
      <c r="E48" s="166"/>
      <c r="F48" s="201" t="s">
        <v>686</v>
      </c>
      <c r="G48" s="169"/>
    </row>
    <row r="49" spans="1:7" ht="19.5" x14ac:dyDescent="0.35">
      <c r="A49" s="420">
        <v>48</v>
      </c>
      <c r="B49" s="411" t="s">
        <v>688</v>
      </c>
      <c r="C49" s="166" t="s">
        <v>653</v>
      </c>
      <c r="D49" s="166" t="s">
        <v>1556</v>
      </c>
      <c r="E49" s="166"/>
      <c r="F49" s="189" t="s">
        <v>689</v>
      </c>
      <c r="G49" s="169"/>
    </row>
    <row r="50" spans="1:7" ht="19.5" x14ac:dyDescent="0.35">
      <c r="A50" s="420">
        <v>49</v>
      </c>
      <c r="B50" s="411" t="s">
        <v>691</v>
      </c>
      <c r="C50" s="166" t="s">
        <v>653</v>
      </c>
      <c r="D50" s="166" t="s">
        <v>1567</v>
      </c>
      <c r="E50" s="166"/>
      <c r="F50" s="204" t="s">
        <v>692</v>
      </c>
      <c r="G50" s="169">
        <v>37280</v>
      </c>
    </row>
    <row r="51" spans="1:7" ht="19.5" x14ac:dyDescent="0.35">
      <c r="A51" s="420">
        <v>50</v>
      </c>
      <c r="B51" s="411" t="s">
        <v>694</v>
      </c>
      <c r="C51" s="166" t="s">
        <v>653</v>
      </c>
      <c r="D51" s="166" t="s">
        <v>1569</v>
      </c>
      <c r="E51" s="166"/>
      <c r="F51" s="162" t="s">
        <v>695</v>
      </c>
      <c r="G51" s="169">
        <v>41110</v>
      </c>
    </row>
    <row r="52" spans="1:7" ht="19.5" x14ac:dyDescent="0.35">
      <c r="A52" s="420">
        <v>51</v>
      </c>
      <c r="B52" s="411" t="s">
        <v>697</v>
      </c>
      <c r="C52" s="166" t="s">
        <v>653</v>
      </c>
      <c r="D52" s="166" t="s">
        <v>1569</v>
      </c>
      <c r="E52" s="166"/>
      <c r="F52" s="204" t="s">
        <v>698</v>
      </c>
      <c r="G52" s="169"/>
    </row>
    <row r="53" spans="1:7" ht="19.5" x14ac:dyDescent="0.35">
      <c r="A53" s="420">
        <v>52</v>
      </c>
      <c r="B53" s="411" t="s">
        <v>700</v>
      </c>
      <c r="C53" s="166" t="s">
        <v>653</v>
      </c>
      <c r="D53" s="166"/>
      <c r="E53" s="166"/>
      <c r="F53" s="204" t="s">
        <v>701</v>
      </c>
      <c r="G53" s="169">
        <v>39150</v>
      </c>
    </row>
    <row r="54" spans="1:7" ht="19.5" x14ac:dyDescent="0.35">
      <c r="A54" s="420">
        <v>53</v>
      </c>
      <c r="B54" s="411" t="s">
        <v>703</v>
      </c>
      <c r="C54" s="166" t="s">
        <v>653</v>
      </c>
      <c r="D54" s="166"/>
      <c r="E54" s="166"/>
      <c r="F54" s="204" t="s">
        <v>704</v>
      </c>
      <c r="G54" s="169">
        <v>41110</v>
      </c>
    </row>
    <row r="55" spans="1:7" ht="19.5" x14ac:dyDescent="0.35">
      <c r="A55" s="420">
        <v>54</v>
      </c>
      <c r="B55" s="411" t="s">
        <v>706</v>
      </c>
      <c r="C55" s="166" t="s">
        <v>653</v>
      </c>
      <c r="D55" s="166"/>
      <c r="E55" s="166"/>
      <c r="F55" s="204" t="s">
        <v>707</v>
      </c>
      <c r="G55" s="169">
        <v>41110</v>
      </c>
    </row>
    <row r="56" spans="1:7" ht="19.5" x14ac:dyDescent="0.35">
      <c r="A56" s="420">
        <v>55</v>
      </c>
      <c r="B56" s="411" t="s">
        <v>709</v>
      </c>
      <c r="C56" s="166" t="s">
        <v>653</v>
      </c>
      <c r="D56" s="166"/>
      <c r="E56" s="166"/>
      <c r="F56" s="204" t="s">
        <v>710</v>
      </c>
      <c r="G56" s="169"/>
    </row>
    <row r="57" spans="1:7" ht="19.5" x14ac:dyDescent="0.35">
      <c r="A57" s="420">
        <v>56</v>
      </c>
      <c r="B57" s="411" t="s">
        <v>712</v>
      </c>
      <c r="C57" s="166" t="s">
        <v>653</v>
      </c>
      <c r="D57" s="166" t="s">
        <v>1556</v>
      </c>
      <c r="E57" s="166"/>
      <c r="F57" s="162" t="s">
        <v>713</v>
      </c>
      <c r="G57" s="169"/>
    </row>
    <row r="58" spans="1:7" ht="19.5" x14ac:dyDescent="0.35">
      <c r="A58" s="420">
        <v>57</v>
      </c>
      <c r="B58" s="411" t="s">
        <v>715</v>
      </c>
      <c r="C58" s="166" t="s">
        <v>653</v>
      </c>
      <c r="D58" s="166" t="s">
        <v>1556</v>
      </c>
      <c r="E58" s="166"/>
      <c r="F58" s="204" t="s">
        <v>716</v>
      </c>
      <c r="G58" s="169">
        <v>37280</v>
      </c>
    </row>
    <row r="59" spans="1:7" ht="19.5" x14ac:dyDescent="0.35">
      <c r="A59" s="420">
        <v>58</v>
      </c>
      <c r="B59" s="411" t="s">
        <v>718</v>
      </c>
      <c r="C59" s="166" t="s">
        <v>653</v>
      </c>
      <c r="D59" s="166" t="s">
        <v>1570</v>
      </c>
      <c r="E59" s="166"/>
      <c r="F59" s="204" t="s">
        <v>719</v>
      </c>
      <c r="G59" s="169">
        <v>37280</v>
      </c>
    </row>
    <row r="60" spans="1:7" ht="19.5" x14ac:dyDescent="0.35">
      <c r="A60" s="420">
        <v>59</v>
      </c>
      <c r="B60" s="411" t="s">
        <v>721</v>
      </c>
      <c r="C60" s="166" t="s">
        <v>653</v>
      </c>
      <c r="D60" s="166" t="s">
        <v>1573</v>
      </c>
      <c r="E60" s="166"/>
      <c r="F60" s="204" t="s">
        <v>722</v>
      </c>
      <c r="G60" s="169">
        <v>39150</v>
      </c>
    </row>
    <row r="61" spans="1:7" ht="19.5" x14ac:dyDescent="0.35">
      <c r="A61" s="420">
        <v>60</v>
      </c>
      <c r="B61" s="181" t="s">
        <v>724</v>
      </c>
      <c r="C61" s="166" t="s">
        <v>653</v>
      </c>
      <c r="D61" s="166" t="s">
        <v>1572</v>
      </c>
      <c r="E61" s="166"/>
      <c r="F61" s="162" t="s">
        <v>725</v>
      </c>
      <c r="G61" s="169">
        <v>47600</v>
      </c>
    </row>
    <row r="62" spans="1:7" ht="19.5" x14ac:dyDescent="0.35">
      <c r="A62" s="420">
        <v>61</v>
      </c>
      <c r="B62" s="411" t="s">
        <v>727</v>
      </c>
      <c r="C62" s="166" t="s">
        <v>653</v>
      </c>
      <c r="D62" s="166" t="s">
        <v>1573</v>
      </c>
      <c r="E62" s="166"/>
      <c r="F62" s="204" t="s">
        <v>728</v>
      </c>
      <c r="G62" s="169">
        <v>43170</v>
      </c>
    </row>
    <row r="63" spans="1:7" ht="19.5" x14ac:dyDescent="0.35">
      <c r="A63" s="420">
        <v>62</v>
      </c>
      <c r="B63" s="411" t="s">
        <v>730</v>
      </c>
      <c r="C63" s="166" t="s">
        <v>653</v>
      </c>
      <c r="D63" s="166" t="s">
        <v>1572</v>
      </c>
      <c r="E63" s="166"/>
      <c r="F63" s="204" t="s">
        <v>731</v>
      </c>
      <c r="G63" s="169">
        <v>41110</v>
      </c>
    </row>
    <row r="64" spans="1:7" ht="19.5" x14ac:dyDescent="0.35">
      <c r="A64" s="420">
        <v>63</v>
      </c>
      <c r="B64" s="181" t="s">
        <v>733</v>
      </c>
      <c r="C64" s="166" t="s">
        <v>653</v>
      </c>
      <c r="D64" s="166"/>
      <c r="E64" s="166"/>
      <c r="F64" s="162" t="s">
        <v>734</v>
      </c>
      <c r="G64" s="169">
        <v>45330</v>
      </c>
    </row>
    <row r="65" spans="1:7" ht="19.5" x14ac:dyDescent="0.35">
      <c r="A65" s="420">
        <v>64</v>
      </c>
      <c r="B65" s="411" t="s">
        <v>736</v>
      </c>
      <c r="C65" s="166" t="s">
        <v>653</v>
      </c>
      <c r="D65" s="166"/>
      <c r="E65" s="166"/>
      <c r="F65" s="204" t="s">
        <v>737</v>
      </c>
      <c r="G65" s="169">
        <v>41110</v>
      </c>
    </row>
    <row r="66" spans="1:7" ht="19.5" x14ac:dyDescent="0.35">
      <c r="A66" s="420">
        <v>65</v>
      </c>
      <c r="B66" s="411" t="s">
        <v>739</v>
      </c>
      <c r="C66" s="166" t="s">
        <v>653</v>
      </c>
      <c r="D66" s="166"/>
      <c r="E66" s="166"/>
      <c r="F66" s="204" t="s">
        <v>740</v>
      </c>
      <c r="G66" s="169">
        <v>39150</v>
      </c>
    </row>
    <row r="67" spans="1:7" ht="19.5" x14ac:dyDescent="0.35">
      <c r="A67" s="420">
        <v>66</v>
      </c>
      <c r="B67" s="411" t="s">
        <v>743</v>
      </c>
      <c r="C67" s="166" t="s">
        <v>657</v>
      </c>
      <c r="D67" s="166"/>
      <c r="E67" s="166"/>
      <c r="F67" s="204" t="s">
        <v>744</v>
      </c>
      <c r="G67" s="169"/>
    </row>
    <row r="68" spans="1:7" ht="19.5" x14ac:dyDescent="0.35">
      <c r="A68" s="420">
        <v>67</v>
      </c>
      <c r="B68" s="411" t="s">
        <v>746</v>
      </c>
      <c r="C68" s="166" t="s">
        <v>657</v>
      </c>
      <c r="D68" s="166"/>
      <c r="E68" s="166"/>
      <c r="F68" s="204" t="s">
        <v>747</v>
      </c>
      <c r="G68" s="169">
        <v>41110</v>
      </c>
    </row>
    <row r="69" spans="1:7" ht="19.5" x14ac:dyDescent="0.35">
      <c r="A69" s="420">
        <v>68</v>
      </c>
      <c r="B69" s="411" t="s">
        <v>749</v>
      </c>
      <c r="C69" s="166" t="s">
        <v>657</v>
      </c>
      <c r="D69" s="166" t="s">
        <v>1570</v>
      </c>
      <c r="E69" s="166"/>
      <c r="F69" s="204" t="s">
        <v>750</v>
      </c>
      <c r="G69" s="169">
        <v>41110</v>
      </c>
    </row>
    <row r="70" spans="1:7" ht="19.5" x14ac:dyDescent="0.35">
      <c r="A70" s="420">
        <v>69</v>
      </c>
      <c r="B70" s="411" t="s">
        <v>752</v>
      </c>
      <c r="C70" s="166" t="s">
        <v>657</v>
      </c>
      <c r="D70" s="166"/>
      <c r="E70" s="166"/>
      <c r="F70" s="204" t="s">
        <v>753</v>
      </c>
      <c r="G70" s="169">
        <v>41110</v>
      </c>
    </row>
    <row r="71" spans="1:7" ht="19.5" x14ac:dyDescent="0.35">
      <c r="A71" s="420">
        <v>70</v>
      </c>
      <c r="B71" s="411" t="s">
        <v>755</v>
      </c>
      <c r="C71" s="166" t="s">
        <v>657</v>
      </c>
      <c r="D71" s="166"/>
      <c r="E71" s="166"/>
      <c r="F71" s="204" t="s">
        <v>756</v>
      </c>
      <c r="G71" s="169"/>
    </row>
    <row r="72" spans="1:7" ht="19.5" x14ac:dyDescent="0.35">
      <c r="A72" s="420">
        <v>71</v>
      </c>
      <c r="B72" s="411" t="s">
        <v>758</v>
      </c>
      <c r="C72" s="166" t="s">
        <v>759</v>
      </c>
      <c r="D72" s="166" t="s">
        <v>1571</v>
      </c>
      <c r="E72" s="166"/>
      <c r="F72" s="204" t="s">
        <v>760</v>
      </c>
      <c r="G72" s="169"/>
    </row>
    <row r="73" spans="1:7" ht="19.5" x14ac:dyDescent="0.35">
      <c r="A73" s="420">
        <v>72</v>
      </c>
      <c r="B73" s="411" t="s">
        <v>762</v>
      </c>
      <c r="C73" s="160" t="s">
        <v>763</v>
      </c>
      <c r="D73" s="160" t="s">
        <v>1572</v>
      </c>
      <c r="E73" s="160"/>
      <c r="F73" s="162" t="s">
        <v>764</v>
      </c>
      <c r="G73" s="169"/>
    </row>
    <row r="74" spans="1:7" ht="19.5" x14ac:dyDescent="0.35">
      <c r="A74" s="420">
        <v>73</v>
      </c>
      <c r="B74" s="411" t="s">
        <v>766</v>
      </c>
      <c r="C74" s="166" t="s">
        <v>657</v>
      </c>
      <c r="D74" s="166" t="s">
        <v>1561</v>
      </c>
      <c r="E74" s="166"/>
      <c r="F74" s="204" t="s">
        <v>767</v>
      </c>
      <c r="G74" s="169"/>
    </row>
    <row r="75" spans="1:7" ht="19.5" x14ac:dyDescent="0.35">
      <c r="A75" s="420">
        <v>74</v>
      </c>
      <c r="B75" s="181" t="s">
        <v>769</v>
      </c>
      <c r="C75" s="166" t="s">
        <v>657</v>
      </c>
      <c r="D75" s="166" t="s">
        <v>1571</v>
      </c>
      <c r="E75" s="166"/>
      <c r="F75" s="162" t="s">
        <v>770</v>
      </c>
      <c r="G75" s="169">
        <v>52480</v>
      </c>
    </row>
    <row r="76" spans="1:7" ht="19.5" x14ac:dyDescent="0.35">
      <c r="A76" s="420">
        <v>75</v>
      </c>
      <c r="B76" s="411" t="s">
        <v>772</v>
      </c>
      <c r="C76" s="166" t="s">
        <v>657</v>
      </c>
      <c r="D76" s="166" t="s">
        <v>1567</v>
      </c>
      <c r="E76" s="166"/>
      <c r="F76" s="162" t="s">
        <v>773</v>
      </c>
      <c r="G76" s="169">
        <v>47600</v>
      </c>
    </row>
    <row r="77" spans="1:7" ht="19.5" x14ac:dyDescent="0.35">
      <c r="A77" s="420">
        <v>76</v>
      </c>
      <c r="B77" s="411" t="s">
        <v>775</v>
      </c>
      <c r="C77" s="166" t="s">
        <v>657</v>
      </c>
      <c r="D77" s="166"/>
      <c r="E77" s="166"/>
      <c r="F77" s="162" t="s">
        <v>776</v>
      </c>
      <c r="G77" s="169">
        <v>43170</v>
      </c>
    </row>
    <row r="78" spans="1:7" ht="19.5" x14ac:dyDescent="0.35">
      <c r="A78" s="420">
        <v>77</v>
      </c>
      <c r="B78" s="411" t="s">
        <v>778</v>
      </c>
      <c r="C78" s="166" t="s">
        <v>657</v>
      </c>
      <c r="D78" s="166"/>
      <c r="E78" s="166"/>
      <c r="F78" s="204" t="s">
        <v>779</v>
      </c>
      <c r="G78" s="169">
        <v>45330</v>
      </c>
    </row>
    <row r="79" spans="1:7" ht="19.5" x14ac:dyDescent="0.35">
      <c r="A79" s="420">
        <v>78</v>
      </c>
      <c r="B79" s="411" t="s">
        <v>781</v>
      </c>
      <c r="C79" s="166" t="s">
        <v>657</v>
      </c>
      <c r="D79" s="166"/>
      <c r="E79" s="166"/>
      <c r="F79" s="204" t="s">
        <v>782</v>
      </c>
      <c r="G79" s="169">
        <v>41110</v>
      </c>
    </row>
    <row r="80" spans="1:7" ht="19.5" x14ac:dyDescent="0.35">
      <c r="A80" s="420">
        <v>79</v>
      </c>
      <c r="B80" s="411" t="s">
        <v>784</v>
      </c>
      <c r="C80" s="166" t="s">
        <v>657</v>
      </c>
      <c r="D80" s="166"/>
      <c r="E80" s="166"/>
      <c r="F80" s="204" t="s">
        <v>785</v>
      </c>
      <c r="G80" s="169">
        <v>43170</v>
      </c>
    </row>
    <row r="81" spans="1:7" ht="19.5" x14ac:dyDescent="0.35">
      <c r="A81" s="420">
        <v>80</v>
      </c>
      <c r="B81" s="411" t="s">
        <v>788</v>
      </c>
      <c r="C81" s="166" t="s">
        <v>657</v>
      </c>
      <c r="D81" s="166" t="s">
        <v>1567</v>
      </c>
      <c r="E81" s="166"/>
      <c r="F81" s="204" t="s">
        <v>789</v>
      </c>
      <c r="G81" s="169">
        <v>43170</v>
      </c>
    </row>
    <row r="82" spans="1:7" ht="19.5" x14ac:dyDescent="0.35">
      <c r="A82" s="420">
        <v>81</v>
      </c>
      <c r="B82" s="411" t="s">
        <v>792</v>
      </c>
      <c r="C82" s="166" t="s">
        <v>657</v>
      </c>
      <c r="D82" s="166"/>
      <c r="E82" s="166"/>
      <c r="F82" s="204" t="s">
        <v>793</v>
      </c>
      <c r="G82" s="169">
        <v>43170</v>
      </c>
    </row>
    <row r="83" spans="1:7" ht="19.5" x14ac:dyDescent="0.35">
      <c r="A83" s="420">
        <v>82</v>
      </c>
      <c r="B83" s="411" t="s">
        <v>796</v>
      </c>
      <c r="C83" s="166" t="s">
        <v>657</v>
      </c>
      <c r="D83" s="166" t="s">
        <v>1572</v>
      </c>
      <c r="E83" s="166"/>
      <c r="F83" s="162" t="s">
        <v>797</v>
      </c>
      <c r="G83" s="169">
        <v>37280</v>
      </c>
    </row>
    <row r="84" spans="1:7" ht="19.5" x14ac:dyDescent="0.35">
      <c r="A84" s="420">
        <v>83</v>
      </c>
      <c r="B84" s="412" t="s">
        <v>799</v>
      </c>
      <c r="C84" s="166" t="s">
        <v>657</v>
      </c>
      <c r="D84" s="166" t="s">
        <v>1574</v>
      </c>
      <c r="E84" s="166"/>
      <c r="F84" s="224" t="s">
        <v>800</v>
      </c>
      <c r="G84" s="169">
        <v>39150</v>
      </c>
    </row>
    <row r="85" spans="1:7" ht="19.5" x14ac:dyDescent="0.35">
      <c r="A85" s="420">
        <v>84</v>
      </c>
      <c r="B85" s="411" t="s">
        <v>803</v>
      </c>
      <c r="C85" s="166" t="s">
        <v>657</v>
      </c>
      <c r="D85" s="166"/>
      <c r="E85" s="166"/>
      <c r="F85" s="230" t="s">
        <v>804</v>
      </c>
      <c r="G85" s="169">
        <v>39150</v>
      </c>
    </row>
    <row r="86" spans="1:7" ht="19.5" x14ac:dyDescent="0.35">
      <c r="A86" s="420">
        <v>85</v>
      </c>
      <c r="B86" s="411" t="s">
        <v>806</v>
      </c>
      <c r="C86" s="166" t="s">
        <v>657</v>
      </c>
      <c r="D86" s="166"/>
      <c r="E86" s="166"/>
      <c r="F86" s="162" t="s">
        <v>807</v>
      </c>
      <c r="G86" s="169"/>
    </row>
    <row r="87" spans="1:7" ht="19.5" x14ac:dyDescent="0.35">
      <c r="A87" s="420">
        <v>86</v>
      </c>
      <c r="B87" s="181" t="s">
        <v>809</v>
      </c>
      <c r="C87" s="166" t="s">
        <v>657</v>
      </c>
      <c r="D87" s="166"/>
      <c r="E87" s="166"/>
      <c r="F87" s="204" t="s">
        <v>810</v>
      </c>
      <c r="G87" s="169">
        <v>47600</v>
      </c>
    </row>
    <row r="88" spans="1:7" ht="19.5" x14ac:dyDescent="0.35">
      <c r="A88" s="420">
        <v>87</v>
      </c>
      <c r="B88" s="411" t="s">
        <v>812</v>
      </c>
      <c r="C88" s="166" t="s">
        <v>657</v>
      </c>
      <c r="D88" s="166"/>
      <c r="E88" s="166"/>
      <c r="F88" s="204" t="s">
        <v>813</v>
      </c>
      <c r="G88" s="169">
        <v>45330</v>
      </c>
    </row>
    <row r="89" spans="1:7" ht="19.5" x14ac:dyDescent="0.35">
      <c r="A89" s="420">
        <v>88</v>
      </c>
      <c r="B89" s="411" t="s">
        <v>816</v>
      </c>
      <c r="C89" s="166" t="s">
        <v>657</v>
      </c>
      <c r="D89" s="166" t="s">
        <v>1567</v>
      </c>
      <c r="E89" s="166"/>
      <c r="F89" s="204" t="s">
        <v>817</v>
      </c>
      <c r="G89" s="169">
        <v>47600</v>
      </c>
    </row>
    <row r="90" spans="1:7" ht="19.5" x14ac:dyDescent="0.35">
      <c r="A90" s="420">
        <v>89</v>
      </c>
      <c r="B90" s="411" t="s">
        <v>820</v>
      </c>
      <c r="C90" s="160" t="s">
        <v>821</v>
      </c>
      <c r="D90" s="160"/>
      <c r="E90" s="160"/>
      <c r="F90" s="162" t="s">
        <v>822</v>
      </c>
      <c r="G90" s="169">
        <v>37280</v>
      </c>
    </row>
    <row r="91" spans="1:7" ht="19.5" x14ac:dyDescent="0.35">
      <c r="A91" s="420">
        <v>90</v>
      </c>
      <c r="B91" s="181" t="s">
        <v>824</v>
      </c>
      <c r="C91" s="166" t="s">
        <v>657</v>
      </c>
      <c r="D91" s="166"/>
      <c r="E91" s="166"/>
      <c r="F91" s="162" t="s">
        <v>825</v>
      </c>
      <c r="G91" s="169">
        <v>49980</v>
      </c>
    </row>
    <row r="92" spans="1:7" ht="19.5" x14ac:dyDescent="0.35">
      <c r="A92" s="420">
        <v>91</v>
      </c>
      <c r="B92" s="411" t="s">
        <v>827</v>
      </c>
      <c r="C92" s="160" t="s">
        <v>828</v>
      </c>
      <c r="D92" s="160"/>
      <c r="E92" s="160"/>
      <c r="F92" s="162" t="s">
        <v>829</v>
      </c>
      <c r="G92" s="169">
        <v>37280</v>
      </c>
    </row>
    <row r="93" spans="1:7" ht="19.5" x14ac:dyDescent="0.35">
      <c r="A93" s="420">
        <v>92</v>
      </c>
      <c r="B93" s="411" t="s">
        <v>831</v>
      </c>
      <c r="C93" s="166" t="s">
        <v>657</v>
      </c>
      <c r="D93" s="166" t="s">
        <v>1561</v>
      </c>
      <c r="E93" s="166"/>
      <c r="F93" s="204" t="s">
        <v>832</v>
      </c>
      <c r="G93" s="169">
        <v>45330</v>
      </c>
    </row>
    <row r="94" spans="1:7" ht="19.5" x14ac:dyDescent="0.35">
      <c r="A94" s="420">
        <v>93</v>
      </c>
      <c r="B94" s="411" t="s">
        <v>835</v>
      </c>
      <c r="C94" s="166" t="s">
        <v>657</v>
      </c>
      <c r="D94" s="166"/>
      <c r="E94" s="166"/>
      <c r="F94" s="204" t="s">
        <v>836</v>
      </c>
      <c r="G94" s="169">
        <v>43170</v>
      </c>
    </row>
    <row r="95" spans="1:7" ht="19.5" x14ac:dyDescent="0.35">
      <c r="A95" s="420">
        <v>94</v>
      </c>
      <c r="B95" s="411" t="s">
        <v>838</v>
      </c>
      <c r="C95" s="160" t="s">
        <v>839</v>
      </c>
      <c r="D95" s="160"/>
      <c r="E95" s="160"/>
      <c r="F95" s="162" t="s">
        <v>840</v>
      </c>
      <c r="G95" s="169">
        <v>37280</v>
      </c>
    </row>
    <row r="96" spans="1:7" ht="19.5" x14ac:dyDescent="0.35">
      <c r="A96" s="420">
        <v>95</v>
      </c>
      <c r="B96" s="181" t="s">
        <v>843</v>
      </c>
      <c r="C96" s="166" t="s">
        <v>844</v>
      </c>
      <c r="D96" s="166" t="s">
        <v>1565</v>
      </c>
      <c r="E96" s="166"/>
      <c r="F96" s="162" t="s">
        <v>845</v>
      </c>
      <c r="G96" s="169">
        <v>71200</v>
      </c>
    </row>
    <row r="97" spans="1:7" ht="19.5" x14ac:dyDescent="0.35">
      <c r="A97" s="420">
        <v>96</v>
      </c>
      <c r="B97" s="181" t="s">
        <v>848</v>
      </c>
      <c r="C97" s="166" t="s">
        <v>657</v>
      </c>
      <c r="D97" s="166"/>
      <c r="E97" s="166"/>
      <c r="F97" s="162" t="s">
        <v>849</v>
      </c>
      <c r="G97" s="169">
        <v>66840</v>
      </c>
    </row>
    <row r="98" spans="1:7" ht="19.5" x14ac:dyDescent="0.35">
      <c r="A98" s="420">
        <v>97</v>
      </c>
      <c r="B98" s="181" t="s">
        <v>851</v>
      </c>
      <c r="C98" s="166" t="s">
        <v>657</v>
      </c>
      <c r="D98" s="166" t="s">
        <v>1573</v>
      </c>
      <c r="E98" s="166"/>
      <c r="F98" s="162" t="s">
        <v>852</v>
      </c>
      <c r="G98" s="169">
        <v>55110</v>
      </c>
    </row>
    <row r="99" spans="1:7" ht="19.5" x14ac:dyDescent="0.35">
      <c r="A99" s="420">
        <v>98</v>
      </c>
      <c r="B99" s="181" t="s">
        <v>855</v>
      </c>
      <c r="C99" s="166" t="s">
        <v>657</v>
      </c>
      <c r="D99" s="166" t="s">
        <v>1572</v>
      </c>
      <c r="E99" s="166"/>
      <c r="F99" s="162" t="s">
        <v>856</v>
      </c>
      <c r="G99" s="169">
        <v>52480</v>
      </c>
    </row>
    <row r="100" spans="1:7" ht="19.5" x14ac:dyDescent="0.35">
      <c r="A100" s="420">
        <v>99</v>
      </c>
      <c r="B100" s="411" t="s">
        <v>858</v>
      </c>
      <c r="C100" s="166" t="s">
        <v>657</v>
      </c>
      <c r="D100" s="166" t="s">
        <v>1569</v>
      </c>
      <c r="E100" s="166"/>
      <c r="F100" s="162" t="s">
        <v>859</v>
      </c>
      <c r="G100" s="169">
        <v>57870</v>
      </c>
    </row>
    <row r="101" spans="1:7" ht="19.5" x14ac:dyDescent="0.35">
      <c r="A101" s="420">
        <v>100</v>
      </c>
      <c r="B101" s="411" t="s">
        <v>861</v>
      </c>
      <c r="C101" s="166" t="s">
        <v>657</v>
      </c>
      <c r="D101" s="166"/>
      <c r="E101" s="166"/>
      <c r="F101" s="162" t="s">
        <v>862</v>
      </c>
      <c r="G101" s="169">
        <v>49980</v>
      </c>
    </row>
    <row r="102" spans="1:7" ht="19.5" x14ac:dyDescent="0.35">
      <c r="A102" s="420">
        <v>101</v>
      </c>
      <c r="B102" s="411" t="s">
        <v>864</v>
      </c>
      <c r="C102" s="166" t="s">
        <v>657</v>
      </c>
      <c r="D102" s="166" t="s">
        <v>1561</v>
      </c>
      <c r="E102" s="166"/>
      <c r="F102" s="162" t="s">
        <v>865</v>
      </c>
      <c r="G102" s="169">
        <v>49980</v>
      </c>
    </row>
    <row r="103" spans="1:7" ht="19.5" x14ac:dyDescent="0.35">
      <c r="A103" s="420">
        <v>102</v>
      </c>
      <c r="B103" s="181" t="s">
        <v>867</v>
      </c>
      <c r="C103" s="166" t="s">
        <v>653</v>
      </c>
      <c r="D103" s="166" t="s">
        <v>1556</v>
      </c>
      <c r="E103" s="166"/>
      <c r="F103" s="162" t="s">
        <v>868</v>
      </c>
      <c r="G103" s="169">
        <v>57870</v>
      </c>
    </row>
    <row r="104" spans="1:7" ht="19.5" x14ac:dyDescent="0.35">
      <c r="A104" s="420">
        <v>103</v>
      </c>
      <c r="B104" s="181" t="s">
        <v>871</v>
      </c>
      <c r="C104" s="166" t="s">
        <v>657</v>
      </c>
      <c r="D104" s="166"/>
      <c r="E104" s="166"/>
      <c r="F104" s="162" t="s">
        <v>872</v>
      </c>
      <c r="G104" s="169">
        <v>49980</v>
      </c>
    </row>
    <row r="105" spans="1:7" ht="19.5" x14ac:dyDescent="0.35">
      <c r="A105" s="420">
        <v>104</v>
      </c>
      <c r="B105" s="411" t="s">
        <v>874</v>
      </c>
      <c r="C105" s="166" t="s">
        <v>657</v>
      </c>
      <c r="D105" s="166"/>
      <c r="E105" s="166"/>
      <c r="F105" s="204" t="s">
        <v>875</v>
      </c>
      <c r="G105" s="169">
        <v>47600</v>
      </c>
    </row>
    <row r="106" spans="1:7" ht="19.5" x14ac:dyDescent="0.35">
      <c r="A106" s="420">
        <v>105</v>
      </c>
      <c r="B106" s="411" t="s">
        <v>877</v>
      </c>
      <c r="C106" s="166" t="s">
        <v>657</v>
      </c>
      <c r="D106" s="166" t="s">
        <v>1574</v>
      </c>
      <c r="E106" s="166"/>
      <c r="F106" s="204" t="s">
        <v>878</v>
      </c>
      <c r="G106" s="169">
        <v>47600</v>
      </c>
    </row>
    <row r="107" spans="1:7" ht="19.5" x14ac:dyDescent="0.35">
      <c r="A107" s="420">
        <v>106</v>
      </c>
      <c r="B107" s="411" t="s">
        <v>880</v>
      </c>
      <c r="C107" s="166" t="s">
        <v>657</v>
      </c>
      <c r="D107" s="166"/>
      <c r="E107" s="166"/>
      <c r="F107" s="204" t="s">
        <v>881</v>
      </c>
      <c r="G107" s="169">
        <v>47600</v>
      </c>
    </row>
    <row r="108" spans="1:7" ht="19.5" x14ac:dyDescent="0.35">
      <c r="A108" s="420">
        <v>107</v>
      </c>
      <c r="B108" s="411" t="s">
        <v>883</v>
      </c>
      <c r="C108" s="166" t="s">
        <v>657</v>
      </c>
      <c r="D108" s="166"/>
      <c r="E108" s="166"/>
      <c r="F108" s="204" t="s">
        <v>884</v>
      </c>
      <c r="G108" s="169">
        <v>47600</v>
      </c>
    </row>
    <row r="109" spans="1:7" ht="19.5" x14ac:dyDescent="0.35">
      <c r="A109" s="420">
        <v>108</v>
      </c>
      <c r="B109" s="411" t="s">
        <v>886</v>
      </c>
      <c r="C109" s="166" t="s">
        <v>657</v>
      </c>
      <c r="D109" s="166"/>
      <c r="E109" s="166"/>
      <c r="F109" s="204" t="s">
        <v>887</v>
      </c>
      <c r="G109" s="169">
        <v>47600</v>
      </c>
    </row>
    <row r="110" spans="1:7" ht="19.5" x14ac:dyDescent="0.35">
      <c r="A110" s="420">
        <v>109</v>
      </c>
      <c r="B110" s="411" t="s">
        <v>889</v>
      </c>
      <c r="C110" s="166" t="s">
        <v>657</v>
      </c>
      <c r="D110" s="166"/>
      <c r="E110" s="166"/>
      <c r="F110" s="204" t="s">
        <v>890</v>
      </c>
      <c r="G110" s="169">
        <v>45330</v>
      </c>
    </row>
    <row r="111" spans="1:7" ht="19.5" x14ac:dyDescent="0.35">
      <c r="A111" s="420">
        <v>110</v>
      </c>
      <c r="B111" s="411" t="s">
        <v>892</v>
      </c>
      <c r="C111" s="166" t="s">
        <v>657</v>
      </c>
      <c r="D111" s="166"/>
      <c r="E111" s="166"/>
      <c r="F111" s="204" t="s">
        <v>893</v>
      </c>
      <c r="G111" s="169">
        <v>45330</v>
      </c>
    </row>
    <row r="112" spans="1:7" ht="19.5" x14ac:dyDescent="0.35">
      <c r="A112" s="420">
        <v>111</v>
      </c>
      <c r="B112" s="411" t="s">
        <v>896</v>
      </c>
      <c r="C112" s="166" t="s">
        <v>657</v>
      </c>
      <c r="D112" s="166" t="s">
        <v>1574</v>
      </c>
      <c r="E112" s="166"/>
      <c r="F112" s="204" t="s">
        <v>897</v>
      </c>
      <c r="G112" s="169"/>
    </row>
    <row r="113" spans="1:7" ht="19.5" x14ac:dyDescent="0.35">
      <c r="A113" s="420">
        <v>112</v>
      </c>
      <c r="B113" s="411" t="s">
        <v>899</v>
      </c>
      <c r="C113" s="166" t="s">
        <v>657</v>
      </c>
      <c r="D113" s="166"/>
      <c r="E113" s="166"/>
      <c r="F113" s="204" t="s">
        <v>900</v>
      </c>
      <c r="G113" s="169">
        <v>45330</v>
      </c>
    </row>
    <row r="114" spans="1:7" ht="19.5" x14ac:dyDescent="0.35">
      <c r="A114" s="420">
        <v>113</v>
      </c>
      <c r="B114" s="411" t="s">
        <v>902</v>
      </c>
      <c r="C114" s="166" t="s">
        <v>657</v>
      </c>
      <c r="D114" s="166" t="s">
        <v>1571</v>
      </c>
      <c r="E114" s="166"/>
      <c r="F114" s="204" t="s">
        <v>903</v>
      </c>
      <c r="G114" s="169">
        <v>45330</v>
      </c>
    </row>
    <row r="115" spans="1:7" ht="19.5" x14ac:dyDescent="0.35">
      <c r="A115" s="420">
        <v>114</v>
      </c>
      <c r="B115" s="411" t="s">
        <v>905</v>
      </c>
      <c r="C115" s="166" t="s">
        <v>657</v>
      </c>
      <c r="D115" s="166" t="s">
        <v>1565</v>
      </c>
      <c r="E115" s="166"/>
      <c r="F115" s="204" t="s">
        <v>906</v>
      </c>
      <c r="G115" s="169">
        <v>45330</v>
      </c>
    </row>
    <row r="116" spans="1:7" ht="19.5" x14ac:dyDescent="0.35">
      <c r="A116" s="420">
        <v>115</v>
      </c>
      <c r="B116" s="411" t="s">
        <v>908</v>
      </c>
      <c r="C116" s="166" t="s">
        <v>657</v>
      </c>
      <c r="D116" s="166" t="s">
        <v>1573</v>
      </c>
      <c r="E116" s="166"/>
      <c r="F116" s="204" t="s">
        <v>909</v>
      </c>
      <c r="G116" s="169">
        <v>43170</v>
      </c>
    </row>
    <row r="117" spans="1:7" ht="19.5" x14ac:dyDescent="0.35">
      <c r="A117" s="420">
        <v>116</v>
      </c>
      <c r="B117" s="411" t="s">
        <v>911</v>
      </c>
      <c r="C117" s="166" t="s">
        <v>657</v>
      </c>
      <c r="D117" s="166" t="s">
        <v>1572</v>
      </c>
      <c r="E117" s="166"/>
      <c r="F117" s="204" t="s">
        <v>912</v>
      </c>
      <c r="G117" s="169">
        <v>43170</v>
      </c>
    </row>
    <row r="118" spans="1:7" ht="19.5" x14ac:dyDescent="0.35">
      <c r="A118" s="420">
        <v>117</v>
      </c>
      <c r="B118" s="411" t="s">
        <v>914</v>
      </c>
      <c r="C118" s="166" t="s">
        <v>657</v>
      </c>
      <c r="D118" s="166"/>
      <c r="E118" s="166"/>
      <c r="F118" s="204" t="s">
        <v>915</v>
      </c>
      <c r="G118" s="169">
        <v>43170</v>
      </c>
    </row>
    <row r="119" spans="1:7" ht="19.5" x14ac:dyDescent="0.35">
      <c r="A119" s="420">
        <v>118</v>
      </c>
      <c r="B119" s="411" t="s">
        <v>917</v>
      </c>
      <c r="C119" s="166" t="s">
        <v>657</v>
      </c>
      <c r="D119" s="166" t="s">
        <v>1574</v>
      </c>
      <c r="E119" s="166"/>
      <c r="F119" s="204" t="s">
        <v>918</v>
      </c>
      <c r="G119" s="169">
        <v>43170</v>
      </c>
    </row>
    <row r="120" spans="1:7" ht="19.5" x14ac:dyDescent="0.35">
      <c r="A120" s="420">
        <v>119</v>
      </c>
      <c r="B120" s="411" t="s">
        <v>921</v>
      </c>
      <c r="C120" s="166" t="s">
        <v>657</v>
      </c>
      <c r="D120" s="166"/>
      <c r="E120" s="166"/>
      <c r="F120" s="204" t="s">
        <v>922</v>
      </c>
      <c r="G120" s="169">
        <v>43170</v>
      </c>
    </row>
    <row r="121" spans="1:7" ht="19.5" x14ac:dyDescent="0.35">
      <c r="A121" s="420">
        <v>120</v>
      </c>
      <c r="B121" s="411" t="s">
        <v>925</v>
      </c>
      <c r="C121" s="166" t="s">
        <v>657</v>
      </c>
      <c r="D121" s="166"/>
      <c r="E121" s="166"/>
      <c r="F121" s="204" t="s">
        <v>926</v>
      </c>
      <c r="G121" s="169">
        <v>43170</v>
      </c>
    </row>
    <row r="122" spans="1:7" ht="19.5" x14ac:dyDescent="0.35">
      <c r="A122" s="420">
        <v>121</v>
      </c>
      <c r="B122" s="411" t="s">
        <v>928</v>
      </c>
      <c r="C122" s="166" t="s">
        <v>657</v>
      </c>
      <c r="D122" s="166" t="s">
        <v>1574</v>
      </c>
      <c r="E122" s="166"/>
      <c r="F122" s="162" t="s">
        <v>929</v>
      </c>
      <c r="G122" s="169">
        <v>43170</v>
      </c>
    </row>
    <row r="123" spans="1:7" ht="19.5" x14ac:dyDescent="0.35">
      <c r="A123" s="420">
        <v>122</v>
      </c>
      <c r="B123" s="411" t="s">
        <v>931</v>
      </c>
      <c r="C123" s="166" t="s">
        <v>657</v>
      </c>
      <c r="D123" s="166" t="s">
        <v>1575</v>
      </c>
      <c r="E123" s="166"/>
      <c r="F123" s="162" t="s">
        <v>932</v>
      </c>
      <c r="G123" s="169">
        <v>43170</v>
      </c>
    </row>
    <row r="124" spans="1:7" ht="19.5" x14ac:dyDescent="0.35">
      <c r="A124" s="420">
        <v>123</v>
      </c>
      <c r="B124" s="411" t="s">
        <v>934</v>
      </c>
      <c r="C124" s="166" t="s">
        <v>657</v>
      </c>
      <c r="D124" s="166"/>
      <c r="E124" s="166"/>
      <c r="F124" s="204" t="s">
        <v>935</v>
      </c>
      <c r="G124" s="169">
        <v>43170</v>
      </c>
    </row>
    <row r="125" spans="1:7" ht="19.5" x14ac:dyDescent="0.35">
      <c r="A125" s="420">
        <v>124</v>
      </c>
      <c r="B125" s="411" t="s">
        <v>938</v>
      </c>
      <c r="C125" s="166" t="s">
        <v>657</v>
      </c>
      <c r="D125" s="166"/>
      <c r="E125" s="166"/>
      <c r="F125" s="162" t="s">
        <v>939</v>
      </c>
      <c r="G125" s="169">
        <v>49980</v>
      </c>
    </row>
    <row r="126" spans="1:7" ht="19.5" x14ac:dyDescent="0.35">
      <c r="A126" s="420">
        <v>125</v>
      </c>
      <c r="B126" s="411" t="s">
        <v>942</v>
      </c>
      <c r="C126" s="166" t="s">
        <v>657</v>
      </c>
      <c r="D126" s="166" t="s">
        <v>1574</v>
      </c>
      <c r="E126" s="166"/>
      <c r="F126" s="162" t="s">
        <v>943</v>
      </c>
      <c r="G126" s="169">
        <v>43170</v>
      </c>
    </row>
    <row r="127" spans="1:7" ht="19.5" x14ac:dyDescent="0.35">
      <c r="A127" s="420">
        <v>126</v>
      </c>
      <c r="B127" s="411" t="s">
        <v>945</v>
      </c>
      <c r="C127" s="166" t="s">
        <v>657</v>
      </c>
      <c r="D127" s="166" t="s">
        <v>1570</v>
      </c>
      <c r="E127" s="166"/>
      <c r="F127" s="162" t="s">
        <v>946</v>
      </c>
      <c r="G127" s="169">
        <v>43170</v>
      </c>
    </row>
    <row r="128" spans="1:7" ht="19.5" x14ac:dyDescent="0.35">
      <c r="A128" s="420">
        <v>127</v>
      </c>
      <c r="B128" s="181" t="s">
        <v>948</v>
      </c>
      <c r="C128" s="166" t="s">
        <v>657</v>
      </c>
      <c r="D128" s="166"/>
      <c r="E128" s="166"/>
      <c r="F128" s="162" t="s">
        <v>949</v>
      </c>
      <c r="G128" s="169">
        <v>41110</v>
      </c>
    </row>
    <row r="129" spans="1:7" ht="19.5" x14ac:dyDescent="0.35">
      <c r="A129" s="420">
        <v>128</v>
      </c>
      <c r="B129" s="411" t="s">
        <v>951</v>
      </c>
      <c r="C129" s="166" t="s">
        <v>657</v>
      </c>
      <c r="D129" s="166" t="s">
        <v>1573</v>
      </c>
      <c r="E129" s="166"/>
      <c r="F129" s="162" t="s">
        <v>952</v>
      </c>
      <c r="G129" s="169">
        <v>39150</v>
      </c>
    </row>
    <row r="130" spans="1:7" ht="19.5" x14ac:dyDescent="0.35">
      <c r="A130" s="420">
        <v>129</v>
      </c>
      <c r="B130" s="411" t="s">
        <v>954</v>
      </c>
      <c r="C130" s="166" t="s">
        <v>657</v>
      </c>
      <c r="D130" s="166"/>
      <c r="E130" s="166"/>
      <c r="F130" s="162" t="s">
        <v>955</v>
      </c>
      <c r="G130" s="169">
        <v>39150</v>
      </c>
    </row>
    <row r="131" spans="1:7" ht="19.5" x14ac:dyDescent="0.35">
      <c r="A131" s="420">
        <v>130</v>
      </c>
      <c r="B131" s="411" t="s">
        <v>957</v>
      </c>
      <c r="C131" s="166" t="s">
        <v>657</v>
      </c>
      <c r="D131" s="166" t="s">
        <v>1574</v>
      </c>
      <c r="E131" s="166"/>
      <c r="F131" s="162" t="s">
        <v>958</v>
      </c>
      <c r="G131" s="169">
        <v>39150</v>
      </c>
    </row>
    <row r="132" spans="1:7" ht="19.5" x14ac:dyDescent="0.35">
      <c r="A132" s="420">
        <v>131</v>
      </c>
      <c r="B132" s="411" t="s">
        <v>960</v>
      </c>
      <c r="C132" s="166" t="s">
        <v>657</v>
      </c>
      <c r="D132" s="166" t="s">
        <v>1565</v>
      </c>
      <c r="E132" s="166"/>
      <c r="F132" s="162" t="s">
        <v>961</v>
      </c>
      <c r="G132" s="169">
        <v>39150</v>
      </c>
    </row>
    <row r="133" spans="1:7" ht="19.5" x14ac:dyDescent="0.35">
      <c r="A133" s="420">
        <v>132</v>
      </c>
      <c r="B133" s="411" t="s">
        <v>963</v>
      </c>
      <c r="C133" s="166" t="s">
        <v>657</v>
      </c>
      <c r="D133" s="166"/>
      <c r="E133" s="166"/>
      <c r="F133" s="162" t="s">
        <v>964</v>
      </c>
      <c r="G133" s="169">
        <v>39150</v>
      </c>
    </row>
    <row r="134" spans="1:7" ht="19.5" x14ac:dyDescent="0.35">
      <c r="A134" s="420">
        <v>133</v>
      </c>
      <c r="B134" s="411" t="s">
        <v>966</v>
      </c>
      <c r="C134" s="166" t="s">
        <v>657</v>
      </c>
      <c r="D134" s="166"/>
      <c r="E134" s="166"/>
      <c r="F134" s="162" t="s">
        <v>967</v>
      </c>
      <c r="G134" s="169">
        <v>39150</v>
      </c>
    </row>
    <row r="135" spans="1:7" ht="19.5" x14ac:dyDescent="0.35">
      <c r="A135" s="420">
        <v>134</v>
      </c>
      <c r="B135" s="411" t="s">
        <v>969</v>
      </c>
      <c r="C135" s="166" t="s">
        <v>657</v>
      </c>
      <c r="D135" s="166"/>
      <c r="E135" s="166"/>
      <c r="F135" s="162" t="s">
        <v>970</v>
      </c>
      <c r="G135" s="169">
        <v>37280</v>
      </c>
    </row>
    <row r="136" spans="1:7" ht="19.5" x14ac:dyDescent="0.35">
      <c r="A136" s="420">
        <v>135</v>
      </c>
      <c r="B136" s="411" t="s">
        <v>972</v>
      </c>
      <c r="C136" s="166" t="s">
        <v>657</v>
      </c>
      <c r="D136" s="166"/>
      <c r="E136" s="166"/>
      <c r="F136" s="162" t="s">
        <v>973</v>
      </c>
      <c r="G136" s="169">
        <v>37280</v>
      </c>
    </row>
    <row r="137" spans="1:7" ht="19.5" x14ac:dyDescent="0.35">
      <c r="A137" s="420">
        <v>136</v>
      </c>
      <c r="B137" s="413" t="s">
        <v>975</v>
      </c>
      <c r="C137" s="236" t="s">
        <v>976</v>
      </c>
      <c r="D137" s="236"/>
      <c r="E137" s="236"/>
      <c r="F137" s="204" t="s">
        <v>977</v>
      </c>
      <c r="G137" s="178">
        <v>37280</v>
      </c>
    </row>
    <row r="138" spans="1:7" ht="19.5" x14ac:dyDescent="0.35">
      <c r="A138" s="420">
        <v>137</v>
      </c>
      <c r="B138" s="411" t="s">
        <v>979</v>
      </c>
      <c r="C138" s="160" t="s">
        <v>980</v>
      </c>
      <c r="D138" s="160" t="s">
        <v>1556</v>
      </c>
      <c r="E138" s="160"/>
      <c r="F138" s="162" t="s">
        <v>981</v>
      </c>
      <c r="G138" s="169">
        <v>37280</v>
      </c>
    </row>
    <row r="139" spans="1:7" ht="19.5" x14ac:dyDescent="0.35">
      <c r="A139" s="420">
        <v>138</v>
      </c>
      <c r="B139" s="411" t="s">
        <v>983</v>
      </c>
      <c r="C139" s="160" t="s">
        <v>976</v>
      </c>
      <c r="D139" s="160" t="s">
        <v>1570</v>
      </c>
      <c r="E139" s="160"/>
      <c r="F139" s="162" t="s">
        <v>984</v>
      </c>
      <c r="G139" s="169">
        <v>37280</v>
      </c>
    </row>
    <row r="140" spans="1:7" ht="34.5" x14ac:dyDescent="0.35">
      <c r="A140" s="420">
        <v>139</v>
      </c>
      <c r="B140" s="411" t="s">
        <v>986</v>
      </c>
      <c r="C140" s="160" t="s">
        <v>987</v>
      </c>
      <c r="D140" s="160" t="s">
        <v>1576</v>
      </c>
      <c r="E140" s="160"/>
      <c r="F140" s="162" t="s">
        <v>988</v>
      </c>
      <c r="G140" s="169">
        <v>37280</v>
      </c>
    </row>
    <row r="141" spans="1:7" ht="19.5" x14ac:dyDescent="0.35">
      <c r="A141" s="420">
        <v>140</v>
      </c>
      <c r="B141" s="411" t="s">
        <v>990</v>
      </c>
      <c r="C141" s="160" t="s">
        <v>991</v>
      </c>
      <c r="D141" s="160" t="s">
        <v>1570</v>
      </c>
      <c r="E141" s="160"/>
      <c r="F141" s="162" t="s">
        <v>992</v>
      </c>
      <c r="G141" s="169">
        <v>37280</v>
      </c>
    </row>
    <row r="142" spans="1:7" ht="19.5" x14ac:dyDescent="0.35">
      <c r="A142" s="420">
        <v>141</v>
      </c>
      <c r="B142" s="411" t="s">
        <v>994</v>
      </c>
      <c r="C142" s="160" t="s">
        <v>828</v>
      </c>
      <c r="D142" s="160" t="s">
        <v>1561</v>
      </c>
      <c r="E142" s="160"/>
      <c r="F142" s="162" t="s">
        <v>995</v>
      </c>
      <c r="G142" s="169">
        <v>35500</v>
      </c>
    </row>
    <row r="143" spans="1:7" ht="19.5" x14ac:dyDescent="0.35">
      <c r="A143" s="420">
        <v>142</v>
      </c>
      <c r="B143" s="411" t="s">
        <v>997</v>
      </c>
      <c r="C143" s="160" t="s">
        <v>998</v>
      </c>
      <c r="D143" s="160" t="s">
        <v>1561</v>
      </c>
      <c r="E143" s="160"/>
      <c r="F143" s="162" t="s">
        <v>999</v>
      </c>
      <c r="G143" s="169">
        <v>35500</v>
      </c>
    </row>
    <row r="144" spans="1:7" x14ac:dyDescent="0.35">
      <c r="A144" s="420">
        <v>143</v>
      </c>
    </row>
    <row r="145" spans="1:7" ht="19.5" x14ac:dyDescent="0.35">
      <c r="A145" s="420">
        <v>144</v>
      </c>
      <c r="B145" s="411" t="s">
        <v>1002</v>
      </c>
      <c r="C145" s="160" t="s">
        <v>1003</v>
      </c>
      <c r="D145" s="160" t="s">
        <v>1572</v>
      </c>
      <c r="E145" s="160"/>
      <c r="F145" s="162" t="s">
        <v>1004</v>
      </c>
      <c r="G145" s="169">
        <v>29510</v>
      </c>
    </row>
    <row r="146" spans="1:7" ht="19.5" x14ac:dyDescent="0.35">
      <c r="A146" s="420">
        <v>145</v>
      </c>
      <c r="B146" s="411" t="s">
        <v>1006</v>
      </c>
      <c r="C146" s="160" t="s">
        <v>1007</v>
      </c>
      <c r="D146" s="160" t="s">
        <v>1571</v>
      </c>
      <c r="E146" s="160"/>
      <c r="F146" s="162" t="s">
        <v>1008</v>
      </c>
      <c r="G146" s="169">
        <v>26760</v>
      </c>
    </row>
    <row r="147" spans="1:7" ht="34.5" x14ac:dyDescent="0.35">
      <c r="A147" s="420">
        <v>146</v>
      </c>
      <c r="B147" s="411" t="s">
        <v>1010</v>
      </c>
      <c r="C147" s="160" t="s">
        <v>1011</v>
      </c>
      <c r="D147" s="160" t="s">
        <v>1568</v>
      </c>
      <c r="E147" s="160"/>
      <c r="F147" s="162" t="s">
        <v>1012</v>
      </c>
      <c r="G147" s="169">
        <v>24260</v>
      </c>
    </row>
    <row r="148" spans="1:7" ht="34.5" x14ac:dyDescent="0.35">
      <c r="A148" s="420">
        <v>147</v>
      </c>
      <c r="B148" s="411" t="s">
        <v>1014</v>
      </c>
      <c r="C148" s="160" t="s">
        <v>1015</v>
      </c>
      <c r="D148" s="160" t="s">
        <v>1576</v>
      </c>
      <c r="E148" s="160"/>
      <c r="F148" s="162" t="s">
        <v>1016</v>
      </c>
      <c r="G148" s="169">
        <v>24260</v>
      </c>
    </row>
    <row r="149" spans="1:7" ht="19.5" x14ac:dyDescent="0.35">
      <c r="A149" s="420">
        <v>148</v>
      </c>
      <c r="B149" s="411" t="s">
        <v>1018</v>
      </c>
      <c r="C149" s="160" t="s">
        <v>1000</v>
      </c>
      <c r="D149" s="160"/>
      <c r="E149" s="160"/>
      <c r="F149" s="162" t="s">
        <v>1019</v>
      </c>
      <c r="G149" s="169">
        <v>25480</v>
      </c>
    </row>
    <row r="150" spans="1:7" ht="19.5" x14ac:dyDescent="0.35">
      <c r="A150" s="420">
        <v>149</v>
      </c>
      <c r="B150" s="411" t="s">
        <v>1021</v>
      </c>
      <c r="C150" s="160" t="s">
        <v>1000</v>
      </c>
      <c r="D150" s="160"/>
      <c r="E150" s="160"/>
      <c r="F150" s="162" t="s">
        <v>1022</v>
      </c>
      <c r="G150" s="169">
        <v>25480</v>
      </c>
    </row>
    <row r="151" spans="1:7" ht="19.5" x14ac:dyDescent="0.35">
      <c r="A151" s="420">
        <v>150</v>
      </c>
      <c r="B151" s="411" t="s">
        <v>1024</v>
      </c>
      <c r="C151" s="160" t="s">
        <v>1025</v>
      </c>
      <c r="D151" s="160" t="s">
        <v>1571</v>
      </c>
      <c r="E151" s="160"/>
      <c r="F151" s="162" t="s">
        <v>1026</v>
      </c>
      <c r="G151" s="169">
        <v>29510</v>
      </c>
    </row>
    <row r="152" spans="1:7" ht="19.5" x14ac:dyDescent="0.35">
      <c r="A152" s="420">
        <v>151</v>
      </c>
      <c r="B152" s="411" t="s">
        <v>1028</v>
      </c>
      <c r="C152" s="160" t="s">
        <v>1029</v>
      </c>
      <c r="D152" s="160" t="s">
        <v>1567</v>
      </c>
      <c r="E152" s="160"/>
      <c r="F152" s="162" t="s">
        <v>1030</v>
      </c>
      <c r="G152" s="169">
        <v>25480</v>
      </c>
    </row>
    <row r="153" spans="1:7" ht="19.5" x14ac:dyDescent="0.35">
      <c r="A153" s="420">
        <v>152</v>
      </c>
      <c r="B153" s="411" t="s">
        <v>1032</v>
      </c>
      <c r="C153" s="160" t="s">
        <v>1033</v>
      </c>
      <c r="D153" s="160" t="s">
        <v>1568</v>
      </c>
      <c r="E153" s="160"/>
      <c r="F153" s="162" t="s">
        <v>1034</v>
      </c>
      <c r="G153" s="169">
        <v>24260</v>
      </c>
    </row>
    <row r="154" spans="1:7" ht="19.5" x14ac:dyDescent="0.35">
      <c r="A154" s="420">
        <v>153</v>
      </c>
      <c r="B154" s="411" t="s">
        <v>1036</v>
      </c>
      <c r="C154" s="160" t="s">
        <v>1033</v>
      </c>
      <c r="D154" s="160" t="s">
        <v>1568</v>
      </c>
      <c r="E154" s="160"/>
      <c r="F154" s="162" t="s">
        <v>1037</v>
      </c>
      <c r="G154" s="169">
        <v>24260</v>
      </c>
    </row>
    <row r="155" spans="1:7" ht="19.5" x14ac:dyDescent="0.35">
      <c r="A155" s="420">
        <v>154</v>
      </c>
      <c r="B155" s="411" t="s">
        <v>1039</v>
      </c>
      <c r="C155" s="160" t="s">
        <v>1040</v>
      </c>
      <c r="D155" s="160" t="s">
        <v>1556</v>
      </c>
      <c r="E155" s="160"/>
      <c r="F155" s="162" t="s">
        <v>1041</v>
      </c>
      <c r="G155" s="169">
        <v>24260</v>
      </c>
    </row>
    <row r="156" spans="1:7" ht="19.5" x14ac:dyDescent="0.35">
      <c r="A156" s="420">
        <v>155</v>
      </c>
      <c r="B156" s="411" t="s">
        <v>1043</v>
      </c>
      <c r="C156" s="160" t="s">
        <v>1040</v>
      </c>
      <c r="D156" s="160" t="s">
        <v>1556</v>
      </c>
      <c r="E156" s="160"/>
      <c r="F156" s="162" t="s">
        <v>1044</v>
      </c>
      <c r="G156" s="169">
        <v>24260</v>
      </c>
    </row>
    <row r="157" spans="1:7" ht="19.5" x14ac:dyDescent="0.35">
      <c r="A157" s="420">
        <v>156</v>
      </c>
      <c r="B157" s="411" t="s">
        <v>1046</v>
      </c>
      <c r="C157" s="160" t="s">
        <v>1047</v>
      </c>
      <c r="D157" s="160" t="s">
        <v>1572</v>
      </c>
      <c r="E157" s="160"/>
      <c r="F157" s="162" t="s">
        <v>1048</v>
      </c>
      <c r="G157" s="169">
        <v>24260</v>
      </c>
    </row>
    <row r="158" spans="1:7" ht="19.5" x14ac:dyDescent="0.35">
      <c r="A158" s="420">
        <v>157</v>
      </c>
      <c r="B158" s="411" t="s">
        <v>1050</v>
      </c>
      <c r="C158" s="160" t="s">
        <v>1047</v>
      </c>
      <c r="D158" s="160" t="s">
        <v>1572</v>
      </c>
      <c r="E158" s="160"/>
      <c r="F158" s="162" t="s">
        <v>1051</v>
      </c>
      <c r="G158" s="169">
        <v>26760</v>
      </c>
    </row>
    <row r="159" spans="1:7" ht="19.5" x14ac:dyDescent="0.35">
      <c r="A159" s="420">
        <v>158</v>
      </c>
      <c r="B159" s="411" t="s">
        <v>1053</v>
      </c>
      <c r="C159" s="160" t="s">
        <v>1047</v>
      </c>
      <c r="D159" s="160" t="s">
        <v>1572</v>
      </c>
      <c r="E159" s="160"/>
      <c r="F159" s="162" t="s">
        <v>1054</v>
      </c>
      <c r="G159" s="169">
        <v>24260</v>
      </c>
    </row>
    <row r="160" spans="1:7" ht="19.5" x14ac:dyDescent="0.35">
      <c r="A160" s="420">
        <v>159</v>
      </c>
      <c r="B160" s="411" t="s">
        <v>1056</v>
      </c>
      <c r="C160" s="160" t="s">
        <v>1029</v>
      </c>
      <c r="D160" s="160" t="s">
        <v>1567</v>
      </c>
      <c r="E160" s="160"/>
      <c r="F160" s="162" t="s">
        <v>1057</v>
      </c>
      <c r="G160" s="169">
        <v>24260</v>
      </c>
    </row>
    <row r="161" spans="1:7" ht="19.5" x14ac:dyDescent="0.35">
      <c r="A161" s="420">
        <v>160</v>
      </c>
      <c r="B161" s="411" t="s">
        <v>1059</v>
      </c>
      <c r="C161" s="160" t="s">
        <v>1029</v>
      </c>
      <c r="D161" s="160" t="s">
        <v>1567</v>
      </c>
      <c r="E161" s="160"/>
      <c r="F161" s="162" t="s">
        <v>1060</v>
      </c>
      <c r="G161" s="169">
        <v>24260</v>
      </c>
    </row>
    <row r="162" spans="1:7" ht="19.5" x14ac:dyDescent="0.35">
      <c r="A162" s="420">
        <v>161</v>
      </c>
      <c r="B162" s="411" t="s">
        <v>1062</v>
      </c>
      <c r="C162" s="160" t="s">
        <v>1029</v>
      </c>
      <c r="D162" s="160" t="s">
        <v>1567</v>
      </c>
      <c r="E162" s="160"/>
      <c r="F162" s="162" t="s">
        <v>1063</v>
      </c>
      <c r="G162" s="169">
        <v>24260</v>
      </c>
    </row>
    <row r="163" spans="1:7" ht="19.5" x14ac:dyDescent="0.35">
      <c r="A163" s="420">
        <v>162</v>
      </c>
      <c r="B163" s="411" t="s">
        <v>1065</v>
      </c>
      <c r="C163" s="160" t="s">
        <v>1040</v>
      </c>
      <c r="D163" s="160" t="s">
        <v>1556</v>
      </c>
      <c r="E163" s="160"/>
      <c r="F163" s="162" t="s">
        <v>1066</v>
      </c>
      <c r="G163" s="169">
        <v>24260</v>
      </c>
    </row>
    <row r="164" spans="1:7" ht="19.5" x14ac:dyDescent="0.35">
      <c r="A164" s="420">
        <v>163</v>
      </c>
      <c r="B164" s="411" t="s">
        <v>1068</v>
      </c>
      <c r="C164" s="160" t="s">
        <v>1025</v>
      </c>
      <c r="D164" s="160" t="s">
        <v>1571</v>
      </c>
      <c r="E164" s="160"/>
      <c r="F164" s="162" t="s">
        <v>1069</v>
      </c>
      <c r="G164" s="169">
        <v>24260</v>
      </c>
    </row>
    <row r="165" spans="1:7" ht="19.5" x14ac:dyDescent="0.35">
      <c r="A165" s="420">
        <v>164</v>
      </c>
      <c r="B165" s="411" t="s">
        <v>1071</v>
      </c>
      <c r="C165" s="160" t="s">
        <v>1025</v>
      </c>
      <c r="D165" s="160" t="s">
        <v>1571</v>
      </c>
      <c r="E165" s="160"/>
      <c r="F165" s="162" t="s">
        <v>1072</v>
      </c>
      <c r="G165" s="169">
        <v>24260</v>
      </c>
    </row>
    <row r="166" spans="1:7" ht="19.5" x14ac:dyDescent="0.35">
      <c r="A166" s="420">
        <v>165</v>
      </c>
      <c r="B166" s="411" t="s">
        <v>1074</v>
      </c>
      <c r="C166" s="160" t="s">
        <v>1025</v>
      </c>
      <c r="D166" s="160" t="s">
        <v>1571</v>
      </c>
      <c r="E166" s="160"/>
      <c r="F166" s="162" t="s">
        <v>1075</v>
      </c>
      <c r="G166" s="169">
        <v>24260</v>
      </c>
    </row>
    <row r="167" spans="1:7" ht="19.5" x14ac:dyDescent="0.35">
      <c r="A167" s="420">
        <v>166</v>
      </c>
      <c r="B167" s="411" t="s">
        <v>1077</v>
      </c>
      <c r="C167" s="160" t="s">
        <v>1025</v>
      </c>
      <c r="D167" s="160" t="s">
        <v>1571</v>
      </c>
      <c r="E167" s="160"/>
      <c r="F167" s="162" t="s">
        <v>1078</v>
      </c>
      <c r="G167" s="169">
        <v>24260</v>
      </c>
    </row>
    <row r="168" spans="1:7" ht="19.5" x14ac:dyDescent="0.35">
      <c r="A168" s="420">
        <v>167</v>
      </c>
      <c r="B168" s="411" t="s">
        <v>1080</v>
      </c>
      <c r="C168" s="160" t="s">
        <v>1081</v>
      </c>
      <c r="D168" s="160" t="s">
        <v>1575</v>
      </c>
      <c r="E168" s="160"/>
      <c r="F168" s="162" t="s">
        <v>1082</v>
      </c>
      <c r="G168" s="169">
        <v>24260</v>
      </c>
    </row>
    <row r="169" spans="1:7" ht="19.5" x14ac:dyDescent="0.35">
      <c r="A169" s="420">
        <v>168</v>
      </c>
      <c r="B169" s="411" t="s">
        <v>1084</v>
      </c>
      <c r="C169" s="160" t="s">
        <v>1085</v>
      </c>
      <c r="D169" s="160" t="s">
        <v>1573</v>
      </c>
      <c r="E169" s="160"/>
      <c r="F169" s="162" t="s">
        <v>1086</v>
      </c>
      <c r="G169" s="169">
        <v>24260</v>
      </c>
    </row>
    <row r="170" spans="1:7" ht="19.5" x14ac:dyDescent="0.35">
      <c r="A170" s="420">
        <v>169</v>
      </c>
      <c r="B170" s="411" t="s">
        <v>1088</v>
      </c>
      <c r="C170" s="160" t="s">
        <v>1081</v>
      </c>
      <c r="D170" s="160" t="s">
        <v>1578</v>
      </c>
      <c r="E170" s="160"/>
      <c r="F170" s="162" t="s">
        <v>1089</v>
      </c>
      <c r="G170" s="169">
        <v>24260</v>
      </c>
    </row>
    <row r="171" spans="1:7" ht="19.5" x14ac:dyDescent="0.35">
      <c r="A171" s="420">
        <v>170</v>
      </c>
      <c r="B171" s="411" t="s">
        <v>1091</v>
      </c>
      <c r="C171" s="160" t="s">
        <v>1040</v>
      </c>
      <c r="D171" s="160" t="s">
        <v>1556</v>
      </c>
      <c r="E171" s="160"/>
      <c r="F171" s="162" t="s">
        <v>1092</v>
      </c>
      <c r="G171" s="169">
        <v>24260</v>
      </c>
    </row>
    <row r="172" spans="1:7" ht="19.5" x14ac:dyDescent="0.35">
      <c r="A172" s="420">
        <v>171</v>
      </c>
      <c r="B172" s="411" t="s">
        <v>1094</v>
      </c>
      <c r="C172" s="160" t="s">
        <v>1029</v>
      </c>
      <c r="D172" s="160" t="s">
        <v>1577</v>
      </c>
      <c r="E172" s="160"/>
      <c r="F172" s="162" t="s">
        <v>1095</v>
      </c>
      <c r="G172" s="169">
        <v>24260</v>
      </c>
    </row>
    <row r="173" spans="1:7" ht="19.5" x14ac:dyDescent="0.35">
      <c r="A173" s="420">
        <v>172</v>
      </c>
      <c r="B173" s="411" t="s">
        <v>1097</v>
      </c>
      <c r="C173" s="160" t="s">
        <v>1029</v>
      </c>
      <c r="D173" s="160" t="s">
        <v>1577</v>
      </c>
      <c r="E173" s="160"/>
      <c r="F173" s="162" t="s">
        <v>1098</v>
      </c>
      <c r="G173" s="169">
        <v>24260</v>
      </c>
    </row>
    <row r="174" spans="1:7" ht="19.5" x14ac:dyDescent="0.35">
      <c r="A174" s="420">
        <v>173</v>
      </c>
      <c r="B174" s="411" t="s">
        <v>1100</v>
      </c>
      <c r="C174" s="160" t="s">
        <v>1040</v>
      </c>
      <c r="D174" s="160" t="s">
        <v>1556</v>
      </c>
      <c r="E174" s="160"/>
      <c r="F174" s="162" t="s">
        <v>1101</v>
      </c>
      <c r="G174" s="169">
        <v>24260</v>
      </c>
    </row>
    <row r="175" spans="1:7" ht="34.5" x14ac:dyDescent="0.35">
      <c r="A175" s="420">
        <v>174</v>
      </c>
      <c r="B175" s="411" t="s">
        <v>1103</v>
      </c>
      <c r="C175" s="160" t="s">
        <v>1104</v>
      </c>
      <c r="D175" s="160" t="s">
        <v>1576</v>
      </c>
      <c r="E175" s="160"/>
      <c r="F175" s="162" t="s">
        <v>1105</v>
      </c>
      <c r="G175" s="169">
        <v>24260</v>
      </c>
    </row>
    <row r="176" spans="1:7" ht="34.5" x14ac:dyDescent="0.35">
      <c r="A176" s="420">
        <v>175</v>
      </c>
      <c r="B176" s="411" t="s">
        <v>1107</v>
      </c>
      <c r="C176" s="160" t="s">
        <v>1108</v>
      </c>
      <c r="D176" s="160" t="s">
        <v>1580</v>
      </c>
      <c r="E176" s="160"/>
      <c r="F176" s="162" t="s">
        <v>1109</v>
      </c>
      <c r="G176" s="169">
        <v>24260</v>
      </c>
    </row>
    <row r="177" spans="1:7" ht="34.5" x14ac:dyDescent="0.35">
      <c r="A177" s="420">
        <v>176</v>
      </c>
      <c r="B177" s="411" t="s">
        <v>1111</v>
      </c>
      <c r="C177" s="160" t="s">
        <v>1112</v>
      </c>
      <c r="D177" s="160" t="s">
        <v>1576</v>
      </c>
      <c r="E177" s="160"/>
      <c r="F177" s="162" t="s">
        <v>1113</v>
      </c>
      <c r="G177" s="169">
        <v>24260</v>
      </c>
    </row>
    <row r="178" spans="1:7" ht="19.5" x14ac:dyDescent="0.35">
      <c r="A178" s="420">
        <v>177</v>
      </c>
      <c r="B178" s="411" t="s">
        <v>1115</v>
      </c>
      <c r="C178" s="160" t="s">
        <v>1116</v>
      </c>
      <c r="D178" s="160" t="s">
        <v>1579</v>
      </c>
      <c r="E178" s="160"/>
      <c r="F178" s="162" t="s">
        <v>1117</v>
      </c>
      <c r="G178" s="169">
        <v>24260</v>
      </c>
    </row>
    <row r="179" spans="1:7" x14ac:dyDescent="0.35">
      <c r="A179" s="420">
        <v>178</v>
      </c>
      <c r="B179" s="245"/>
      <c r="C179" s="245"/>
      <c r="D179" s="245"/>
      <c r="E179" s="245"/>
      <c r="F179" s="246"/>
      <c r="G179" s="169"/>
    </row>
    <row r="180" spans="1:7" x14ac:dyDescent="0.35">
      <c r="A180" s="420">
        <v>179</v>
      </c>
      <c r="B180" s="388" t="s">
        <v>1132</v>
      </c>
      <c r="C180" s="388" t="s">
        <v>1133</v>
      </c>
      <c r="D180" s="388" t="s">
        <v>1581</v>
      </c>
      <c r="E180" s="388"/>
      <c r="F180" s="389" t="s">
        <v>1134</v>
      </c>
      <c r="G180" s="263">
        <v>71200</v>
      </c>
    </row>
    <row r="181" spans="1:7" x14ac:dyDescent="0.35">
      <c r="A181" s="420">
        <v>180</v>
      </c>
      <c r="B181" s="388" t="s">
        <v>1136</v>
      </c>
      <c r="C181" s="388" t="s">
        <v>1137</v>
      </c>
      <c r="D181" s="388" t="s">
        <v>1582</v>
      </c>
      <c r="E181" s="388"/>
      <c r="F181" s="389" t="s">
        <v>1138</v>
      </c>
      <c r="G181" s="263">
        <v>71200</v>
      </c>
    </row>
    <row r="182" spans="1:7" x14ac:dyDescent="0.35">
      <c r="A182" s="420">
        <v>181</v>
      </c>
      <c r="B182" s="397" t="s">
        <v>1140</v>
      </c>
      <c r="C182" s="388" t="s">
        <v>1141</v>
      </c>
      <c r="D182" s="388" t="s">
        <v>1583</v>
      </c>
      <c r="E182" s="388"/>
      <c r="F182" s="389" t="s">
        <v>1142</v>
      </c>
      <c r="G182" s="263">
        <v>63960</v>
      </c>
    </row>
    <row r="183" spans="1:7" x14ac:dyDescent="0.35">
      <c r="A183" s="420">
        <v>182</v>
      </c>
      <c r="B183" s="397" t="s">
        <v>1145</v>
      </c>
      <c r="C183" s="388" t="s">
        <v>1146</v>
      </c>
      <c r="D183" s="388" t="s">
        <v>1584</v>
      </c>
      <c r="E183" s="388"/>
      <c r="F183" s="389" t="s">
        <v>1147</v>
      </c>
      <c r="G183" s="263">
        <v>63960</v>
      </c>
    </row>
    <row r="184" spans="1:7" x14ac:dyDescent="0.35">
      <c r="A184" s="420">
        <v>183</v>
      </c>
      <c r="B184" s="414" t="s">
        <v>1149</v>
      </c>
      <c r="C184" s="391" t="s">
        <v>1150</v>
      </c>
      <c r="D184" s="391" t="s">
        <v>1582</v>
      </c>
      <c r="E184" s="391"/>
      <c r="F184" s="392" t="s">
        <v>1151</v>
      </c>
      <c r="G184" s="264">
        <v>53610</v>
      </c>
    </row>
    <row r="185" spans="1:7" x14ac:dyDescent="0.35">
      <c r="A185" s="420">
        <v>184</v>
      </c>
      <c r="B185" s="397" t="s">
        <v>1153</v>
      </c>
      <c r="C185" s="388" t="s">
        <v>1154</v>
      </c>
      <c r="D185" s="388" t="s">
        <v>1585</v>
      </c>
      <c r="E185" s="388"/>
      <c r="F185" s="389" t="s">
        <v>1155</v>
      </c>
      <c r="G185" s="263">
        <v>46970</v>
      </c>
    </row>
    <row r="186" spans="1:7" x14ac:dyDescent="0.35">
      <c r="A186" s="420">
        <v>185</v>
      </c>
      <c r="B186" s="397" t="s">
        <v>1157</v>
      </c>
      <c r="C186" s="388" t="s">
        <v>1158</v>
      </c>
      <c r="D186" s="388" t="s">
        <v>1586</v>
      </c>
      <c r="E186" s="388"/>
      <c r="F186" s="389" t="s">
        <v>1159</v>
      </c>
      <c r="G186" s="263">
        <v>46970</v>
      </c>
    </row>
    <row r="187" spans="1:7" x14ac:dyDescent="0.35">
      <c r="A187" s="420">
        <v>186</v>
      </c>
      <c r="B187" s="397" t="s">
        <v>165</v>
      </c>
      <c r="C187" s="388" t="s">
        <v>1161</v>
      </c>
      <c r="D187" s="388" t="s">
        <v>1581</v>
      </c>
      <c r="E187" s="388"/>
      <c r="F187" s="389" t="s">
        <v>1162</v>
      </c>
      <c r="G187" s="263">
        <v>53610</v>
      </c>
    </row>
    <row r="188" spans="1:7" x14ac:dyDescent="0.35">
      <c r="A188" s="420">
        <v>187</v>
      </c>
      <c r="B188" s="397" t="s">
        <v>1164</v>
      </c>
      <c r="C188" s="388" t="s">
        <v>1150</v>
      </c>
      <c r="D188" s="388" t="s">
        <v>1582</v>
      </c>
      <c r="E188" s="388"/>
      <c r="F188" s="389" t="s">
        <v>1165</v>
      </c>
      <c r="G188" s="263">
        <v>44940</v>
      </c>
    </row>
    <row r="189" spans="1:7" x14ac:dyDescent="0.35">
      <c r="A189" s="420">
        <v>188</v>
      </c>
      <c r="B189" s="397" t="s">
        <v>1167</v>
      </c>
      <c r="C189" s="388" t="s">
        <v>1168</v>
      </c>
      <c r="D189" s="388" t="s">
        <v>1587</v>
      </c>
      <c r="E189" s="388"/>
      <c r="F189" s="389" t="s">
        <v>1169</v>
      </c>
      <c r="G189" s="263">
        <v>43170</v>
      </c>
    </row>
    <row r="190" spans="1:7" x14ac:dyDescent="0.35">
      <c r="A190" s="420">
        <v>189</v>
      </c>
      <c r="B190" s="397" t="s">
        <v>1172</v>
      </c>
      <c r="C190" s="388" t="s">
        <v>1173</v>
      </c>
      <c r="D190" s="388"/>
      <c r="E190" s="388"/>
      <c r="F190" s="389" t="s">
        <v>1174</v>
      </c>
      <c r="G190" s="263">
        <v>41110</v>
      </c>
    </row>
    <row r="191" spans="1:7" x14ac:dyDescent="0.35">
      <c r="A191" s="420">
        <v>190</v>
      </c>
      <c r="B191" s="397" t="s">
        <v>1176</v>
      </c>
      <c r="C191" s="388" t="s">
        <v>1177</v>
      </c>
      <c r="D191" s="388"/>
      <c r="E191" s="388"/>
      <c r="F191" s="389" t="s">
        <v>1178</v>
      </c>
      <c r="G191" s="263">
        <v>39150</v>
      </c>
    </row>
    <row r="192" spans="1:7" x14ac:dyDescent="0.35">
      <c r="A192" s="420">
        <v>191</v>
      </c>
      <c r="B192" s="397" t="s">
        <v>1180</v>
      </c>
      <c r="C192" s="388" t="s">
        <v>1181</v>
      </c>
      <c r="D192" s="388" t="s">
        <v>1581</v>
      </c>
      <c r="E192" s="388"/>
      <c r="F192" s="389" t="s">
        <v>1182</v>
      </c>
      <c r="G192" s="263">
        <v>40840</v>
      </c>
    </row>
    <row r="193" spans="1:7" x14ac:dyDescent="0.35">
      <c r="A193" s="420">
        <v>192</v>
      </c>
      <c r="B193" s="397" t="s">
        <v>1184</v>
      </c>
      <c r="C193" s="388" t="s">
        <v>1185</v>
      </c>
      <c r="D193" s="388"/>
      <c r="E193" s="388"/>
      <c r="F193" s="389" t="s">
        <v>1186</v>
      </c>
      <c r="G193" s="263">
        <v>40840</v>
      </c>
    </row>
    <row r="194" spans="1:7" x14ac:dyDescent="0.35">
      <c r="A194" s="420">
        <v>193</v>
      </c>
      <c r="B194" s="397" t="s">
        <v>1188</v>
      </c>
      <c r="C194" s="388" t="s">
        <v>1189</v>
      </c>
      <c r="D194" s="388" t="s">
        <v>1584</v>
      </c>
      <c r="E194" s="388"/>
      <c r="F194" s="389" t="s">
        <v>1190</v>
      </c>
      <c r="G194" s="263">
        <v>40840</v>
      </c>
    </row>
    <row r="195" spans="1:7" x14ac:dyDescent="0.35">
      <c r="A195" s="420">
        <v>194</v>
      </c>
      <c r="B195" s="397" t="s">
        <v>1193</v>
      </c>
      <c r="C195" s="388" t="s">
        <v>1194</v>
      </c>
      <c r="D195" s="388"/>
      <c r="E195" s="388"/>
      <c r="F195" s="389" t="s">
        <v>1195</v>
      </c>
      <c r="G195" s="263">
        <v>45040</v>
      </c>
    </row>
    <row r="196" spans="1:7" x14ac:dyDescent="0.35">
      <c r="A196" s="420">
        <v>195</v>
      </c>
      <c r="B196" s="394" t="s">
        <v>1197</v>
      </c>
      <c r="C196" s="388" t="s">
        <v>1198</v>
      </c>
      <c r="D196" s="388"/>
      <c r="E196" s="388"/>
      <c r="F196" s="389" t="s">
        <v>1199</v>
      </c>
      <c r="G196" s="263">
        <v>45040</v>
      </c>
    </row>
    <row r="197" spans="1:7" x14ac:dyDescent="0.35">
      <c r="A197" s="420">
        <v>196</v>
      </c>
      <c r="B197" s="395" t="s">
        <v>1201</v>
      </c>
      <c r="C197" s="391" t="s">
        <v>1198</v>
      </c>
      <c r="D197" s="391"/>
      <c r="E197" s="391"/>
      <c r="F197" s="392" t="s">
        <v>1202</v>
      </c>
      <c r="G197" s="264">
        <v>42890</v>
      </c>
    </row>
    <row r="198" spans="1:7" x14ac:dyDescent="0.35">
      <c r="A198" s="420">
        <v>197</v>
      </c>
      <c r="B198" s="395" t="s">
        <v>1205</v>
      </c>
      <c r="C198" s="391" t="s">
        <v>1206</v>
      </c>
      <c r="D198" s="391" t="s">
        <v>1588</v>
      </c>
      <c r="E198" s="391"/>
      <c r="F198" s="392" t="s">
        <v>1207</v>
      </c>
      <c r="G198" s="264">
        <v>33580</v>
      </c>
    </row>
    <row r="199" spans="1:7" x14ac:dyDescent="0.35">
      <c r="A199" s="420">
        <v>198</v>
      </c>
      <c r="B199" s="397" t="s">
        <v>1209</v>
      </c>
      <c r="C199" s="388" t="s">
        <v>1206</v>
      </c>
      <c r="D199" s="391" t="s">
        <v>1588</v>
      </c>
      <c r="E199" s="391"/>
      <c r="F199" s="389" t="s">
        <v>1210</v>
      </c>
      <c r="G199" s="263">
        <v>35260</v>
      </c>
    </row>
    <row r="200" spans="1:7" x14ac:dyDescent="0.35">
      <c r="A200" s="420">
        <v>199</v>
      </c>
      <c r="B200" s="394" t="s">
        <v>1213</v>
      </c>
      <c r="C200" s="396" t="s">
        <v>1214</v>
      </c>
      <c r="D200" s="396" t="s">
        <v>1569</v>
      </c>
      <c r="E200" s="396"/>
      <c r="F200" s="389" t="s">
        <v>1215</v>
      </c>
      <c r="G200" s="263">
        <v>42890</v>
      </c>
    </row>
    <row r="201" spans="1:7" x14ac:dyDescent="0.35">
      <c r="A201" s="420">
        <v>200</v>
      </c>
      <c r="B201" s="397" t="s">
        <v>1218</v>
      </c>
      <c r="C201" s="388" t="s">
        <v>1219</v>
      </c>
      <c r="D201" s="388"/>
      <c r="E201" s="388"/>
      <c r="F201" s="389" t="s">
        <v>1220</v>
      </c>
      <c r="G201" s="263">
        <v>37030</v>
      </c>
    </row>
    <row r="202" spans="1:7" x14ac:dyDescent="0.35">
      <c r="A202" s="420">
        <v>201</v>
      </c>
      <c r="B202" s="397" t="s">
        <v>1222</v>
      </c>
      <c r="C202" s="388" t="s">
        <v>1223</v>
      </c>
      <c r="D202" s="388" t="s">
        <v>1589</v>
      </c>
      <c r="E202" s="388"/>
      <c r="F202" s="389" t="s">
        <v>1224</v>
      </c>
      <c r="G202" s="263">
        <v>35260</v>
      </c>
    </row>
    <row r="203" spans="1:7" x14ac:dyDescent="0.35">
      <c r="A203" s="420">
        <v>202</v>
      </c>
      <c r="B203" s="397" t="s">
        <v>1227</v>
      </c>
      <c r="C203" s="388" t="s">
        <v>1228</v>
      </c>
      <c r="D203" s="388" t="s">
        <v>1589</v>
      </c>
      <c r="E203" s="388"/>
      <c r="F203" s="389" t="s">
        <v>1229</v>
      </c>
      <c r="G203" s="263">
        <v>35260</v>
      </c>
    </row>
    <row r="204" spans="1:7" x14ac:dyDescent="0.35">
      <c r="A204" s="420">
        <v>203</v>
      </c>
      <c r="B204" s="397" t="s">
        <v>1231</v>
      </c>
      <c r="C204" s="388" t="s">
        <v>1228</v>
      </c>
      <c r="D204" s="388" t="s">
        <v>1590</v>
      </c>
      <c r="E204" s="388"/>
      <c r="F204" s="389" t="s">
        <v>1232</v>
      </c>
      <c r="G204" s="263">
        <v>33580</v>
      </c>
    </row>
    <row r="205" spans="1:7" x14ac:dyDescent="0.35">
      <c r="A205" s="420">
        <v>204</v>
      </c>
      <c r="B205" s="397" t="s">
        <v>140</v>
      </c>
      <c r="C205" s="388" t="s">
        <v>1228</v>
      </c>
      <c r="D205" s="388" t="s">
        <v>1591</v>
      </c>
      <c r="E205" s="388"/>
      <c r="F205" s="389" t="s">
        <v>1235</v>
      </c>
      <c r="G205" s="263">
        <v>33580</v>
      </c>
    </row>
    <row r="206" spans="1:7" x14ac:dyDescent="0.35">
      <c r="A206" s="420">
        <v>205</v>
      </c>
      <c r="B206" s="397" t="s">
        <v>1238</v>
      </c>
      <c r="C206" s="388" t="s">
        <v>1228</v>
      </c>
      <c r="D206" s="388" t="s">
        <v>1590</v>
      </c>
      <c r="E206" s="388"/>
      <c r="F206" s="389" t="s">
        <v>1239</v>
      </c>
      <c r="G206" s="263">
        <v>33580</v>
      </c>
    </row>
    <row r="207" spans="1:7" x14ac:dyDescent="0.35">
      <c r="A207" s="420">
        <v>206</v>
      </c>
      <c r="B207" s="397" t="s">
        <v>1241</v>
      </c>
      <c r="C207" s="388" t="s">
        <v>1242</v>
      </c>
      <c r="D207" s="388" t="s">
        <v>1590</v>
      </c>
      <c r="E207" s="388"/>
      <c r="F207" s="389" t="s">
        <v>1243</v>
      </c>
      <c r="G207" s="263">
        <v>33580</v>
      </c>
    </row>
    <row r="208" spans="1:7" x14ac:dyDescent="0.35">
      <c r="A208" s="420">
        <v>207</v>
      </c>
      <c r="B208" s="397" t="s">
        <v>1246</v>
      </c>
      <c r="C208" s="388" t="s">
        <v>1247</v>
      </c>
      <c r="D208" s="388" t="s">
        <v>1592</v>
      </c>
      <c r="E208" s="388"/>
      <c r="F208" s="389" t="s">
        <v>1248</v>
      </c>
      <c r="G208" s="263">
        <v>45040</v>
      </c>
    </row>
    <row r="209" spans="1:7" x14ac:dyDescent="0.35">
      <c r="A209" s="420">
        <v>208</v>
      </c>
      <c r="B209" s="397" t="s">
        <v>1251</v>
      </c>
      <c r="C209" s="388" t="s">
        <v>1252</v>
      </c>
      <c r="D209" s="388" t="s">
        <v>1591</v>
      </c>
      <c r="E209" s="388"/>
      <c r="F209" s="389" t="s">
        <v>1253</v>
      </c>
      <c r="G209" s="263">
        <v>31980</v>
      </c>
    </row>
    <row r="210" spans="1:7" x14ac:dyDescent="0.35">
      <c r="A210" s="420">
        <v>209</v>
      </c>
      <c r="B210" s="397" t="s">
        <v>1255</v>
      </c>
      <c r="C210" s="388" t="s">
        <v>1256</v>
      </c>
      <c r="D210" s="388" t="s">
        <v>1593</v>
      </c>
      <c r="E210" s="388"/>
      <c r="F210" s="389" t="s">
        <v>1257</v>
      </c>
      <c r="G210" s="263">
        <v>33580</v>
      </c>
    </row>
    <row r="211" spans="1:7" x14ac:dyDescent="0.35">
      <c r="A211" s="420">
        <v>210</v>
      </c>
      <c r="B211" s="394" t="s">
        <v>1259</v>
      </c>
      <c r="C211" s="388" t="s">
        <v>1260</v>
      </c>
      <c r="D211" s="388" t="s">
        <v>1581</v>
      </c>
      <c r="E211" s="388"/>
      <c r="F211" s="389" t="s">
        <v>1261</v>
      </c>
      <c r="G211" s="263">
        <v>45040</v>
      </c>
    </row>
    <row r="212" spans="1:7" x14ac:dyDescent="0.35">
      <c r="A212" s="420">
        <v>211</v>
      </c>
      <c r="B212" s="397" t="s">
        <v>229</v>
      </c>
      <c r="C212" s="388" t="s">
        <v>1263</v>
      </c>
      <c r="D212" s="388" t="s">
        <v>1594</v>
      </c>
      <c r="E212" s="388"/>
      <c r="F212" s="389" t="s">
        <v>1264</v>
      </c>
      <c r="G212" s="263">
        <v>33580</v>
      </c>
    </row>
    <row r="213" spans="1:7" x14ac:dyDescent="0.35">
      <c r="A213" s="420">
        <v>212</v>
      </c>
      <c r="B213" s="397" t="s">
        <v>1267</v>
      </c>
      <c r="C213" s="388" t="s">
        <v>1268</v>
      </c>
      <c r="D213" s="388"/>
      <c r="E213" s="388"/>
      <c r="F213" s="389" t="s">
        <v>1269</v>
      </c>
      <c r="G213" s="263">
        <v>57510</v>
      </c>
    </row>
    <row r="214" spans="1:7" x14ac:dyDescent="0.35">
      <c r="A214" s="420">
        <v>213</v>
      </c>
      <c r="B214" s="397" t="s">
        <v>1271</v>
      </c>
      <c r="C214" s="388" t="s">
        <v>1268</v>
      </c>
      <c r="D214" s="388"/>
      <c r="E214" s="388"/>
      <c r="F214" s="389" t="s">
        <v>1272</v>
      </c>
      <c r="G214" s="263">
        <v>30990</v>
      </c>
    </row>
    <row r="215" spans="1:7" x14ac:dyDescent="0.35">
      <c r="A215" s="420">
        <v>214</v>
      </c>
      <c r="B215" s="397" t="s">
        <v>1274</v>
      </c>
      <c r="C215" s="388" t="s">
        <v>1268</v>
      </c>
      <c r="D215" s="388"/>
      <c r="E215" s="388"/>
      <c r="F215" s="389" t="s">
        <v>1275</v>
      </c>
      <c r="G215" s="263">
        <v>30990</v>
      </c>
    </row>
    <row r="216" spans="1:7" x14ac:dyDescent="0.35">
      <c r="A216" s="420">
        <v>215</v>
      </c>
      <c r="B216" s="397" t="s">
        <v>1278</v>
      </c>
      <c r="C216" s="388" t="s">
        <v>1268</v>
      </c>
      <c r="D216" s="388"/>
      <c r="E216" s="388"/>
      <c r="F216" s="389" t="s">
        <v>1279</v>
      </c>
      <c r="G216" s="263">
        <v>30990</v>
      </c>
    </row>
    <row r="217" spans="1:7" x14ac:dyDescent="0.35">
      <c r="A217" s="420">
        <v>216</v>
      </c>
      <c r="B217" s="397" t="s">
        <v>1282</v>
      </c>
      <c r="C217" s="388" t="s">
        <v>1268</v>
      </c>
      <c r="D217" s="388"/>
      <c r="E217" s="388"/>
      <c r="F217" s="389" t="s">
        <v>1283</v>
      </c>
      <c r="G217" s="263">
        <v>28100</v>
      </c>
    </row>
    <row r="218" spans="1:7" x14ac:dyDescent="0.35">
      <c r="A218" s="420">
        <v>217</v>
      </c>
      <c r="B218" s="397" t="s">
        <v>1285</v>
      </c>
      <c r="C218" s="388" t="s">
        <v>1286</v>
      </c>
      <c r="D218" s="388"/>
      <c r="E218" s="388"/>
      <c r="F218" s="389" t="s">
        <v>1287</v>
      </c>
      <c r="G218" s="263">
        <v>29510</v>
      </c>
    </row>
    <row r="219" spans="1:7" x14ac:dyDescent="0.35">
      <c r="A219" s="420">
        <v>218</v>
      </c>
      <c r="B219" s="415" t="s">
        <v>1289</v>
      </c>
      <c r="C219" s="401" t="s">
        <v>1286</v>
      </c>
      <c r="D219" s="401" t="s">
        <v>1581</v>
      </c>
      <c r="E219" s="401"/>
      <c r="F219" s="402" t="s">
        <v>1290</v>
      </c>
      <c r="G219" s="265">
        <v>28100</v>
      </c>
    </row>
    <row r="220" spans="1:7" x14ac:dyDescent="0.35">
      <c r="A220" s="420">
        <v>219</v>
      </c>
      <c r="B220" s="397" t="s">
        <v>1293</v>
      </c>
      <c r="C220" s="388" t="s">
        <v>1286</v>
      </c>
      <c r="D220" s="388"/>
      <c r="E220" s="388"/>
      <c r="F220" s="389" t="s">
        <v>1294</v>
      </c>
      <c r="G220" s="265">
        <v>28100</v>
      </c>
    </row>
    <row r="221" spans="1:7" x14ac:dyDescent="0.35">
      <c r="A221" s="420">
        <v>220</v>
      </c>
      <c r="B221" s="397" t="s">
        <v>1297</v>
      </c>
      <c r="C221" s="388" t="s">
        <v>1286</v>
      </c>
      <c r="D221" s="388" t="s">
        <v>1582</v>
      </c>
      <c r="E221" s="388"/>
      <c r="F221" s="389" t="s">
        <v>1298</v>
      </c>
      <c r="G221" s="265">
        <v>28100</v>
      </c>
    </row>
    <row r="222" spans="1:7" x14ac:dyDescent="0.35">
      <c r="A222" s="420">
        <v>221</v>
      </c>
      <c r="B222" s="397" t="s">
        <v>1300</v>
      </c>
      <c r="C222" s="388" t="s">
        <v>1286</v>
      </c>
      <c r="D222" s="388"/>
      <c r="E222" s="388"/>
      <c r="F222" s="389" t="s">
        <v>1301</v>
      </c>
      <c r="G222" s="265">
        <v>28100</v>
      </c>
    </row>
    <row r="223" spans="1:7" x14ac:dyDescent="0.35">
      <c r="A223" s="420">
        <v>222</v>
      </c>
      <c r="B223" s="397" t="s">
        <v>1304</v>
      </c>
      <c r="C223" s="388" t="s">
        <v>1305</v>
      </c>
      <c r="D223" s="388" t="s">
        <v>1595</v>
      </c>
      <c r="E223" s="388"/>
      <c r="F223" s="389" t="s">
        <v>1306</v>
      </c>
      <c r="G223" s="264">
        <v>39570</v>
      </c>
    </row>
    <row r="224" spans="1:7" x14ac:dyDescent="0.35">
      <c r="A224" s="420">
        <v>223</v>
      </c>
      <c r="B224" s="397" t="s">
        <v>1308</v>
      </c>
      <c r="C224" s="388" t="s">
        <v>1305</v>
      </c>
      <c r="D224" s="388" t="s">
        <v>1569</v>
      </c>
      <c r="E224" s="388"/>
      <c r="F224" s="389" t="s">
        <v>1309</v>
      </c>
      <c r="G224" s="264">
        <v>39570</v>
      </c>
    </row>
    <row r="225" spans="1:7" x14ac:dyDescent="0.35">
      <c r="A225" s="420">
        <v>224</v>
      </c>
      <c r="B225" s="397" t="s">
        <v>1311</v>
      </c>
      <c r="C225" s="388" t="s">
        <v>1312</v>
      </c>
      <c r="D225" s="388"/>
      <c r="E225" s="388"/>
      <c r="F225" s="389" t="s">
        <v>1313</v>
      </c>
      <c r="G225" s="263">
        <v>28100</v>
      </c>
    </row>
    <row r="226" spans="1:7" x14ac:dyDescent="0.35">
      <c r="A226" s="420">
        <v>225</v>
      </c>
      <c r="B226" s="397" t="s">
        <v>1316</v>
      </c>
      <c r="C226" s="388" t="s">
        <v>1305</v>
      </c>
      <c r="D226" s="388"/>
      <c r="E226" s="388"/>
      <c r="F226" s="389" t="s">
        <v>1317</v>
      </c>
      <c r="G226" s="263">
        <v>28100</v>
      </c>
    </row>
    <row r="227" spans="1:7" x14ac:dyDescent="0.35">
      <c r="A227" s="420">
        <v>226</v>
      </c>
      <c r="B227" s="397" t="s">
        <v>1319</v>
      </c>
      <c r="C227" s="388" t="s">
        <v>1320</v>
      </c>
      <c r="D227" s="388"/>
      <c r="E227" s="388"/>
      <c r="F227" s="389" t="s">
        <v>1321</v>
      </c>
      <c r="G227" s="263">
        <v>26760</v>
      </c>
    </row>
    <row r="228" spans="1:7" x14ac:dyDescent="0.35">
      <c r="A228" s="420">
        <v>227</v>
      </c>
      <c r="B228" s="397" t="s">
        <v>1324</v>
      </c>
      <c r="C228" s="388" t="s">
        <v>1325</v>
      </c>
      <c r="D228" s="388"/>
      <c r="E228" s="388"/>
      <c r="F228" s="389" t="s">
        <v>1326</v>
      </c>
      <c r="G228" s="263">
        <v>26760</v>
      </c>
    </row>
    <row r="229" spans="1:7" x14ac:dyDescent="0.35">
      <c r="A229" s="420">
        <v>228</v>
      </c>
      <c r="B229" s="397" t="s">
        <v>1328</v>
      </c>
      <c r="C229" s="398" t="s">
        <v>1329</v>
      </c>
      <c r="D229" s="398" t="s">
        <v>1582</v>
      </c>
      <c r="E229" s="398"/>
      <c r="F229" s="389" t="s">
        <v>1330</v>
      </c>
      <c r="G229" s="263">
        <v>24260</v>
      </c>
    </row>
    <row r="230" spans="1:7" ht="34.5" x14ac:dyDescent="0.35">
      <c r="A230" s="420">
        <v>229</v>
      </c>
      <c r="B230" s="397" t="s">
        <v>1332</v>
      </c>
      <c r="C230" s="398" t="s">
        <v>1333</v>
      </c>
      <c r="D230" s="398" t="s">
        <v>1581</v>
      </c>
      <c r="E230" s="398"/>
      <c r="F230" s="403" t="s">
        <v>1334</v>
      </c>
      <c r="G230" s="263">
        <v>24260</v>
      </c>
    </row>
    <row r="231" spans="1:7" ht="34.5" x14ac:dyDescent="0.35">
      <c r="A231" s="420">
        <v>230</v>
      </c>
      <c r="B231" s="397" t="s">
        <v>1336</v>
      </c>
      <c r="C231" s="397" t="s">
        <v>1337</v>
      </c>
      <c r="D231" s="397"/>
      <c r="E231" s="397"/>
      <c r="F231" s="389" t="s">
        <v>1338</v>
      </c>
      <c r="G231" s="263">
        <v>24260</v>
      </c>
    </row>
    <row r="232" spans="1:7" x14ac:dyDescent="0.35">
      <c r="A232" s="420">
        <v>231</v>
      </c>
      <c r="B232" s="397" t="s">
        <v>1341</v>
      </c>
      <c r="C232" s="388" t="s">
        <v>1342</v>
      </c>
      <c r="D232" s="388"/>
      <c r="E232" s="388"/>
      <c r="F232" s="389" t="s">
        <v>1343</v>
      </c>
      <c r="G232" s="263">
        <v>24260</v>
      </c>
    </row>
    <row r="233" spans="1:7" x14ac:dyDescent="0.35">
      <c r="A233" s="420">
        <v>232</v>
      </c>
      <c r="B233" s="397" t="s">
        <v>1345</v>
      </c>
      <c r="C233" s="388" t="s">
        <v>1305</v>
      </c>
      <c r="D233" s="388" t="s">
        <v>1596</v>
      </c>
      <c r="E233" s="388"/>
      <c r="F233" s="389" t="s">
        <v>1346</v>
      </c>
      <c r="G233" s="263">
        <v>26760</v>
      </c>
    </row>
    <row r="234" spans="1:7" x14ac:dyDescent="0.35">
      <c r="A234" s="420">
        <v>233</v>
      </c>
      <c r="B234" s="397" t="s">
        <v>1348</v>
      </c>
      <c r="C234" s="388" t="s">
        <v>1329</v>
      </c>
      <c r="D234" s="388" t="s">
        <v>1590</v>
      </c>
      <c r="E234" s="388"/>
      <c r="F234" s="389" t="s">
        <v>1349</v>
      </c>
      <c r="G234" s="263">
        <v>23100</v>
      </c>
    </row>
    <row r="235" spans="1:7" x14ac:dyDescent="0.35">
      <c r="A235" s="420">
        <v>234</v>
      </c>
      <c r="B235" s="397" t="s">
        <v>1351</v>
      </c>
      <c r="C235" s="398" t="s">
        <v>1352</v>
      </c>
      <c r="D235" s="398" t="s">
        <v>1590</v>
      </c>
      <c r="E235" s="398"/>
      <c r="F235" s="389" t="s">
        <v>1353</v>
      </c>
      <c r="G235" s="263">
        <v>23100</v>
      </c>
    </row>
    <row r="236" spans="1:7" x14ac:dyDescent="0.35">
      <c r="A236" s="420">
        <v>235</v>
      </c>
      <c r="B236" s="397" t="s">
        <v>1355</v>
      </c>
      <c r="C236" s="398" t="s">
        <v>1356</v>
      </c>
      <c r="D236" s="398"/>
      <c r="E236" s="398"/>
      <c r="F236" s="389" t="s">
        <v>1357</v>
      </c>
      <c r="G236" s="263">
        <v>23100</v>
      </c>
    </row>
    <row r="237" spans="1:7" x14ac:dyDescent="0.35">
      <c r="A237" s="420">
        <v>236</v>
      </c>
      <c r="B237" s="397" t="s">
        <v>1359</v>
      </c>
      <c r="C237" s="398" t="s">
        <v>1356</v>
      </c>
      <c r="D237" s="398"/>
      <c r="E237" s="398"/>
      <c r="F237" s="389" t="s">
        <v>1360</v>
      </c>
      <c r="G237" s="263">
        <v>23100</v>
      </c>
    </row>
    <row r="238" spans="1:7" x14ac:dyDescent="0.35">
      <c r="A238" s="420">
        <v>237</v>
      </c>
      <c r="B238" s="397" t="s">
        <v>1362</v>
      </c>
      <c r="C238" s="398" t="s">
        <v>1363</v>
      </c>
      <c r="D238" s="398"/>
      <c r="E238" s="398"/>
      <c r="F238" s="389" t="s">
        <v>1364</v>
      </c>
      <c r="G238" s="263">
        <v>24260</v>
      </c>
    </row>
    <row r="239" spans="1:7" x14ac:dyDescent="0.35">
      <c r="A239" s="420">
        <v>238</v>
      </c>
      <c r="B239" s="397" t="s">
        <v>1366</v>
      </c>
      <c r="C239" s="388" t="s">
        <v>1367</v>
      </c>
      <c r="D239" s="388"/>
      <c r="E239" s="388"/>
      <c r="F239" s="389" t="s">
        <v>1368</v>
      </c>
      <c r="G239" s="263">
        <v>26760</v>
      </c>
    </row>
    <row r="240" spans="1:7" x14ac:dyDescent="0.35">
      <c r="A240" s="420">
        <v>239</v>
      </c>
      <c r="B240" s="397" t="s">
        <v>1370</v>
      </c>
      <c r="C240" s="388" t="s">
        <v>1367</v>
      </c>
      <c r="D240" s="388" t="s">
        <v>1597</v>
      </c>
      <c r="E240" s="388"/>
      <c r="F240" s="389" t="s">
        <v>1371</v>
      </c>
      <c r="G240" s="263">
        <v>26760</v>
      </c>
    </row>
    <row r="241" spans="1:7" x14ac:dyDescent="0.35">
      <c r="A241" s="420">
        <v>240</v>
      </c>
      <c r="B241" s="397" t="s">
        <v>1374</v>
      </c>
      <c r="C241" s="398" t="s">
        <v>1375</v>
      </c>
      <c r="D241" s="398"/>
      <c r="E241" s="398"/>
      <c r="F241" s="389" t="s">
        <v>1376</v>
      </c>
      <c r="G241" s="263">
        <v>22000</v>
      </c>
    </row>
    <row r="242" spans="1:7" x14ac:dyDescent="0.35">
      <c r="A242" s="420">
        <v>241</v>
      </c>
      <c r="B242" s="397" t="s">
        <v>1378</v>
      </c>
      <c r="C242" s="398" t="s">
        <v>1379</v>
      </c>
      <c r="D242" s="398"/>
      <c r="E242" s="398"/>
      <c r="F242" s="389" t="s">
        <v>1380</v>
      </c>
      <c r="G242" s="263">
        <v>22000</v>
      </c>
    </row>
    <row r="243" spans="1:7" x14ac:dyDescent="0.35">
      <c r="A243" s="420">
        <v>242</v>
      </c>
      <c r="B243" s="397" t="s">
        <v>1382</v>
      </c>
      <c r="C243" s="398" t="s">
        <v>1379</v>
      </c>
      <c r="D243" s="398"/>
      <c r="E243" s="398"/>
      <c r="F243" s="389" t="s">
        <v>1383</v>
      </c>
      <c r="G243" s="263">
        <v>22000</v>
      </c>
    </row>
    <row r="244" spans="1:7" x14ac:dyDescent="0.35">
      <c r="A244" s="420">
        <v>243</v>
      </c>
      <c r="B244" s="397" t="s">
        <v>1385</v>
      </c>
      <c r="C244" s="398" t="s">
        <v>1386</v>
      </c>
      <c r="D244" s="398"/>
      <c r="E244" s="398"/>
      <c r="F244" s="389" t="s">
        <v>1387</v>
      </c>
      <c r="G244" s="263">
        <v>22000</v>
      </c>
    </row>
    <row r="245" spans="1:7" x14ac:dyDescent="0.35">
      <c r="A245" s="420">
        <v>244</v>
      </c>
      <c r="B245" s="397" t="s">
        <v>1389</v>
      </c>
      <c r="C245" s="398" t="s">
        <v>1390</v>
      </c>
      <c r="D245" s="398"/>
      <c r="E245" s="398"/>
      <c r="F245" s="389" t="s">
        <v>1391</v>
      </c>
      <c r="G245" s="263">
        <v>22000</v>
      </c>
    </row>
    <row r="246" spans="1:7" x14ac:dyDescent="0.35">
      <c r="A246" s="420">
        <v>245</v>
      </c>
      <c r="B246" s="397" t="s">
        <v>1393</v>
      </c>
      <c r="C246" s="398" t="s">
        <v>1352</v>
      </c>
      <c r="D246" s="398"/>
      <c r="E246" s="398"/>
      <c r="F246" s="389" t="s">
        <v>1394</v>
      </c>
      <c r="G246" s="263">
        <v>22000</v>
      </c>
    </row>
    <row r="247" spans="1:7" x14ac:dyDescent="0.35">
      <c r="A247" s="420">
        <v>246</v>
      </c>
      <c r="B247" s="397" t="s">
        <v>1397</v>
      </c>
      <c r="C247" s="398" t="s">
        <v>1375</v>
      </c>
      <c r="D247" s="398"/>
      <c r="E247" s="398"/>
      <c r="F247" s="389" t="s">
        <v>1398</v>
      </c>
      <c r="G247" s="263">
        <v>22000</v>
      </c>
    </row>
    <row r="248" spans="1:7" x14ac:dyDescent="0.35">
      <c r="A248" s="420">
        <v>247</v>
      </c>
      <c r="B248" s="397" t="s">
        <v>1400</v>
      </c>
      <c r="C248" s="398" t="s">
        <v>1379</v>
      </c>
      <c r="D248" s="398"/>
      <c r="E248" s="398"/>
      <c r="F248" s="389" t="s">
        <v>1401</v>
      </c>
      <c r="G248" s="263">
        <v>22000</v>
      </c>
    </row>
    <row r="249" spans="1:7" ht="34.5" x14ac:dyDescent="0.35">
      <c r="A249" s="420">
        <v>248</v>
      </c>
      <c r="B249" s="397" t="s">
        <v>1403</v>
      </c>
      <c r="C249" s="398" t="s">
        <v>1404</v>
      </c>
      <c r="D249" s="398"/>
      <c r="E249" s="398"/>
      <c r="F249" s="389" t="s">
        <v>1405</v>
      </c>
      <c r="G249" s="263">
        <v>22000</v>
      </c>
    </row>
    <row r="250" spans="1:7" x14ac:dyDescent="0.35">
      <c r="A250" s="420">
        <v>249</v>
      </c>
      <c r="B250" s="397" t="s">
        <v>1407</v>
      </c>
      <c r="C250" s="398" t="s">
        <v>1408</v>
      </c>
      <c r="D250" s="398"/>
      <c r="E250" s="398"/>
      <c r="F250" s="389" t="s">
        <v>1409</v>
      </c>
      <c r="G250" s="263">
        <v>22000</v>
      </c>
    </row>
    <row r="251" spans="1:7" ht="34.5" x14ac:dyDescent="0.35">
      <c r="A251" s="420">
        <v>250</v>
      </c>
      <c r="B251" s="397" t="s">
        <v>1411</v>
      </c>
      <c r="C251" s="398" t="s">
        <v>1412</v>
      </c>
      <c r="D251" s="398"/>
      <c r="E251" s="398"/>
      <c r="F251" s="389" t="s">
        <v>1413</v>
      </c>
      <c r="G251" s="263">
        <v>22000</v>
      </c>
    </row>
    <row r="252" spans="1:7" x14ac:dyDescent="0.35">
      <c r="A252" s="420">
        <v>251</v>
      </c>
      <c r="B252" s="397" t="s">
        <v>1416</v>
      </c>
      <c r="C252" s="398" t="s">
        <v>1417</v>
      </c>
      <c r="D252" s="398" t="s">
        <v>1581</v>
      </c>
      <c r="E252" s="398"/>
      <c r="F252" s="389" t="s">
        <v>1418</v>
      </c>
      <c r="G252" s="263">
        <f>ROUND((23100),0)</f>
        <v>23100</v>
      </c>
    </row>
    <row r="253" spans="1:7" x14ac:dyDescent="0.35">
      <c r="A253" s="420">
        <v>252</v>
      </c>
      <c r="B253" s="397"/>
      <c r="C253" s="388"/>
      <c r="D253" s="388"/>
      <c r="E253" s="388"/>
      <c r="F253" s="389"/>
      <c r="G253" s="263"/>
    </row>
    <row r="254" spans="1:7" x14ac:dyDescent="0.35">
      <c r="A254" s="420">
        <v>253</v>
      </c>
      <c r="B254" s="397" t="s">
        <v>1421</v>
      </c>
      <c r="C254" s="388" t="s">
        <v>1422</v>
      </c>
      <c r="D254" s="388"/>
      <c r="E254" s="388"/>
      <c r="F254" s="389" t="s">
        <v>1423</v>
      </c>
      <c r="G254" s="263">
        <v>24870</v>
      </c>
    </row>
    <row r="255" spans="1:7" ht="34.5" x14ac:dyDescent="0.35">
      <c r="A255" s="420">
        <v>254</v>
      </c>
      <c r="B255" s="397" t="s">
        <v>1425</v>
      </c>
      <c r="C255" s="398" t="s">
        <v>1426</v>
      </c>
      <c r="D255" s="398" t="s">
        <v>1598</v>
      </c>
      <c r="E255" s="398"/>
      <c r="F255" s="389" t="s">
        <v>1427</v>
      </c>
      <c r="G255" s="263">
        <v>24870</v>
      </c>
    </row>
    <row r="256" spans="1:7" ht="34.5" x14ac:dyDescent="0.35">
      <c r="A256" s="420">
        <v>255</v>
      </c>
      <c r="B256" s="397" t="s">
        <v>1429</v>
      </c>
      <c r="C256" s="398" t="s">
        <v>1426</v>
      </c>
      <c r="D256" s="398" t="s">
        <v>1598</v>
      </c>
      <c r="E256" s="398"/>
      <c r="F256" s="389" t="s">
        <v>1430</v>
      </c>
      <c r="G256" s="263">
        <v>24870</v>
      </c>
    </row>
    <row r="257" spans="1:7" ht="34.5" x14ac:dyDescent="0.35">
      <c r="A257" s="420">
        <v>256</v>
      </c>
      <c r="B257" s="397" t="s">
        <v>1432</v>
      </c>
      <c r="C257" s="398" t="s">
        <v>1426</v>
      </c>
      <c r="D257" s="398" t="s">
        <v>1598</v>
      </c>
      <c r="E257" s="398"/>
      <c r="F257" s="389" t="s">
        <v>1433</v>
      </c>
      <c r="G257" s="263">
        <v>24870</v>
      </c>
    </row>
    <row r="258" spans="1:7" x14ac:dyDescent="0.35">
      <c r="A258" s="420">
        <v>257</v>
      </c>
      <c r="B258" s="397" t="s">
        <v>1436</v>
      </c>
      <c r="C258" s="398" t="s">
        <v>1379</v>
      </c>
      <c r="D258" s="398"/>
      <c r="E258" s="398"/>
      <c r="F258" s="389" t="s">
        <v>1437</v>
      </c>
      <c r="G258" s="263">
        <v>24870</v>
      </c>
    </row>
    <row r="259" spans="1:7" x14ac:dyDescent="0.35">
      <c r="A259" s="420">
        <v>258</v>
      </c>
      <c r="B259" s="397" t="s">
        <v>1440</v>
      </c>
      <c r="C259" s="398" t="s">
        <v>1379</v>
      </c>
      <c r="D259" s="398"/>
      <c r="E259" s="398"/>
      <c r="F259" s="389" t="s">
        <v>1441</v>
      </c>
      <c r="G259" s="263">
        <v>24870</v>
      </c>
    </row>
    <row r="260" spans="1:7" x14ac:dyDescent="0.35">
      <c r="A260" s="420">
        <v>259</v>
      </c>
      <c r="B260" s="397" t="s">
        <v>1444</v>
      </c>
      <c r="C260" s="398" t="s">
        <v>1379</v>
      </c>
      <c r="D260" s="398"/>
      <c r="E260" s="398"/>
      <c r="F260" s="389" t="s">
        <v>1445</v>
      </c>
      <c r="G260" s="263">
        <v>24870</v>
      </c>
    </row>
    <row r="261" spans="1:7" x14ac:dyDescent="0.35">
      <c r="A261" s="420">
        <v>260</v>
      </c>
      <c r="B261" s="397" t="s">
        <v>1447</v>
      </c>
      <c r="C261" s="398" t="s">
        <v>1379</v>
      </c>
      <c r="D261" s="398"/>
      <c r="E261" s="398"/>
      <c r="F261" s="389" t="s">
        <v>1448</v>
      </c>
      <c r="G261" s="263">
        <v>22550</v>
      </c>
    </row>
    <row r="262" spans="1:7" x14ac:dyDescent="0.35">
      <c r="A262" s="420">
        <v>261</v>
      </c>
      <c r="B262" s="397" t="s">
        <v>1451</v>
      </c>
      <c r="C262" s="398" t="s">
        <v>1452</v>
      </c>
      <c r="D262" s="398"/>
      <c r="E262" s="398"/>
      <c r="F262" s="389" t="s">
        <v>1453</v>
      </c>
      <c r="G262" s="263">
        <v>18530</v>
      </c>
    </row>
    <row r="263" spans="1:7" ht="34.5" x14ac:dyDescent="0.35">
      <c r="A263" s="420">
        <v>262</v>
      </c>
      <c r="B263" s="397" t="s">
        <v>1456</v>
      </c>
      <c r="C263" s="398" t="s">
        <v>1457</v>
      </c>
      <c r="D263" s="398"/>
      <c r="E263" s="398"/>
      <c r="F263" s="389" t="s">
        <v>1458</v>
      </c>
      <c r="G263" s="263">
        <v>16800</v>
      </c>
    </row>
    <row r="264" spans="1:7" ht="34.5" x14ac:dyDescent="0.35">
      <c r="A264" s="420">
        <v>263</v>
      </c>
      <c r="B264" s="397" t="s">
        <v>1460</v>
      </c>
      <c r="C264" s="398" t="s">
        <v>1461</v>
      </c>
      <c r="D264" s="398"/>
      <c r="E264" s="398"/>
      <c r="F264" s="389" t="s">
        <v>1462</v>
      </c>
      <c r="G264" s="263">
        <v>16800</v>
      </c>
    </row>
    <row r="265" spans="1:7" x14ac:dyDescent="0.35">
      <c r="A265" s="420">
        <v>264</v>
      </c>
      <c r="B265" s="397" t="s">
        <v>1465</v>
      </c>
      <c r="C265" s="398" t="s">
        <v>1452</v>
      </c>
      <c r="D265" s="398"/>
      <c r="E265" s="398"/>
      <c r="F265" s="389" t="s">
        <v>1466</v>
      </c>
      <c r="G265" s="263">
        <v>17640</v>
      </c>
    </row>
    <row r="266" spans="1:7" x14ac:dyDescent="0.35">
      <c r="A266" s="420">
        <v>265</v>
      </c>
      <c r="B266" s="397" t="s">
        <v>1469</v>
      </c>
      <c r="C266" s="398" t="s">
        <v>1452</v>
      </c>
      <c r="D266" s="398"/>
      <c r="E266" s="398"/>
      <c r="F266" s="389" t="s">
        <v>1470</v>
      </c>
      <c r="G266" s="263">
        <v>17640</v>
      </c>
    </row>
    <row r="267" spans="1:7" x14ac:dyDescent="0.35">
      <c r="A267" s="420">
        <v>266</v>
      </c>
      <c r="B267" s="397" t="s">
        <v>1473</v>
      </c>
      <c r="C267" s="398" t="s">
        <v>1452</v>
      </c>
      <c r="D267" s="398"/>
      <c r="E267" s="398"/>
      <c r="F267" s="389" t="s">
        <v>1474</v>
      </c>
      <c r="G267" s="263">
        <v>23680</v>
      </c>
    </row>
    <row r="268" spans="1:7" ht="19.5" x14ac:dyDescent="0.35">
      <c r="A268" s="420">
        <v>267</v>
      </c>
      <c r="B268" s="27" t="s">
        <v>1476</v>
      </c>
      <c r="C268" s="42" t="s">
        <v>1477</v>
      </c>
      <c r="D268" s="42"/>
      <c r="E268" s="42"/>
      <c r="F268" s="29" t="s">
        <v>1478</v>
      </c>
      <c r="G268" s="329">
        <v>23680</v>
      </c>
    </row>
    <row r="269" spans="1:7" ht="19.5" x14ac:dyDescent="0.35">
      <c r="A269" s="420">
        <v>268</v>
      </c>
      <c r="B269" s="46" t="s">
        <v>1481</v>
      </c>
      <c r="C269" s="42" t="s">
        <v>1482</v>
      </c>
      <c r="D269" s="42"/>
      <c r="E269" s="42"/>
      <c r="F269" s="46" t="s">
        <v>1483</v>
      </c>
      <c r="G269" s="329">
        <v>17640</v>
      </c>
    </row>
    <row r="270" spans="1:7" ht="19.5" x14ac:dyDescent="0.35">
      <c r="A270" s="420">
        <v>269</v>
      </c>
      <c r="B270" s="46" t="s">
        <v>1485</v>
      </c>
      <c r="C270" s="42" t="s">
        <v>1482</v>
      </c>
      <c r="D270" s="42"/>
      <c r="E270" s="42"/>
      <c r="F270" s="46" t="s">
        <v>1486</v>
      </c>
      <c r="G270" s="329">
        <v>17640</v>
      </c>
    </row>
    <row r="271" spans="1:7" ht="19.5" x14ac:dyDescent="0.35">
      <c r="A271" s="420">
        <v>270</v>
      </c>
      <c r="B271" s="46" t="s">
        <v>1488</v>
      </c>
      <c r="C271" s="42" t="s">
        <v>1482</v>
      </c>
      <c r="D271" s="42"/>
      <c r="E271" s="42"/>
      <c r="F271" s="46" t="s">
        <v>1489</v>
      </c>
      <c r="G271" s="329">
        <v>17640</v>
      </c>
    </row>
    <row r="272" spans="1:7" ht="19.5" x14ac:dyDescent="0.35">
      <c r="A272" s="420">
        <v>271</v>
      </c>
      <c r="B272" s="27" t="s">
        <v>1492</v>
      </c>
      <c r="C272" s="42" t="s">
        <v>1482</v>
      </c>
      <c r="D272" s="42"/>
      <c r="E272" s="42"/>
      <c r="F272" s="29" t="s">
        <v>1493</v>
      </c>
      <c r="G272" s="329">
        <v>16800</v>
      </c>
    </row>
    <row r="273" spans="1:7" ht="19.5" x14ac:dyDescent="0.35">
      <c r="A273" s="420">
        <v>272</v>
      </c>
      <c r="B273" s="27" t="s">
        <v>1495</v>
      </c>
      <c r="C273" s="42" t="s">
        <v>1482</v>
      </c>
      <c r="D273" s="42"/>
      <c r="E273" s="42"/>
      <c r="F273" s="29" t="s">
        <v>1496</v>
      </c>
      <c r="G273" s="329">
        <v>16800</v>
      </c>
    </row>
    <row r="274" spans="1:7" ht="19.5" x14ac:dyDescent="0.35">
      <c r="A274" s="420">
        <v>273</v>
      </c>
      <c r="B274" s="27" t="s">
        <v>1499</v>
      </c>
      <c r="C274" s="42" t="s">
        <v>1477</v>
      </c>
      <c r="D274" s="42"/>
      <c r="E274" s="42"/>
      <c r="F274" s="29" t="s">
        <v>1500</v>
      </c>
      <c r="G274" s="329">
        <v>19460</v>
      </c>
    </row>
    <row r="275" spans="1:7" ht="19.5" x14ac:dyDescent="0.35">
      <c r="A275" s="420">
        <v>274</v>
      </c>
      <c r="B275" s="27" t="s">
        <v>1502</v>
      </c>
      <c r="C275" s="42" t="s">
        <v>1477</v>
      </c>
      <c r="D275" s="42"/>
      <c r="E275" s="42"/>
      <c r="F275" s="29" t="s">
        <v>1503</v>
      </c>
      <c r="G275" s="329">
        <v>19460</v>
      </c>
    </row>
    <row r="276" spans="1:7" ht="19.5" x14ac:dyDescent="0.35">
      <c r="A276" s="420">
        <v>275</v>
      </c>
      <c r="B276" s="27" t="s">
        <v>1506</v>
      </c>
      <c r="C276" s="42" t="s">
        <v>1477</v>
      </c>
      <c r="D276" s="42"/>
      <c r="E276" s="42"/>
      <c r="F276" s="29" t="s">
        <v>1507</v>
      </c>
      <c r="G276" s="329">
        <v>16800</v>
      </c>
    </row>
    <row r="277" spans="1:7" ht="19.5" x14ac:dyDescent="0.35">
      <c r="A277" s="420">
        <v>276</v>
      </c>
      <c r="B277" s="27" t="s">
        <v>1509</v>
      </c>
      <c r="C277" s="42" t="s">
        <v>1477</v>
      </c>
      <c r="D277" s="42"/>
      <c r="E277" s="42"/>
      <c r="F277" s="29" t="s">
        <v>1510</v>
      </c>
      <c r="G277" s="329">
        <v>16800</v>
      </c>
    </row>
    <row r="278" spans="1:7" ht="19.5" x14ac:dyDescent="0.35">
      <c r="A278" s="420">
        <v>277</v>
      </c>
      <c r="B278" s="27" t="s">
        <v>1512</v>
      </c>
      <c r="C278" s="42" t="s">
        <v>1513</v>
      </c>
      <c r="D278" s="42"/>
      <c r="E278" s="42"/>
      <c r="F278" s="48" t="s">
        <v>1514</v>
      </c>
      <c r="G278" s="329">
        <v>16800</v>
      </c>
    </row>
    <row r="279" spans="1:7" ht="19.5" x14ac:dyDescent="0.35">
      <c r="A279" s="420">
        <v>278</v>
      </c>
      <c r="B279" s="27" t="s">
        <v>1517</v>
      </c>
      <c r="C279" s="42" t="s">
        <v>1518</v>
      </c>
      <c r="D279" s="42"/>
      <c r="E279" s="42"/>
      <c r="F279" s="48" t="s">
        <v>1519</v>
      </c>
      <c r="G279" s="329">
        <v>16800</v>
      </c>
    </row>
    <row r="280" spans="1:7" ht="19.5" x14ac:dyDescent="0.35">
      <c r="A280" s="420">
        <v>279</v>
      </c>
      <c r="B280" s="27" t="s">
        <v>1521</v>
      </c>
      <c r="C280" s="42" t="s">
        <v>1477</v>
      </c>
      <c r="D280" s="42"/>
      <c r="E280" s="42"/>
      <c r="F280" s="48" t="s">
        <v>1522</v>
      </c>
      <c r="G280" s="329">
        <v>19460</v>
      </c>
    </row>
    <row r="281" spans="1:7" ht="19.5" x14ac:dyDescent="0.35">
      <c r="A281" s="420">
        <v>280</v>
      </c>
      <c r="B281" s="27" t="s">
        <v>1524</v>
      </c>
      <c r="C281" s="42" t="s">
        <v>1525</v>
      </c>
      <c r="D281" s="42"/>
      <c r="E281" s="42"/>
      <c r="F281" s="48" t="s">
        <v>1526</v>
      </c>
      <c r="G281" s="329">
        <v>16000</v>
      </c>
    </row>
    <row r="282" spans="1:7" ht="19.5" x14ac:dyDescent="0.35">
      <c r="A282" s="420">
        <v>281</v>
      </c>
      <c r="B282" s="27" t="s">
        <v>1528</v>
      </c>
      <c r="C282" s="42" t="s">
        <v>1529</v>
      </c>
      <c r="D282" s="42"/>
      <c r="E282" s="42"/>
      <c r="F282" s="48" t="s">
        <v>1530</v>
      </c>
      <c r="G282" s="329">
        <v>16000</v>
      </c>
    </row>
    <row r="283" spans="1:7" x14ac:dyDescent="0.35">
      <c r="A283" s="420">
        <v>282</v>
      </c>
      <c r="B283" s="407" t="s">
        <v>1532</v>
      </c>
      <c r="C283" s="42" t="s">
        <v>1533</v>
      </c>
      <c r="D283" s="42"/>
      <c r="E283" s="42"/>
      <c r="F283" s="42" t="s">
        <v>1534</v>
      </c>
      <c r="G283" s="329">
        <v>18530</v>
      </c>
    </row>
    <row r="284" spans="1:7" x14ac:dyDescent="0.35">
      <c r="A284" s="420">
        <v>283</v>
      </c>
      <c r="B284" s="407" t="s">
        <v>1537</v>
      </c>
      <c r="C284" s="42" t="s">
        <v>1538</v>
      </c>
      <c r="D284" s="42"/>
      <c r="E284" s="42"/>
      <c r="F284" s="408" t="s">
        <v>1539</v>
      </c>
      <c r="G284" s="329">
        <v>16000</v>
      </c>
    </row>
    <row r="285" spans="1:7" x14ac:dyDescent="0.35">
      <c r="A285" s="420">
        <v>284</v>
      </c>
      <c r="B285" s="407" t="s">
        <v>1541</v>
      </c>
      <c r="C285" s="42" t="s">
        <v>1538</v>
      </c>
      <c r="D285" s="42"/>
      <c r="E285" s="42"/>
      <c r="F285" s="408" t="s">
        <v>1542</v>
      </c>
      <c r="G285" s="329">
        <v>16000</v>
      </c>
    </row>
    <row r="286" spans="1:7" x14ac:dyDescent="0.35">
      <c r="A286" s="420">
        <v>285</v>
      </c>
      <c r="B286" s="407" t="s">
        <v>1544</v>
      </c>
      <c r="C286" s="42" t="s">
        <v>1538</v>
      </c>
      <c r="D286" s="42"/>
      <c r="E286" s="42"/>
      <c r="F286" s="408" t="s">
        <v>1545</v>
      </c>
      <c r="G286" s="329">
        <v>16000</v>
      </c>
    </row>
    <row r="287" spans="1:7" x14ac:dyDescent="0.35">
      <c r="A287" s="420">
        <v>286</v>
      </c>
      <c r="B287" s="407" t="s">
        <v>1547</v>
      </c>
      <c r="C287" s="42" t="s">
        <v>69</v>
      </c>
      <c r="D287" s="42"/>
      <c r="E287" s="42"/>
      <c r="F287" s="42" t="s">
        <v>1548</v>
      </c>
      <c r="G287" s="329">
        <v>16000</v>
      </c>
    </row>
    <row r="288" spans="1:7" x14ac:dyDescent="0.35">
      <c r="A288" s="420">
        <v>287</v>
      </c>
      <c r="B288" s="387"/>
      <c r="C288" s="387"/>
      <c r="D288" s="387"/>
      <c r="E288" s="387"/>
      <c r="F288" s="387"/>
      <c r="G288" s="319"/>
    </row>
    <row r="289" spans="1:7" x14ac:dyDescent="0.35">
      <c r="A289" s="420">
        <v>288</v>
      </c>
    </row>
    <row r="290" spans="1:7" ht="19.5" x14ac:dyDescent="0.35">
      <c r="A290" s="420">
        <v>289</v>
      </c>
      <c r="B290" s="29" t="s">
        <v>46</v>
      </c>
      <c r="C290" s="29" t="s">
        <v>47</v>
      </c>
      <c r="D290" s="29"/>
      <c r="E290" s="29"/>
      <c r="F290" s="29" t="s">
        <v>48</v>
      </c>
      <c r="G290" s="416">
        <v>30230</v>
      </c>
    </row>
    <row r="291" spans="1:7" ht="19.5" x14ac:dyDescent="0.35">
      <c r="A291" s="420">
        <v>290</v>
      </c>
      <c r="B291" s="27" t="s">
        <v>52</v>
      </c>
      <c r="C291" s="42" t="s">
        <v>53</v>
      </c>
      <c r="D291" s="42"/>
      <c r="E291" s="42"/>
      <c r="F291" s="29" t="s">
        <v>54</v>
      </c>
      <c r="G291" s="31">
        <v>22530</v>
      </c>
    </row>
    <row r="292" spans="1:7" ht="19.5" x14ac:dyDescent="0.35">
      <c r="A292" s="420">
        <v>291</v>
      </c>
      <c r="B292" s="27" t="s">
        <v>57</v>
      </c>
      <c r="C292" s="42" t="s">
        <v>58</v>
      </c>
      <c r="D292" s="42"/>
      <c r="E292" s="42"/>
      <c r="F292" s="29" t="s">
        <v>59</v>
      </c>
      <c r="G292" s="31">
        <v>13130</v>
      </c>
    </row>
    <row r="293" spans="1:7" ht="39" x14ac:dyDescent="0.35">
      <c r="A293" s="420">
        <v>292</v>
      </c>
      <c r="B293" s="27" t="s">
        <v>61</v>
      </c>
      <c r="C293" s="42" t="s">
        <v>62</v>
      </c>
      <c r="D293" s="42"/>
      <c r="E293" s="42"/>
      <c r="F293" s="45" t="s">
        <v>63</v>
      </c>
      <c r="G293" s="31">
        <v>12500</v>
      </c>
    </row>
    <row r="294" spans="1:7" ht="19.5" x14ac:dyDescent="0.35">
      <c r="A294" s="420">
        <v>293</v>
      </c>
      <c r="B294" s="27" t="s">
        <v>65</v>
      </c>
      <c r="C294" s="42" t="s">
        <v>62</v>
      </c>
      <c r="D294" s="42"/>
      <c r="E294" s="42"/>
      <c r="F294" s="45" t="s">
        <v>66</v>
      </c>
      <c r="G294" s="31">
        <v>12500</v>
      </c>
    </row>
    <row r="295" spans="1:7" ht="19.5" x14ac:dyDescent="0.35">
      <c r="A295" s="420">
        <v>294</v>
      </c>
      <c r="B295" s="27" t="s">
        <v>68</v>
      </c>
      <c r="C295" s="42" t="s">
        <v>69</v>
      </c>
      <c r="D295" s="42"/>
      <c r="E295" s="42"/>
      <c r="F295" s="46" t="s">
        <v>70</v>
      </c>
      <c r="G295" s="31">
        <v>15500</v>
      </c>
    </row>
    <row r="296" spans="1:7" ht="19.5" x14ac:dyDescent="0.35">
      <c r="A296" s="420">
        <v>295</v>
      </c>
      <c r="B296" s="27" t="s">
        <v>73</v>
      </c>
      <c r="C296" s="42" t="s">
        <v>74</v>
      </c>
      <c r="D296" s="42"/>
      <c r="E296" s="42"/>
      <c r="F296" s="48" t="s">
        <v>75</v>
      </c>
      <c r="G296" s="31">
        <v>11550</v>
      </c>
    </row>
    <row r="297" spans="1:7" ht="19.5" x14ac:dyDescent="0.35">
      <c r="A297" s="420">
        <v>296</v>
      </c>
      <c r="B297" s="27" t="s">
        <v>77</v>
      </c>
      <c r="C297" s="42" t="s">
        <v>74</v>
      </c>
      <c r="D297" s="42"/>
      <c r="E297" s="42"/>
      <c r="F297" s="48" t="s">
        <v>78</v>
      </c>
      <c r="G297" s="31">
        <v>11550</v>
      </c>
    </row>
    <row r="298" spans="1:7" ht="19.5" x14ac:dyDescent="0.35">
      <c r="A298" s="420">
        <v>297</v>
      </c>
      <c r="B298" s="27" t="s">
        <v>80</v>
      </c>
      <c r="C298" s="42" t="s">
        <v>74</v>
      </c>
      <c r="D298" s="42"/>
      <c r="E298" s="42"/>
      <c r="F298" s="48" t="s">
        <v>81</v>
      </c>
      <c r="G298" s="31">
        <v>11550</v>
      </c>
    </row>
    <row r="299" spans="1:7" ht="19.5" x14ac:dyDescent="0.35">
      <c r="A299" s="420">
        <v>298</v>
      </c>
      <c r="B299" s="27" t="s">
        <v>83</v>
      </c>
      <c r="C299" s="42" t="s">
        <v>84</v>
      </c>
      <c r="D299" s="42"/>
      <c r="E299" s="42"/>
      <c r="F299" s="29" t="s">
        <v>85</v>
      </c>
      <c r="G299" s="31">
        <v>20810</v>
      </c>
    </row>
    <row r="300" spans="1:7" ht="19.5" x14ac:dyDescent="0.35">
      <c r="A300" s="420">
        <v>299</v>
      </c>
      <c r="B300" s="27" t="s">
        <v>87</v>
      </c>
      <c r="C300" s="42" t="s">
        <v>84</v>
      </c>
      <c r="D300" s="42"/>
      <c r="E300" s="42"/>
      <c r="F300" s="29" t="s">
        <v>88</v>
      </c>
      <c r="G300" s="31">
        <v>18860</v>
      </c>
    </row>
    <row r="301" spans="1:7" ht="19.5" x14ac:dyDescent="0.35">
      <c r="A301" s="420">
        <v>300</v>
      </c>
      <c r="B301" s="27" t="s">
        <v>90</v>
      </c>
      <c r="C301" s="42" t="s">
        <v>84</v>
      </c>
      <c r="D301" s="42"/>
      <c r="E301" s="42"/>
      <c r="F301" s="29" t="s">
        <v>91</v>
      </c>
      <c r="G301" s="31">
        <v>18860</v>
      </c>
    </row>
    <row r="302" spans="1:7" ht="19.5" x14ac:dyDescent="0.35">
      <c r="A302" s="420">
        <v>301</v>
      </c>
      <c r="B302" s="27" t="s">
        <v>94</v>
      </c>
      <c r="C302" s="42" t="s">
        <v>84</v>
      </c>
      <c r="D302" s="42"/>
      <c r="E302" s="42"/>
      <c r="F302" s="29" t="s">
        <v>95</v>
      </c>
      <c r="G302" s="31">
        <v>18860</v>
      </c>
    </row>
    <row r="303" spans="1:7" ht="19.5" x14ac:dyDescent="0.35">
      <c r="A303" s="420">
        <v>302</v>
      </c>
      <c r="B303" s="27" t="s">
        <v>98</v>
      </c>
      <c r="C303" s="42" t="s">
        <v>84</v>
      </c>
      <c r="D303" s="42"/>
      <c r="E303" s="42"/>
      <c r="F303" s="29" t="s">
        <v>99</v>
      </c>
      <c r="G303" s="31">
        <v>12740</v>
      </c>
    </row>
    <row r="304" spans="1:7" ht="19.5" x14ac:dyDescent="0.35">
      <c r="A304" s="420">
        <v>303</v>
      </c>
      <c r="B304" s="27" t="s">
        <v>101</v>
      </c>
      <c r="C304" s="42" t="s">
        <v>84</v>
      </c>
      <c r="D304" s="42"/>
      <c r="E304" s="42"/>
      <c r="F304" s="29" t="s">
        <v>102</v>
      </c>
      <c r="G304" s="31">
        <v>12740</v>
      </c>
    </row>
    <row r="305" spans="1:7" ht="19.5" x14ac:dyDescent="0.35">
      <c r="A305" s="420">
        <v>304</v>
      </c>
      <c r="B305" s="27" t="s">
        <v>104</v>
      </c>
      <c r="C305" s="42" t="s">
        <v>84</v>
      </c>
      <c r="D305" s="42"/>
      <c r="E305" s="42"/>
      <c r="F305" s="29" t="s">
        <v>105</v>
      </c>
      <c r="G305" s="31">
        <v>12740</v>
      </c>
    </row>
    <row r="306" spans="1:7" ht="19.5" x14ac:dyDescent="0.35">
      <c r="A306" s="420">
        <v>305</v>
      </c>
      <c r="B306" s="27" t="s">
        <v>107</v>
      </c>
      <c r="C306" s="42" t="s">
        <v>84</v>
      </c>
      <c r="D306" s="42"/>
      <c r="E306" s="42"/>
      <c r="F306" s="29" t="s">
        <v>108</v>
      </c>
      <c r="G306" s="31">
        <v>12740</v>
      </c>
    </row>
    <row r="307" spans="1:7" ht="19.5" x14ac:dyDescent="0.35">
      <c r="A307" s="420">
        <v>306</v>
      </c>
      <c r="B307" s="27" t="s">
        <v>110</v>
      </c>
      <c r="C307" s="42" t="s">
        <v>84</v>
      </c>
      <c r="D307" s="42"/>
      <c r="E307" s="42"/>
      <c r="F307" s="29" t="s">
        <v>111</v>
      </c>
      <c r="G307" s="31">
        <v>12740</v>
      </c>
    </row>
    <row r="308" spans="1:7" ht="19.5" x14ac:dyDescent="0.35">
      <c r="A308" s="420">
        <v>307</v>
      </c>
      <c r="B308" s="27" t="s">
        <v>113</v>
      </c>
      <c r="C308" s="42" t="s">
        <v>84</v>
      </c>
      <c r="D308" s="42"/>
      <c r="E308" s="42"/>
      <c r="F308" s="29" t="s">
        <v>114</v>
      </c>
      <c r="G308" s="31">
        <v>12740</v>
      </c>
    </row>
    <row r="309" spans="1:7" ht="19.5" x14ac:dyDescent="0.35">
      <c r="A309" s="420">
        <v>308</v>
      </c>
      <c r="B309" s="27" t="s">
        <v>116</v>
      </c>
      <c r="C309" s="42" t="s">
        <v>84</v>
      </c>
      <c r="D309" s="42"/>
      <c r="E309" s="42"/>
      <c r="F309" s="29" t="s">
        <v>117</v>
      </c>
      <c r="G309" s="31">
        <v>12740</v>
      </c>
    </row>
    <row r="310" spans="1:7" ht="19.5" x14ac:dyDescent="0.35">
      <c r="A310" s="420">
        <v>309</v>
      </c>
      <c r="B310" s="27" t="s">
        <v>119</v>
      </c>
      <c r="C310" s="42" t="s">
        <v>84</v>
      </c>
      <c r="D310" s="42"/>
      <c r="E310" s="42"/>
      <c r="F310" s="29" t="s">
        <v>120</v>
      </c>
      <c r="G310" s="31">
        <v>12740</v>
      </c>
    </row>
    <row r="311" spans="1:7" ht="19.5" x14ac:dyDescent="0.35">
      <c r="A311" s="420">
        <v>310</v>
      </c>
      <c r="B311" s="27" t="s">
        <v>122</v>
      </c>
      <c r="C311" s="42" t="s">
        <v>84</v>
      </c>
      <c r="D311" s="42"/>
      <c r="E311" s="42"/>
      <c r="F311" s="29" t="s">
        <v>123</v>
      </c>
      <c r="G311" s="31">
        <v>12740</v>
      </c>
    </row>
    <row r="312" spans="1:7" ht="19.5" x14ac:dyDescent="0.35">
      <c r="A312" s="420">
        <v>311</v>
      </c>
      <c r="B312" s="27" t="s">
        <v>125</v>
      </c>
      <c r="C312" s="42" t="s">
        <v>84</v>
      </c>
      <c r="D312" s="42"/>
      <c r="E312" s="42"/>
      <c r="F312" s="29" t="s">
        <v>126</v>
      </c>
      <c r="G312" s="31">
        <v>12740</v>
      </c>
    </row>
    <row r="313" spans="1:7" ht="19.5" x14ac:dyDescent="0.35">
      <c r="A313" s="420">
        <v>312</v>
      </c>
      <c r="B313" s="27" t="s">
        <v>128</v>
      </c>
      <c r="C313" s="42" t="s">
        <v>84</v>
      </c>
      <c r="D313" s="42"/>
      <c r="E313" s="42"/>
      <c r="F313" s="29" t="s">
        <v>129</v>
      </c>
      <c r="G313" s="31">
        <v>18860</v>
      </c>
    </row>
    <row r="314" spans="1:7" ht="19.5" x14ac:dyDescent="0.35">
      <c r="A314" s="420">
        <v>313</v>
      </c>
      <c r="B314" s="407" t="s">
        <v>132</v>
      </c>
      <c r="C314" s="42" t="s">
        <v>84</v>
      </c>
      <c r="D314" s="42"/>
      <c r="E314" s="42"/>
      <c r="F314" s="29" t="s">
        <v>133</v>
      </c>
      <c r="G314" s="31">
        <v>18860</v>
      </c>
    </row>
    <row r="315" spans="1:7" ht="19.5" x14ac:dyDescent="0.35">
      <c r="A315" s="420">
        <v>314</v>
      </c>
      <c r="B315" s="46" t="s">
        <v>135</v>
      </c>
      <c r="C315" s="57" t="s">
        <v>136</v>
      </c>
      <c r="D315" s="57"/>
      <c r="E315" s="57"/>
      <c r="F315" s="46" t="s">
        <v>137</v>
      </c>
      <c r="G315" s="58">
        <v>14050</v>
      </c>
    </row>
    <row r="316" spans="1:7" ht="19.5" x14ac:dyDescent="0.35">
      <c r="A316" s="420">
        <v>315</v>
      </c>
      <c r="B316" s="46" t="s">
        <v>140</v>
      </c>
      <c r="C316" s="57" t="s">
        <v>136</v>
      </c>
      <c r="D316" s="57"/>
      <c r="E316" s="57"/>
      <c r="F316" s="46" t="s">
        <v>141</v>
      </c>
      <c r="G316" s="58">
        <v>14050</v>
      </c>
    </row>
    <row r="317" spans="1:7" ht="19.5" x14ac:dyDescent="0.35">
      <c r="A317" s="420">
        <v>316</v>
      </c>
      <c r="B317" s="46" t="s">
        <v>143</v>
      </c>
      <c r="C317" s="57" t="s">
        <v>136</v>
      </c>
      <c r="D317" s="57"/>
      <c r="E317" s="57"/>
      <c r="F317" s="46" t="s">
        <v>144</v>
      </c>
      <c r="G317" s="58">
        <v>13380</v>
      </c>
    </row>
    <row r="318" spans="1:7" ht="19.5" x14ac:dyDescent="0.35">
      <c r="A318" s="420">
        <v>317</v>
      </c>
      <c r="B318" s="46" t="s">
        <v>146</v>
      </c>
      <c r="C318" s="57" t="s">
        <v>136</v>
      </c>
      <c r="D318" s="57"/>
      <c r="E318" s="57"/>
      <c r="F318" s="46" t="s">
        <v>147</v>
      </c>
      <c r="G318" s="58">
        <v>12130</v>
      </c>
    </row>
    <row r="319" spans="1:7" ht="19.5" x14ac:dyDescent="0.35">
      <c r="A319" s="420">
        <v>318</v>
      </c>
      <c r="B319" s="46" t="s">
        <v>149</v>
      </c>
      <c r="C319" s="57" t="s">
        <v>136</v>
      </c>
      <c r="D319" s="57"/>
      <c r="E319" s="57"/>
      <c r="F319" s="46" t="s">
        <v>150</v>
      </c>
      <c r="G319" s="58">
        <v>12130</v>
      </c>
    </row>
    <row r="320" spans="1:7" ht="19.5" x14ac:dyDescent="0.35">
      <c r="A320" s="420">
        <v>319</v>
      </c>
      <c r="B320" s="46" t="s">
        <v>153</v>
      </c>
      <c r="C320" s="57" t="s">
        <v>136</v>
      </c>
      <c r="D320" s="57"/>
      <c r="E320" s="57"/>
      <c r="F320" s="46" t="s">
        <v>154</v>
      </c>
      <c r="G320" s="58">
        <v>12130</v>
      </c>
    </row>
    <row r="321" spans="1:7" ht="19.5" x14ac:dyDescent="0.35">
      <c r="A321" s="420">
        <v>320</v>
      </c>
      <c r="B321" s="27" t="s">
        <v>156</v>
      </c>
      <c r="C321" s="42" t="s">
        <v>157</v>
      </c>
      <c r="D321" s="42"/>
      <c r="E321" s="42"/>
      <c r="F321" s="29" t="s">
        <v>158</v>
      </c>
      <c r="G321" s="31">
        <v>18860</v>
      </c>
    </row>
    <row r="322" spans="1:7" ht="19.5" x14ac:dyDescent="0.35">
      <c r="A322" s="420">
        <v>321</v>
      </c>
      <c r="B322" s="27" t="s">
        <v>160</v>
      </c>
      <c r="C322" s="42" t="s">
        <v>161</v>
      </c>
      <c r="D322" s="42"/>
      <c r="E322" s="42"/>
      <c r="F322" s="29" t="s">
        <v>162</v>
      </c>
      <c r="G322" s="31">
        <v>13380</v>
      </c>
    </row>
    <row r="323" spans="1:7" ht="19.5" x14ac:dyDescent="0.35">
      <c r="A323" s="420">
        <v>322</v>
      </c>
      <c r="B323" s="27" t="s">
        <v>165</v>
      </c>
      <c r="C323" s="42" t="s">
        <v>136</v>
      </c>
      <c r="D323" s="42"/>
      <c r="E323" s="42"/>
      <c r="F323" s="29" t="s">
        <v>166</v>
      </c>
      <c r="G323" s="31">
        <v>12740</v>
      </c>
    </row>
    <row r="324" spans="1:7" ht="19.5" x14ac:dyDescent="0.35">
      <c r="A324" s="420">
        <v>323</v>
      </c>
      <c r="B324" s="27" t="s">
        <v>168</v>
      </c>
      <c r="C324" s="42" t="s">
        <v>169</v>
      </c>
      <c r="D324" s="42"/>
      <c r="E324" s="42"/>
      <c r="F324" s="29" t="s">
        <v>170</v>
      </c>
      <c r="G324" s="31">
        <v>11550</v>
      </c>
    </row>
    <row r="325" spans="1:7" ht="19.5" x14ac:dyDescent="0.35">
      <c r="A325" s="420">
        <v>324</v>
      </c>
      <c r="B325" s="27" t="s">
        <v>173</v>
      </c>
      <c r="C325" s="42" t="s">
        <v>174</v>
      </c>
      <c r="D325" s="42"/>
      <c r="E325" s="42"/>
      <c r="F325" s="29" t="s">
        <v>175</v>
      </c>
      <c r="G325" s="31">
        <v>18860</v>
      </c>
    </row>
    <row r="326" spans="1:7" ht="19.5" x14ac:dyDescent="0.35">
      <c r="A326" s="420">
        <v>325</v>
      </c>
      <c r="B326" s="46" t="s">
        <v>177</v>
      </c>
      <c r="C326" s="57" t="s">
        <v>178</v>
      </c>
      <c r="D326" s="57"/>
      <c r="E326" s="57"/>
      <c r="F326" s="46" t="s">
        <v>179</v>
      </c>
      <c r="G326" s="31">
        <v>14050</v>
      </c>
    </row>
    <row r="327" spans="1:7" ht="19.5" x14ac:dyDescent="0.35">
      <c r="A327" s="420">
        <v>326</v>
      </c>
      <c r="B327" s="27" t="s">
        <v>182</v>
      </c>
      <c r="C327" s="42" t="s">
        <v>183</v>
      </c>
      <c r="D327" s="42"/>
      <c r="E327" s="42"/>
      <c r="F327" s="29" t="s">
        <v>184</v>
      </c>
      <c r="G327" s="31">
        <v>17100</v>
      </c>
    </row>
    <row r="328" spans="1:7" ht="19.5" x14ac:dyDescent="0.35">
      <c r="A328" s="420">
        <v>327</v>
      </c>
      <c r="B328" s="27" t="s">
        <v>186</v>
      </c>
      <c r="C328" s="77" t="s">
        <v>187</v>
      </c>
      <c r="D328" s="77"/>
      <c r="E328" s="77"/>
      <c r="F328" s="29" t="s">
        <v>188</v>
      </c>
      <c r="G328" s="31">
        <v>17100</v>
      </c>
    </row>
    <row r="329" spans="1:7" ht="19.5" x14ac:dyDescent="0.35">
      <c r="A329" s="420">
        <v>328</v>
      </c>
      <c r="B329" s="27" t="s">
        <v>190</v>
      </c>
      <c r="C329" s="77" t="s">
        <v>191</v>
      </c>
      <c r="D329" s="77"/>
      <c r="E329" s="77"/>
      <c r="F329" s="48" t="s">
        <v>192</v>
      </c>
      <c r="G329" s="31">
        <v>11000</v>
      </c>
    </row>
    <row r="330" spans="1:7" ht="19.5" x14ac:dyDescent="0.35">
      <c r="A330" s="420">
        <v>329</v>
      </c>
      <c r="B330" s="27" t="s">
        <v>194</v>
      </c>
      <c r="C330" s="42" t="s">
        <v>195</v>
      </c>
      <c r="D330" s="42"/>
      <c r="E330" s="42"/>
      <c r="F330" s="29" t="s">
        <v>196</v>
      </c>
      <c r="G330" s="31">
        <v>19810</v>
      </c>
    </row>
    <row r="331" spans="1:7" ht="19.5" x14ac:dyDescent="0.35">
      <c r="A331" s="420">
        <v>330</v>
      </c>
      <c r="B331" s="27" t="s">
        <v>198</v>
      </c>
      <c r="C331" s="42" t="s">
        <v>199</v>
      </c>
      <c r="D331" s="42"/>
      <c r="E331" s="42"/>
      <c r="F331" s="29" t="s">
        <v>200</v>
      </c>
      <c r="G331" s="31">
        <v>19810</v>
      </c>
    </row>
    <row r="332" spans="1:7" ht="19.5" x14ac:dyDescent="0.35">
      <c r="A332" s="420">
        <v>331</v>
      </c>
      <c r="B332" s="27" t="s">
        <v>202</v>
      </c>
      <c r="C332" s="42" t="s">
        <v>199</v>
      </c>
      <c r="D332" s="42"/>
      <c r="E332" s="42"/>
      <c r="F332" s="29" t="s">
        <v>203</v>
      </c>
      <c r="G332" s="31">
        <v>19810</v>
      </c>
    </row>
    <row r="333" spans="1:7" ht="19.5" x14ac:dyDescent="0.35">
      <c r="A333" s="420">
        <v>332</v>
      </c>
      <c r="B333" s="27" t="s">
        <v>205</v>
      </c>
      <c r="C333" s="42" t="s">
        <v>199</v>
      </c>
      <c r="D333" s="42"/>
      <c r="E333" s="42"/>
      <c r="F333" s="29" t="s">
        <v>206</v>
      </c>
      <c r="G333" s="31">
        <v>19810</v>
      </c>
    </row>
    <row r="334" spans="1:7" ht="19.5" x14ac:dyDescent="0.35">
      <c r="A334" s="420">
        <v>333</v>
      </c>
      <c r="B334" s="27" t="s">
        <v>209</v>
      </c>
      <c r="C334" s="42" t="s">
        <v>199</v>
      </c>
      <c r="D334" s="42"/>
      <c r="E334" s="42"/>
      <c r="F334" s="29" t="s">
        <v>210</v>
      </c>
      <c r="G334" s="31">
        <v>19810</v>
      </c>
    </row>
    <row r="335" spans="1:7" ht="19.5" x14ac:dyDescent="0.35">
      <c r="A335" s="420">
        <v>334</v>
      </c>
      <c r="B335" s="27" t="s">
        <v>213</v>
      </c>
      <c r="C335" s="42" t="s">
        <v>199</v>
      </c>
      <c r="D335" s="42"/>
      <c r="E335" s="42"/>
      <c r="F335" s="29" t="s">
        <v>214</v>
      </c>
      <c r="G335" s="31">
        <v>19810</v>
      </c>
    </row>
    <row r="336" spans="1:7" ht="19.5" x14ac:dyDescent="0.35">
      <c r="A336" s="420">
        <v>335</v>
      </c>
      <c r="B336" s="27" t="s">
        <v>217</v>
      </c>
      <c r="C336" s="42" t="s">
        <v>199</v>
      </c>
      <c r="D336" s="42"/>
      <c r="E336" s="42"/>
      <c r="F336" s="29" t="s">
        <v>218</v>
      </c>
      <c r="G336" s="31">
        <v>19810</v>
      </c>
    </row>
    <row r="337" spans="1:7" ht="19.5" x14ac:dyDescent="0.35">
      <c r="A337" s="420">
        <v>336</v>
      </c>
      <c r="B337" s="27" t="s">
        <v>221</v>
      </c>
      <c r="C337" s="42" t="s">
        <v>199</v>
      </c>
      <c r="D337" s="42"/>
      <c r="E337" s="42"/>
      <c r="F337" s="29" t="s">
        <v>222</v>
      </c>
      <c r="G337" s="31">
        <v>17960</v>
      </c>
    </row>
    <row r="338" spans="1:7" ht="19.5" x14ac:dyDescent="0.35">
      <c r="A338" s="420">
        <v>337</v>
      </c>
      <c r="B338" s="75" t="s">
        <v>225</v>
      </c>
      <c r="C338" s="42" t="s">
        <v>226</v>
      </c>
      <c r="D338" s="42"/>
      <c r="E338" s="42"/>
      <c r="F338" s="46" t="s">
        <v>227</v>
      </c>
      <c r="G338" s="79">
        <v>18860</v>
      </c>
    </row>
    <row r="339" spans="1:7" ht="19.5" x14ac:dyDescent="0.35">
      <c r="A339" s="420">
        <v>338</v>
      </c>
      <c r="B339" s="27" t="s">
        <v>229</v>
      </c>
      <c r="C339" s="42" t="s">
        <v>199</v>
      </c>
      <c r="D339" s="42"/>
      <c r="E339" s="42"/>
      <c r="F339" s="29" t="s">
        <v>230</v>
      </c>
      <c r="G339" s="31">
        <v>17960</v>
      </c>
    </row>
    <row r="340" spans="1:7" ht="19.5" x14ac:dyDescent="0.35">
      <c r="A340" s="420">
        <v>339</v>
      </c>
      <c r="B340" s="27" t="s">
        <v>233</v>
      </c>
      <c r="C340" s="42" t="s">
        <v>195</v>
      </c>
      <c r="D340" s="42"/>
      <c r="E340" s="42"/>
      <c r="F340" s="29" t="s">
        <v>234</v>
      </c>
      <c r="G340" s="31">
        <v>19810</v>
      </c>
    </row>
    <row r="341" spans="1:7" ht="19.5" x14ac:dyDescent="0.35">
      <c r="A341" s="420">
        <v>340</v>
      </c>
      <c r="B341" s="27" t="s">
        <v>236</v>
      </c>
      <c r="C341" s="42" t="s">
        <v>199</v>
      </c>
      <c r="D341" s="42"/>
      <c r="E341" s="42"/>
      <c r="F341" s="29" t="s">
        <v>237</v>
      </c>
      <c r="G341" s="31">
        <v>17960</v>
      </c>
    </row>
    <row r="342" spans="1:7" ht="19.5" x14ac:dyDescent="0.35">
      <c r="A342" s="420">
        <v>341</v>
      </c>
      <c r="B342" s="46" t="s">
        <v>239</v>
      </c>
      <c r="C342" s="57" t="s">
        <v>136</v>
      </c>
      <c r="D342" s="57"/>
      <c r="E342" s="57"/>
      <c r="F342" s="46" t="s">
        <v>240</v>
      </c>
      <c r="G342" s="89">
        <v>14050</v>
      </c>
    </row>
    <row r="343" spans="1:7" ht="19.5" x14ac:dyDescent="0.35">
      <c r="A343" s="420">
        <v>342</v>
      </c>
      <c r="B343" s="46" t="s">
        <v>243</v>
      </c>
      <c r="C343" s="57" t="s">
        <v>136</v>
      </c>
      <c r="D343" s="57"/>
      <c r="E343" s="57"/>
      <c r="F343" s="46" t="s">
        <v>244</v>
      </c>
      <c r="G343" s="89">
        <v>13380</v>
      </c>
    </row>
    <row r="344" spans="1:7" ht="19.5" x14ac:dyDescent="0.35">
      <c r="A344" s="420">
        <v>343</v>
      </c>
      <c r="B344" s="46" t="s">
        <v>247</v>
      </c>
      <c r="C344" s="57" t="s">
        <v>136</v>
      </c>
      <c r="D344" s="57"/>
      <c r="E344" s="57"/>
      <c r="F344" s="46" t="s">
        <v>248</v>
      </c>
      <c r="G344" s="89">
        <v>11550</v>
      </c>
    </row>
    <row r="345" spans="1:7" ht="19.5" x14ac:dyDescent="0.35">
      <c r="A345" s="420">
        <v>344</v>
      </c>
      <c r="B345" s="27" t="s">
        <v>251</v>
      </c>
      <c r="C345" s="42" t="s">
        <v>252</v>
      </c>
      <c r="D345" s="42"/>
      <c r="E345" s="42"/>
      <c r="F345" s="29" t="s">
        <v>253</v>
      </c>
      <c r="G345" s="31">
        <v>16680</v>
      </c>
    </row>
    <row r="346" spans="1:7" ht="19.5" x14ac:dyDescent="0.35">
      <c r="A346" s="420">
        <v>345</v>
      </c>
      <c r="B346" s="46" t="s">
        <v>255</v>
      </c>
      <c r="C346" s="42" t="s">
        <v>256</v>
      </c>
      <c r="D346" s="42"/>
      <c r="E346" s="42"/>
      <c r="F346" s="46" t="s">
        <v>257</v>
      </c>
      <c r="G346" s="31">
        <v>13710</v>
      </c>
    </row>
    <row r="347" spans="1:7" ht="19.5" x14ac:dyDescent="0.35">
      <c r="A347" s="420">
        <v>346</v>
      </c>
      <c r="B347" s="57" t="s">
        <v>259</v>
      </c>
      <c r="C347" s="42" t="s">
        <v>256</v>
      </c>
      <c r="D347" s="42"/>
      <c r="E347" s="42"/>
      <c r="F347" s="46" t="s">
        <v>260</v>
      </c>
      <c r="G347" s="31">
        <v>13710</v>
      </c>
    </row>
    <row r="348" spans="1:7" ht="19.5" x14ac:dyDescent="0.35">
      <c r="A348" s="420">
        <v>347</v>
      </c>
      <c r="B348" s="27" t="s">
        <v>262</v>
      </c>
      <c r="C348" s="42" t="s">
        <v>256</v>
      </c>
      <c r="D348" s="42"/>
      <c r="E348" s="42"/>
      <c r="F348" s="29" t="s">
        <v>263</v>
      </c>
      <c r="G348" s="31">
        <v>13710</v>
      </c>
    </row>
    <row r="349" spans="1:7" ht="19.5" x14ac:dyDescent="0.35">
      <c r="A349" s="420">
        <v>348</v>
      </c>
      <c r="B349" s="46" t="s">
        <v>265</v>
      </c>
      <c r="C349" s="42" t="s">
        <v>252</v>
      </c>
      <c r="D349" s="42"/>
      <c r="E349" s="42"/>
      <c r="F349" s="46" t="s">
        <v>266</v>
      </c>
      <c r="G349" s="31">
        <v>13040</v>
      </c>
    </row>
    <row r="350" spans="1:7" ht="19.5" x14ac:dyDescent="0.35">
      <c r="A350" s="420">
        <v>349</v>
      </c>
      <c r="B350" s="27" t="s">
        <v>270</v>
      </c>
      <c r="C350" s="42" t="s">
        <v>271</v>
      </c>
      <c r="D350" s="42"/>
      <c r="E350" s="42"/>
      <c r="F350" s="29" t="s">
        <v>272</v>
      </c>
      <c r="G350" s="31">
        <v>10190</v>
      </c>
    </row>
    <row r="351" spans="1:7" ht="19.5" x14ac:dyDescent="0.35">
      <c r="A351" s="420">
        <v>350</v>
      </c>
      <c r="B351" s="27" t="s">
        <v>274</v>
      </c>
      <c r="C351" s="42" t="s">
        <v>271</v>
      </c>
      <c r="D351" s="42"/>
      <c r="E351" s="42"/>
      <c r="F351" s="45" t="s">
        <v>275</v>
      </c>
      <c r="G351" s="31">
        <v>9700</v>
      </c>
    </row>
    <row r="352" spans="1:7" ht="19.5" x14ac:dyDescent="0.35">
      <c r="A352" s="420">
        <v>351</v>
      </c>
      <c r="B352" s="27" t="s">
        <v>277</v>
      </c>
      <c r="C352" s="42" t="s">
        <v>271</v>
      </c>
      <c r="D352" s="42"/>
      <c r="E352" s="42"/>
      <c r="F352" s="45" t="s">
        <v>278</v>
      </c>
      <c r="G352" s="31">
        <v>9700</v>
      </c>
    </row>
    <row r="353" spans="1:7" ht="19.5" x14ac:dyDescent="0.35">
      <c r="A353" s="420">
        <v>352</v>
      </c>
      <c r="B353" s="46" t="s">
        <v>280</v>
      </c>
      <c r="C353" s="57" t="s">
        <v>199</v>
      </c>
      <c r="D353" s="57"/>
      <c r="E353" s="57"/>
      <c r="F353" s="46" t="s">
        <v>281</v>
      </c>
      <c r="G353" s="79">
        <v>14390</v>
      </c>
    </row>
    <row r="354" spans="1:7" ht="19.5" x14ac:dyDescent="0.35">
      <c r="A354" s="420">
        <v>353</v>
      </c>
      <c r="B354" s="46" t="s">
        <v>283</v>
      </c>
      <c r="C354" s="57" t="s">
        <v>284</v>
      </c>
      <c r="D354" s="57"/>
      <c r="E354" s="57"/>
      <c r="F354" s="46" t="s">
        <v>285</v>
      </c>
      <c r="G354" s="79">
        <v>13700</v>
      </c>
    </row>
    <row r="355" spans="1:7" ht="19.5" x14ac:dyDescent="0.35">
      <c r="A355" s="420">
        <v>354</v>
      </c>
      <c r="B355" s="46" t="s">
        <v>288</v>
      </c>
      <c r="C355" s="57" t="s">
        <v>289</v>
      </c>
      <c r="D355" s="57"/>
      <c r="E355" s="57"/>
      <c r="F355" s="46" t="s">
        <v>290</v>
      </c>
      <c r="G355" s="79">
        <v>12410</v>
      </c>
    </row>
    <row r="356" spans="1:7" ht="19.5" x14ac:dyDescent="0.35">
      <c r="A356" s="420">
        <v>355</v>
      </c>
      <c r="B356" s="46" t="s">
        <v>293</v>
      </c>
      <c r="C356" s="57" t="s">
        <v>289</v>
      </c>
      <c r="D356" s="57"/>
      <c r="E356" s="57"/>
      <c r="F356" s="46" t="s">
        <v>294</v>
      </c>
      <c r="G356" s="79">
        <v>12410</v>
      </c>
    </row>
    <row r="357" spans="1:7" ht="19.5" x14ac:dyDescent="0.35">
      <c r="A357" s="420">
        <v>356</v>
      </c>
      <c r="B357" s="46" t="s">
        <v>296</v>
      </c>
      <c r="C357" s="57" t="s">
        <v>297</v>
      </c>
      <c r="D357" s="57"/>
      <c r="E357" s="57"/>
      <c r="F357" s="46" t="s">
        <v>298</v>
      </c>
      <c r="G357" s="89">
        <v>14390</v>
      </c>
    </row>
    <row r="358" spans="1:7" ht="19.5" x14ac:dyDescent="0.35">
      <c r="A358" s="420">
        <v>357</v>
      </c>
      <c r="B358" s="46" t="s">
        <v>301</v>
      </c>
      <c r="C358" s="57" t="s">
        <v>297</v>
      </c>
      <c r="D358" s="57"/>
      <c r="E358" s="57"/>
      <c r="F358" s="46" t="s">
        <v>302</v>
      </c>
      <c r="G358" s="89">
        <v>14390</v>
      </c>
    </row>
    <row r="359" spans="1:7" ht="19.5" x14ac:dyDescent="0.35">
      <c r="A359" s="420">
        <v>358</v>
      </c>
      <c r="B359" s="46" t="s">
        <v>304</v>
      </c>
      <c r="C359" s="57" t="s">
        <v>305</v>
      </c>
      <c r="D359" s="57"/>
      <c r="E359" s="57"/>
      <c r="F359" s="46" t="s">
        <v>306</v>
      </c>
      <c r="G359" s="89">
        <v>12410</v>
      </c>
    </row>
    <row r="360" spans="1:7" ht="19.5" x14ac:dyDescent="0.35">
      <c r="A360" s="420">
        <v>359</v>
      </c>
      <c r="B360" s="46" t="s">
        <v>309</v>
      </c>
      <c r="C360" s="57" t="s">
        <v>305</v>
      </c>
      <c r="D360" s="57"/>
      <c r="E360" s="57"/>
      <c r="F360" s="46" t="s">
        <v>310</v>
      </c>
      <c r="G360" s="89">
        <v>12410</v>
      </c>
    </row>
    <row r="361" spans="1:7" ht="19.5" x14ac:dyDescent="0.35">
      <c r="A361" s="420">
        <v>360</v>
      </c>
      <c r="B361" s="46" t="s">
        <v>312</v>
      </c>
      <c r="C361" s="57" t="s">
        <v>313</v>
      </c>
      <c r="D361" s="57"/>
      <c r="E361" s="57"/>
      <c r="F361" s="46" t="s">
        <v>314</v>
      </c>
      <c r="G361" s="89">
        <v>12410</v>
      </c>
    </row>
    <row r="362" spans="1:7" ht="19.5" x14ac:dyDescent="0.35">
      <c r="A362" s="420">
        <v>361</v>
      </c>
      <c r="B362" s="46" t="s">
        <v>316</v>
      </c>
      <c r="C362" s="57" t="s">
        <v>313</v>
      </c>
      <c r="D362" s="57"/>
      <c r="E362" s="57"/>
      <c r="F362" s="46" t="s">
        <v>317</v>
      </c>
      <c r="G362" s="89">
        <v>12410</v>
      </c>
    </row>
    <row r="363" spans="1:7" ht="19.5" x14ac:dyDescent="0.35">
      <c r="A363" s="420">
        <v>362</v>
      </c>
      <c r="B363" s="46" t="s">
        <v>321</v>
      </c>
      <c r="C363" s="57" t="s">
        <v>297</v>
      </c>
      <c r="D363" s="57"/>
      <c r="E363" s="57"/>
      <c r="F363" s="46" t="s">
        <v>322</v>
      </c>
      <c r="G363" s="58">
        <v>14390</v>
      </c>
    </row>
    <row r="364" spans="1:7" ht="19.5" x14ac:dyDescent="0.35">
      <c r="A364" s="420">
        <v>363</v>
      </c>
      <c r="B364" s="46" t="s">
        <v>325</v>
      </c>
      <c r="C364" s="57" t="s">
        <v>297</v>
      </c>
      <c r="D364" s="57"/>
      <c r="E364" s="57"/>
      <c r="F364" s="46" t="s">
        <v>326</v>
      </c>
      <c r="G364" s="58">
        <v>14390</v>
      </c>
    </row>
    <row r="365" spans="1:7" ht="19.5" x14ac:dyDescent="0.35">
      <c r="A365" s="420">
        <v>364</v>
      </c>
      <c r="B365" s="46" t="s">
        <v>328</v>
      </c>
      <c r="C365" s="57" t="s">
        <v>297</v>
      </c>
      <c r="D365" s="57"/>
      <c r="E365" s="57"/>
      <c r="F365" s="46" t="s">
        <v>329</v>
      </c>
      <c r="G365" s="58">
        <v>14390</v>
      </c>
    </row>
    <row r="366" spans="1:7" ht="19.5" x14ac:dyDescent="0.35">
      <c r="A366" s="420">
        <v>365</v>
      </c>
      <c r="B366" s="46" t="s">
        <v>332</v>
      </c>
      <c r="C366" s="57" t="s">
        <v>297</v>
      </c>
      <c r="D366" s="57"/>
      <c r="E366" s="57"/>
      <c r="F366" s="46" t="s">
        <v>333</v>
      </c>
      <c r="G366" s="58">
        <v>14390</v>
      </c>
    </row>
    <row r="367" spans="1:7" ht="19.5" x14ac:dyDescent="0.35">
      <c r="A367" s="420">
        <v>366</v>
      </c>
      <c r="B367" s="46" t="s">
        <v>336</v>
      </c>
      <c r="C367" s="57" t="s">
        <v>297</v>
      </c>
      <c r="D367" s="57"/>
      <c r="E367" s="57"/>
      <c r="F367" s="46" t="s">
        <v>337</v>
      </c>
      <c r="G367" s="58">
        <v>14390</v>
      </c>
    </row>
    <row r="368" spans="1:7" ht="19.5" x14ac:dyDescent="0.35">
      <c r="A368" s="420">
        <v>367</v>
      </c>
      <c r="B368" s="46" t="s">
        <v>340</v>
      </c>
      <c r="C368" s="57" t="s">
        <v>297</v>
      </c>
      <c r="D368" s="57"/>
      <c r="E368" s="57"/>
      <c r="F368" s="46" t="s">
        <v>341</v>
      </c>
      <c r="G368" s="58">
        <v>14390</v>
      </c>
    </row>
    <row r="369" spans="1:7" ht="19.5" x14ac:dyDescent="0.35">
      <c r="A369" s="420">
        <v>368</v>
      </c>
      <c r="B369" s="120" t="s">
        <v>343</v>
      </c>
      <c r="C369" s="121" t="s">
        <v>297</v>
      </c>
      <c r="D369" s="121"/>
      <c r="E369" s="121"/>
      <c r="F369" s="120" t="s">
        <v>344</v>
      </c>
      <c r="G369" s="58">
        <v>14390</v>
      </c>
    </row>
    <row r="370" spans="1:7" ht="19.5" x14ac:dyDescent="0.35">
      <c r="A370" s="420">
        <v>369</v>
      </c>
      <c r="B370" s="46" t="s">
        <v>346</v>
      </c>
      <c r="C370" s="57" t="s">
        <v>347</v>
      </c>
      <c r="D370" s="57"/>
      <c r="E370" s="57"/>
      <c r="F370" s="46" t="s">
        <v>348</v>
      </c>
      <c r="G370" s="89">
        <v>14390</v>
      </c>
    </row>
    <row r="371" spans="1:7" ht="19.5" x14ac:dyDescent="0.35">
      <c r="A371" s="420">
        <v>370</v>
      </c>
      <c r="B371" s="46" t="s">
        <v>351</v>
      </c>
      <c r="C371" s="57" t="s">
        <v>347</v>
      </c>
      <c r="D371" s="57"/>
      <c r="E371" s="57"/>
      <c r="F371" s="46" t="s">
        <v>352</v>
      </c>
      <c r="G371" s="89">
        <v>14390</v>
      </c>
    </row>
    <row r="372" spans="1:7" ht="19.5" x14ac:dyDescent="0.35">
      <c r="A372" s="420">
        <v>371</v>
      </c>
      <c r="B372" s="46" t="s">
        <v>354</v>
      </c>
      <c r="C372" s="57" t="s">
        <v>355</v>
      </c>
      <c r="D372" s="57"/>
      <c r="E372" s="57"/>
      <c r="F372" s="46" t="s">
        <v>356</v>
      </c>
      <c r="G372" s="89">
        <v>13700</v>
      </c>
    </row>
    <row r="373" spans="1:7" ht="19.5" x14ac:dyDescent="0.35">
      <c r="A373" s="420">
        <v>372</v>
      </c>
      <c r="B373" s="46" t="s">
        <v>358</v>
      </c>
      <c r="C373" s="57" t="s">
        <v>313</v>
      </c>
      <c r="D373" s="57"/>
      <c r="E373" s="57"/>
      <c r="F373" s="46" t="s">
        <v>359</v>
      </c>
      <c r="G373" s="89">
        <v>12410</v>
      </c>
    </row>
    <row r="374" spans="1:7" ht="19.5" x14ac:dyDescent="0.35">
      <c r="A374" s="420">
        <v>373</v>
      </c>
      <c r="B374" s="46" t="s">
        <v>361</v>
      </c>
      <c r="C374" s="42" t="s">
        <v>362</v>
      </c>
      <c r="D374" s="42"/>
      <c r="E374" s="42"/>
      <c r="F374" s="46" t="s">
        <v>363</v>
      </c>
      <c r="G374" s="31">
        <v>13780</v>
      </c>
    </row>
    <row r="375" spans="1:7" ht="19.5" x14ac:dyDescent="0.35">
      <c r="A375" s="420">
        <v>374</v>
      </c>
      <c r="B375" s="27"/>
      <c r="C375" s="417"/>
      <c r="D375" s="417"/>
      <c r="E375" s="417"/>
      <c r="F375" s="417"/>
      <c r="G375" s="418"/>
    </row>
    <row r="376" spans="1:7" ht="19.5" x14ac:dyDescent="0.35">
      <c r="A376" s="420">
        <v>375</v>
      </c>
      <c r="B376" s="46" t="s">
        <v>367</v>
      </c>
      <c r="C376" s="57" t="s">
        <v>136</v>
      </c>
      <c r="D376" s="57"/>
      <c r="E376" s="57"/>
      <c r="F376" s="46" t="s">
        <v>368</v>
      </c>
      <c r="G376" s="58">
        <v>14010</v>
      </c>
    </row>
    <row r="377" spans="1:7" ht="19.5" x14ac:dyDescent="0.35">
      <c r="A377" s="420">
        <v>376</v>
      </c>
      <c r="B377" s="46" t="s">
        <v>371</v>
      </c>
      <c r="C377" s="57" t="s">
        <v>372</v>
      </c>
      <c r="D377" s="57"/>
      <c r="E377" s="57"/>
      <c r="F377" s="46" t="s">
        <v>373</v>
      </c>
      <c r="G377" s="89">
        <f>ROUND((13340/2),0)</f>
        <v>6670</v>
      </c>
    </row>
    <row r="378" spans="1:7" ht="19.5" x14ac:dyDescent="0.35">
      <c r="A378" s="420">
        <v>377</v>
      </c>
      <c r="B378" s="46" t="s">
        <v>377</v>
      </c>
      <c r="C378" s="57" t="s">
        <v>313</v>
      </c>
      <c r="D378" s="57"/>
      <c r="E378" s="57"/>
      <c r="F378" s="46" t="s">
        <v>378</v>
      </c>
      <c r="G378" s="89">
        <v>12090</v>
      </c>
    </row>
    <row r="379" spans="1:7" ht="19.5" x14ac:dyDescent="0.35">
      <c r="A379" s="420">
        <v>378</v>
      </c>
      <c r="B379" s="75" t="s">
        <v>380</v>
      </c>
      <c r="C379" s="57" t="s">
        <v>313</v>
      </c>
      <c r="D379" s="57"/>
      <c r="E379" s="57"/>
      <c r="F379" s="46" t="s">
        <v>381</v>
      </c>
      <c r="G379" s="89">
        <v>12090</v>
      </c>
    </row>
    <row r="380" spans="1:7" ht="19.5" x14ac:dyDescent="0.35">
      <c r="A380" s="420">
        <v>379</v>
      </c>
      <c r="B380" s="75" t="s">
        <v>383</v>
      </c>
      <c r="C380" s="57" t="s">
        <v>313</v>
      </c>
      <c r="D380" s="57"/>
      <c r="E380" s="57"/>
      <c r="F380" s="46" t="s">
        <v>384</v>
      </c>
      <c r="G380" s="89">
        <v>12090</v>
      </c>
    </row>
    <row r="381" spans="1:7" ht="19.5" x14ac:dyDescent="0.35">
      <c r="A381" s="420">
        <v>380</v>
      </c>
      <c r="B381" s="46" t="s">
        <v>386</v>
      </c>
      <c r="C381" s="57" t="s">
        <v>387</v>
      </c>
      <c r="D381" s="57"/>
      <c r="E381" s="57"/>
      <c r="F381" s="46" t="s">
        <v>388</v>
      </c>
      <c r="G381" s="89">
        <v>14010</v>
      </c>
    </row>
    <row r="382" spans="1:7" ht="19.5" x14ac:dyDescent="0.35">
      <c r="A382" s="420">
        <v>381</v>
      </c>
      <c r="B382" s="46" t="s">
        <v>149</v>
      </c>
      <c r="C382" s="57" t="s">
        <v>390</v>
      </c>
      <c r="D382" s="57"/>
      <c r="E382" s="57"/>
      <c r="F382" s="46" t="s">
        <v>391</v>
      </c>
      <c r="G382" s="89">
        <v>13340</v>
      </c>
    </row>
    <row r="383" spans="1:7" ht="19.5" x14ac:dyDescent="0.35">
      <c r="A383" s="420">
        <v>382</v>
      </c>
      <c r="B383" s="46" t="s">
        <v>393</v>
      </c>
      <c r="C383" s="57" t="s">
        <v>394</v>
      </c>
      <c r="D383" s="57"/>
      <c r="E383" s="57"/>
      <c r="F383" s="46" t="s">
        <v>395</v>
      </c>
      <c r="G383" s="89">
        <v>13340</v>
      </c>
    </row>
    <row r="384" spans="1:7" ht="19.5" x14ac:dyDescent="0.35">
      <c r="A384" s="420">
        <v>383</v>
      </c>
      <c r="B384" s="46" t="s">
        <v>397</v>
      </c>
      <c r="C384" s="57" t="s">
        <v>394</v>
      </c>
      <c r="D384" s="57"/>
      <c r="E384" s="57"/>
      <c r="F384" s="46" t="s">
        <v>398</v>
      </c>
      <c r="G384" s="89">
        <v>11510</v>
      </c>
    </row>
    <row r="385" spans="1:7" ht="19.5" x14ac:dyDescent="0.35">
      <c r="A385" s="420">
        <v>384</v>
      </c>
      <c r="B385" s="46" t="s">
        <v>400</v>
      </c>
      <c r="C385" s="57" t="s">
        <v>401</v>
      </c>
      <c r="D385" s="57"/>
      <c r="E385" s="57"/>
      <c r="F385" s="46" t="s">
        <v>402</v>
      </c>
      <c r="G385" s="89">
        <v>11510</v>
      </c>
    </row>
    <row r="386" spans="1:7" ht="19.5" x14ac:dyDescent="0.35">
      <c r="A386" s="420">
        <v>385</v>
      </c>
      <c r="B386" s="46" t="s">
        <v>404</v>
      </c>
      <c r="C386" s="57" t="s">
        <v>405</v>
      </c>
      <c r="D386" s="57"/>
      <c r="E386" s="57"/>
      <c r="F386" s="46" t="s">
        <v>406</v>
      </c>
      <c r="G386" s="89">
        <v>11510</v>
      </c>
    </row>
    <row r="387" spans="1:7" ht="19.5" x14ac:dyDescent="0.35">
      <c r="A387" s="420">
        <v>386</v>
      </c>
      <c r="B387" s="46" t="s">
        <v>408</v>
      </c>
      <c r="C387" s="57" t="s">
        <v>409</v>
      </c>
      <c r="D387" s="57"/>
      <c r="E387" s="57"/>
      <c r="F387" s="46" t="s">
        <v>410</v>
      </c>
      <c r="G387" s="89">
        <v>12090</v>
      </c>
    </row>
    <row r="388" spans="1:7" ht="19.5" x14ac:dyDescent="0.35">
      <c r="A388" s="420">
        <v>387</v>
      </c>
      <c r="B388" s="46" t="s">
        <v>412</v>
      </c>
      <c r="C388" s="57" t="s">
        <v>409</v>
      </c>
      <c r="D388" s="57"/>
      <c r="E388" s="57"/>
      <c r="F388" s="46" t="s">
        <v>413</v>
      </c>
      <c r="G388" s="89">
        <v>12090</v>
      </c>
    </row>
    <row r="389" spans="1:7" ht="19.5" x14ac:dyDescent="0.35">
      <c r="A389" s="420">
        <v>388</v>
      </c>
      <c r="B389" s="46" t="s">
        <v>416</v>
      </c>
      <c r="C389" s="57" t="s">
        <v>401</v>
      </c>
      <c r="D389" s="57"/>
      <c r="E389" s="57"/>
      <c r="F389" s="46" t="s">
        <v>417</v>
      </c>
      <c r="G389" s="89">
        <v>10960</v>
      </c>
    </row>
    <row r="390" spans="1:7" ht="19.5" x14ac:dyDescent="0.35">
      <c r="A390" s="420">
        <v>389</v>
      </c>
      <c r="B390" s="46" t="s">
        <v>419</v>
      </c>
      <c r="C390" s="57" t="s">
        <v>387</v>
      </c>
      <c r="D390" s="57"/>
      <c r="E390" s="57"/>
      <c r="F390" s="46" t="s">
        <v>420</v>
      </c>
      <c r="G390" s="89">
        <v>12000</v>
      </c>
    </row>
    <row r="391" spans="1:7" ht="19.5" x14ac:dyDescent="0.35">
      <c r="A391" s="420">
        <v>390</v>
      </c>
      <c r="B391" s="75" t="s">
        <v>422</v>
      </c>
      <c r="C391" s="57" t="s">
        <v>409</v>
      </c>
      <c r="D391" s="57"/>
      <c r="E391" s="57"/>
      <c r="F391" s="45" t="s">
        <v>423</v>
      </c>
      <c r="G391" s="89">
        <v>8930</v>
      </c>
    </row>
    <row r="392" spans="1:7" ht="19.5" x14ac:dyDescent="0.35">
      <c r="A392" s="420">
        <v>391</v>
      </c>
      <c r="B392" s="46" t="s">
        <v>425</v>
      </c>
      <c r="C392" s="57" t="s">
        <v>426</v>
      </c>
      <c r="D392" s="57"/>
      <c r="E392" s="57"/>
      <c r="F392" s="132" t="s">
        <v>427</v>
      </c>
      <c r="G392" s="89">
        <v>8500</v>
      </c>
    </row>
    <row r="393" spans="1:7" ht="19.5" x14ac:dyDescent="0.35">
      <c r="A393" s="420">
        <v>392</v>
      </c>
      <c r="B393" s="46" t="s">
        <v>429</v>
      </c>
      <c r="C393" s="57" t="s">
        <v>426</v>
      </c>
      <c r="D393" s="57"/>
      <c r="E393" s="57"/>
      <c r="F393" s="45" t="s">
        <v>430</v>
      </c>
      <c r="G393" s="89">
        <v>8500</v>
      </c>
    </row>
    <row r="394" spans="1:7" ht="19.5" x14ac:dyDescent="0.35">
      <c r="A394" s="420">
        <v>393</v>
      </c>
      <c r="B394" s="46" t="s">
        <v>432</v>
      </c>
      <c r="C394" s="57" t="s">
        <v>433</v>
      </c>
      <c r="D394" s="57"/>
      <c r="E394" s="57"/>
      <c r="F394" s="45" t="s">
        <v>434</v>
      </c>
      <c r="G394" s="89">
        <v>8500</v>
      </c>
    </row>
    <row r="395" spans="1:7" ht="19.5" x14ac:dyDescent="0.35">
      <c r="A395" s="420">
        <v>394</v>
      </c>
      <c r="B395" s="46" t="s">
        <v>436</v>
      </c>
      <c r="C395" s="57" t="s">
        <v>437</v>
      </c>
      <c r="D395" s="57"/>
      <c r="E395" s="57"/>
      <c r="F395" s="45" t="s">
        <v>438</v>
      </c>
      <c r="G395" s="89">
        <v>8500</v>
      </c>
    </row>
    <row r="396" spans="1:7" ht="19.5" x14ac:dyDescent="0.35">
      <c r="A396" s="420">
        <v>395</v>
      </c>
      <c r="B396" s="46" t="s">
        <v>440</v>
      </c>
      <c r="C396" s="57" t="s">
        <v>441</v>
      </c>
      <c r="D396" s="57"/>
      <c r="E396" s="57"/>
      <c r="F396" s="45" t="s">
        <v>442</v>
      </c>
      <c r="G396" s="89">
        <v>8500</v>
      </c>
    </row>
    <row r="397" spans="1:7" ht="39" x14ac:dyDescent="0.35">
      <c r="A397" s="420">
        <v>396</v>
      </c>
      <c r="B397" s="75" t="s">
        <v>444</v>
      </c>
      <c r="C397" s="57" t="s">
        <v>445</v>
      </c>
      <c r="D397" s="57"/>
      <c r="E397" s="57"/>
      <c r="F397" s="45" t="s">
        <v>446</v>
      </c>
      <c r="G397" s="89">
        <v>8500</v>
      </c>
    </row>
    <row r="398" spans="1:7" ht="19.5" x14ac:dyDescent="0.35">
      <c r="A398" s="420">
        <v>397</v>
      </c>
      <c r="B398" s="46" t="s">
        <v>448</v>
      </c>
      <c r="C398" s="57" t="s">
        <v>387</v>
      </c>
      <c r="D398" s="57"/>
      <c r="E398" s="57"/>
      <c r="F398" s="46" t="s">
        <v>449</v>
      </c>
      <c r="G398" s="89">
        <v>13510</v>
      </c>
    </row>
    <row r="399" spans="1:7" ht="19.5" x14ac:dyDescent="0.35">
      <c r="A399" s="420">
        <v>398</v>
      </c>
      <c r="B399" s="75" t="s">
        <v>451</v>
      </c>
      <c r="C399" s="57" t="s">
        <v>401</v>
      </c>
      <c r="D399" s="57"/>
      <c r="E399" s="57"/>
      <c r="F399" s="45" t="s">
        <v>452</v>
      </c>
      <c r="G399" s="89">
        <v>8670</v>
      </c>
    </row>
    <row r="400" spans="1:7" ht="19.5" x14ac:dyDescent="0.35">
      <c r="A400" s="420">
        <v>399</v>
      </c>
      <c r="B400" s="75" t="s">
        <v>454</v>
      </c>
      <c r="C400" s="57" t="s">
        <v>401</v>
      </c>
      <c r="D400" s="57"/>
      <c r="E400" s="57"/>
      <c r="F400" s="45" t="s">
        <v>455</v>
      </c>
      <c r="G400" s="89">
        <v>8670</v>
      </c>
    </row>
    <row r="401" spans="1:7" ht="19.5" x14ac:dyDescent="0.35">
      <c r="A401" s="420">
        <v>400</v>
      </c>
      <c r="B401" s="75" t="s">
        <v>457</v>
      </c>
      <c r="C401" s="57" t="s">
        <v>401</v>
      </c>
      <c r="D401" s="57"/>
      <c r="E401" s="57"/>
      <c r="F401" s="45" t="s">
        <v>458</v>
      </c>
      <c r="G401" s="89">
        <v>8670</v>
      </c>
    </row>
    <row r="402" spans="1:7" ht="19.5" x14ac:dyDescent="0.35">
      <c r="A402" s="420">
        <v>401</v>
      </c>
      <c r="B402" s="75" t="s">
        <v>460</v>
      </c>
      <c r="C402" s="57" t="s">
        <v>401</v>
      </c>
      <c r="D402" s="57"/>
      <c r="E402" s="57"/>
      <c r="F402" s="45" t="s">
        <v>461</v>
      </c>
      <c r="G402" s="89">
        <v>8670</v>
      </c>
    </row>
    <row r="403" spans="1:7" ht="19.5" x14ac:dyDescent="0.35">
      <c r="A403" s="420">
        <v>402</v>
      </c>
      <c r="B403" s="75" t="s">
        <v>463</v>
      </c>
      <c r="C403" s="57" t="s">
        <v>401</v>
      </c>
      <c r="D403" s="57"/>
      <c r="E403" s="57"/>
      <c r="F403" s="45" t="s">
        <v>464</v>
      </c>
      <c r="G403" s="89">
        <v>8250</v>
      </c>
    </row>
    <row r="404" spans="1:7" ht="19.5" x14ac:dyDescent="0.35">
      <c r="A404" s="420">
        <v>403</v>
      </c>
      <c r="B404" s="75" t="s">
        <v>466</v>
      </c>
      <c r="C404" s="57" t="s">
        <v>401</v>
      </c>
      <c r="D404" s="57"/>
      <c r="E404" s="57"/>
      <c r="F404" s="45" t="s">
        <v>467</v>
      </c>
      <c r="G404" s="89">
        <v>8250</v>
      </c>
    </row>
    <row r="405" spans="1:7" ht="19.5" x14ac:dyDescent="0.35">
      <c r="A405" s="420">
        <v>404</v>
      </c>
      <c r="B405" s="75" t="s">
        <v>469</v>
      </c>
      <c r="C405" s="57" t="s">
        <v>409</v>
      </c>
      <c r="D405" s="57"/>
      <c r="E405" s="57"/>
      <c r="F405" s="45" t="s">
        <v>470</v>
      </c>
      <c r="G405" s="89">
        <v>8670</v>
      </c>
    </row>
    <row r="406" spans="1:7" ht="19.5" x14ac:dyDescent="0.35">
      <c r="A406" s="420">
        <v>405</v>
      </c>
      <c r="B406" s="75" t="s">
        <v>472</v>
      </c>
      <c r="C406" s="57" t="s">
        <v>409</v>
      </c>
      <c r="D406" s="57"/>
      <c r="E406" s="57"/>
      <c r="F406" s="45" t="s">
        <v>473</v>
      </c>
      <c r="G406" s="89">
        <v>8670</v>
      </c>
    </row>
    <row r="407" spans="1:7" ht="19.5" x14ac:dyDescent="0.35">
      <c r="A407" s="420">
        <v>406</v>
      </c>
      <c r="B407" s="75" t="s">
        <v>475</v>
      </c>
      <c r="C407" s="57" t="s">
        <v>409</v>
      </c>
      <c r="D407" s="57"/>
      <c r="E407" s="57"/>
      <c r="F407" s="45" t="s">
        <v>476</v>
      </c>
      <c r="G407" s="89">
        <v>8250</v>
      </c>
    </row>
    <row r="408" spans="1:7" ht="19.5" x14ac:dyDescent="0.35">
      <c r="A408" s="420">
        <v>407</v>
      </c>
      <c r="B408" s="75" t="s">
        <v>478</v>
      </c>
      <c r="C408" s="57" t="s">
        <v>409</v>
      </c>
      <c r="D408" s="57"/>
      <c r="E408" s="57"/>
      <c r="F408" s="45" t="s">
        <v>479</v>
      </c>
      <c r="G408" s="89">
        <v>8250</v>
      </c>
    </row>
    <row r="409" spans="1:7" ht="19.5" x14ac:dyDescent="0.35">
      <c r="A409" s="420">
        <v>408</v>
      </c>
      <c r="B409" s="75" t="s">
        <v>481</v>
      </c>
      <c r="C409" s="51"/>
      <c r="D409" s="51"/>
      <c r="E409" s="51"/>
      <c r="F409" s="45" t="s">
        <v>482</v>
      </c>
      <c r="G409" s="89">
        <v>8250</v>
      </c>
    </row>
    <row r="410" spans="1:7" ht="19.5" x14ac:dyDescent="0.35">
      <c r="A410" s="420">
        <v>409</v>
      </c>
      <c r="B410" s="75" t="s">
        <v>484</v>
      </c>
      <c r="C410" s="57" t="s">
        <v>409</v>
      </c>
      <c r="D410" s="57"/>
      <c r="E410" s="57"/>
      <c r="F410" s="45" t="s">
        <v>485</v>
      </c>
      <c r="G410" s="89">
        <v>8250</v>
      </c>
    </row>
    <row r="411" spans="1:7" ht="19.5" x14ac:dyDescent="0.35">
      <c r="B411" s="135"/>
      <c r="C411" s="135"/>
      <c r="D411" s="135"/>
      <c r="E411" s="135"/>
      <c r="F411" s="135"/>
      <c r="G411" s="63"/>
    </row>
  </sheetData>
  <conditionalFormatting sqref="F104">
    <cfRule type="duplicateValues" dxfId="47" priority="20"/>
  </conditionalFormatting>
  <conditionalFormatting sqref="F46">
    <cfRule type="duplicateValues" dxfId="46" priority="19"/>
  </conditionalFormatting>
  <conditionalFormatting sqref="F46">
    <cfRule type="duplicateValues" dxfId="45" priority="15"/>
    <cfRule type="duplicateValues" dxfId="44" priority="16"/>
    <cfRule type="duplicateValues" dxfId="43" priority="17"/>
    <cfRule type="duplicateValues" dxfId="42" priority="18"/>
  </conditionalFormatting>
  <conditionalFormatting sqref="F31">
    <cfRule type="duplicateValues" dxfId="41" priority="14"/>
  </conditionalFormatting>
  <conditionalFormatting sqref="F31">
    <cfRule type="duplicateValues" dxfId="40" priority="10"/>
    <cfRule type="duplicateValues" dxfId="39" priority="11"/>
    <cfRule type="duplicateValues" dxfId="38" priority="12"/>
    <cfRule type="duplicateValues" dxfId="37" priority="13"/>
  </conditionalFormatting>
  <conditionalFormatting sqref="F48">
    <cfRule type="duplicateValues" dxfId="36" priority="9"/>
  </conditionalFormatting>
  <conditionalFormatting sqref="F48">
    <cfRule type="duplicateValues" dxfId="35" priority="5"/>
    <cfRule type="duplicateValues" dxfId="34" priority="6"/>
    <cfRule type="duplicateValues" dxfId="33" priority="7"/>
    <cfRule type="duplicateValues" dxfId="32" priority="8"/>
  </conditionalFormatting>
  <conditionalFormatting sqref="F14">
    <cfRule type="expression" dxfId="31" priority="21" stopIfTrue="1">
      <formula>AND(COUNTIF(#REF!, F14)+COUNTIF($I$14:$I$14, F14)&gt;1,NOT(ISBLANK(F14)))</formula>
    </cfRule>
  </conditionalFormatting>
  <conditionalFormatting sqref="F14">
    <cfRule type="expression" dxfId="30" priority="22" stopIfTrue="1">
      <formula>AND(COUNTIF(#REF!, F14)+COUNTIF($I$14:$I$14, F14)&gt;1,NOT(ISBLANK(F14)))</formula>
    </cfRule>
    <cfRule type="expression" dxfId="29" priority="23" stopIfTrue="1">
      <formula>AND(COUNTIF(#REF!, F14)+COUNTIF($I$14:$I$14, F14)&gt;1,NOT(ISBLANK(F14)))</formula>
    </cfRule>
    <cfRule type="expression" dxfId="28" priority="24" stopIfTrue="1">
      <formula>AND(COUNTIF(#REF!, F14)+COUNTIF($I$14:$I$14, F14)&gt;1,NOT(ISBLANK(F14)))</formula>
    </cfRule>
  </conditionalFormatting>
  <conditionalFormatting sqref="F45">
    <cfRule type="expression" dxfId="27" priority="1" stopIfTrue="1">
      <formula>AND(COUNTIF($I$45:$I$45, F45)+COUNTIF($I$14:$I$14, F45)&gt;1,NOT(ISBLANK(F45)))</formula>
    </cfRule>
  </conditionalFormatting>
  <conditionalFormatting sqref="F45">
    <cfRule type="expression" dxfId="26" priority="2" stopIfTrue="1">
      <formula>AND(COUNTIF($I$45:$I$45, F45)+COUNTIF($I$14:$I$14, F45)&gt;1,NOT(ISBLANK(F45)))</formula>
    </cfRule>
    <cfRule type="expression" dxfId="25" priority="3" stopIfTrue="1">
      <formula>AND(COUNTIF($I$45:$I$45, F45)+COUNTIF($I$14:$I$14, F45)&gt;1,NOT(ISBLANK(F45)))</formula>
    </cfRule>
    <cfRule type="expression" dxfId="24" priority="4" stopIfTrue="1">
      <formula>AND(COUNTIF($I$45:$I$45, F45)+COUNTIF($I$14:$I$14, F45)&gt;1,NOT(ISBLANK(F45)))</formula>
    </cfRule>
  </conditionalFormatting>
  <dataValidations count="1">
    <dataValidation type="whole" operator="greaterThanOrEqual" allowBlank="1" showInputMessage="1" showErrorMessage="1" sqref="G65679:G65713 G131215:G131249 G196751:G196785 G262287:G262321 G327823:G327857 G393359:G393393 G458895:G458929 G524431:G524465 G589967:G590001 G655503:G655537 G721039:G721073 G786575:G786609 G852111:G852145 G917647:G917681 G983183:G983217 G65571:G65574 G131107:G131110 G196643:G196646 G262179:G262182 G327715:G327718 G393251:G393254 G458787:G458790 G524323:G524326 G589859:G589862 G655395:G655398 G720931:G720934 G786467:G786470 G852003:G852006 G917539:G917542 G983075:G983078 G65532:G65569 G131068:G131105 G196604:G196641 G262140:G262177 G327676:G327713 G393212:G393249 G458748:G458785 G524284:G524321 G589820:G589857 G655356:G655393 G720892:G720929 G786428:G786465 G851964:G852001 G917500:G917537 G983036:G983073 G65576:G65677 G131112:G131213 G196648:G196749 G262184:G262285 G327720:G327821 G393256:G393357 G458792:G458893 G524328:G524429 G589864:G589965 G655400:G655501 G720936:G721037 G786472:G786573 G852008:G852109 G917544:G917645 G983080:G983181 G145:G288 G376:G411 G290:G374 G2:G38 G40:G143">
      <formula1>1</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23"/>
  <sheetViews>
    <sheetView workbookViewId="0">
      <selection activeCell="A5" sqref="A5"/>
    </sheetView>
  </sheetViews>
  <sheetFormatPr defaultRowHeight="17.25" x14ac:dyDescent="0.25"/>
  <cols>
    <col min="1" max="1" width="28.28515625" style="258" customWidth="1"/>
  </cols>
  <sheetData>
    <row r="1" spans="1:1" ht="15" x14ac:dyDescent="0.25">
      <c r="A1"/>
    </row>
    <row r="2" spans="1:1" ht="15" x14ac:dyDescent="0.25">
      <c r="A2"/>
    </row>
    <row r="3" spans="1:1" ht="15" x14ac:dyDescent="0.25">
      <c r="A3"/>
    </row>
    <row r="4" spans="1:1" ht="15" x14ac:dyDescent="0.25">
      <c r="A4"/>
    </row>
    <row r="5" spans="1:1" ht="15" x14ac:dyDescent="0.25">
      <c r="A5"/>
    </row>
    <row r="6" spans="1:1" ht="15" x14ac:dyDescent="0.25">
      <c r="A6"/>
    </row>
    <row r="7" spans="1:1" x14ac:dyDescent="0.25">
      <c r="A7" s="216" t="s">
        <v>517</v>
      </c>
    </row>
    <row r="8" spans="1:1" ht="69" x14ac:dyDescent="0.25">
      <c r="A8" s="168" t="s">
        <v>518</v>
      </c>
    </row>
    <row r="9" spans="1:1" ht="86.25" x14ac:dyDescent="0.25">
      <c r="A9" s="175" t="s">
        <v>523</v>
      </c>
    </row>
    <row r="10" spans="1:1" ht="86.25" x14ac:dyDescent="0.25">
      <c r="A10" s="175" t="s">
        <v>527</v>
      </c>
    </row>
    <row r="11" spans="1:1" ht="69" x14ac:dyDescent="0.25">
      <c r="A11" s="175" t="s">
        <v>530</v>
      </c>
    </row>
    <row r="12" spans="1:1" ht="86.25" x14ac:dyDescent="0.25">
      <c r="A12" s="175" t="s">
        <v>533</v>
      </c>
    </row>
    <row r="13" spans="1:1" ht="51.75" x14ac:dyDescent="0.25">
      <c r="A13" s="175" t="s">
        <v>536</v>
      </c>
    </row>
    <row r="14" spans="1:1" ht="86.25" x14ac:dyDescent="0.25">
      <c r="A14" s="175" t="s">
        <v>540</v>
      </c>
    </row>
    <row r="15" spans="1:1" ht="86.25" x14ac:dyDescent="0.25">
      <c r="A15" s="175" t="s">
        <v>543</v>
      </c>
    </row>
    <row r="16" spans="1:1" ht="86.25" x14ac:dyDescent="0.25">
      <c r="A16" s="175" t="s">
        <v>547</v>
      </c>
    </row>
    <row r="17" spans="1:1" ht="86.25" x14ac:dyDescent="0.25">
      <c r="A17" s="175" t="s">
        <v>551</v>
      </c>
    </row>
    <row r="18" spans="1:1" ht="69" x14ac:dyDescent="0.25">
      <c r="A18" s="175" t="s">
        <v>554</v>
      </c>
    </row>
    <row r="19" spans="1:1" ht="120.75" x14ac:dyDescent="0.25">
      <c r="A19" s="175" t="s">
        <v>557</v>
      </c>
    </row>
    <row r="20" spans="1:1" ht="69" x14ac:dyDescent="0.25">
      <c r="A20" s="175" t="s">
        <v>562</v>
      </c>
    </row>
    <row r="21" spans="1:1" ht="51.75" x14ac:dyDescent="0.25">
      <c r="A21" s="175" t="s">
        <v>566</v>
      </c>
    </row>
    <row r="22" spans="1:1" ht="86.25" x14ac:dyDescent="0.25">
      <c r="A22" s="175" t="s">
        <v>570</v>
      </c>
    </row>
    <row r="23" spans="1:1" ht="51.75" x14ac:dyDescent="0.25">
      <c r="A23" s="175" t="s">
        <v>573</v>
      </c>
    </row>
    <row r="24" spans="1:1" ht="51.75" x14ac:dyDescent="0.25">
      <c r="A24" s="184" t="s">
        <v>577</v>
      </c>
    </row>
    <row r="25" spans="1:1" ht="51.75" x14ac:dyDescent="0.25">
      <c r="A25" s="175" t="s">
        <v>580</v>
      </c>
    </row>
    <row r="26" spans="1:1" ht="69" x14ac:dyDescent="0.25">
      <c r="A26" s="175" t="s">
        <v>583</v>
      </c>
    </row>
    <row r="27" spans="1:1" ht="51.75" x14ac:dyDescent="0.25">
      <c r="A27" s="175" t="s">
        <v>587</v>
      </c>
    </row>
    <row r="28" spans="1:1" ht="51.75" x14ac:dyDescent="0.25">
      <c r="A28" s="175" t="s">
        <v>591</v>
      </c>
    </row>
    <row r="29" spans="1:1" ht="69" x14ac:dyDescent="0.25">
      <c r="A29" s="175" t="s">
        <v>595</v>
      </c>
    </row>
    <row r="30" spans="1:1" ht="51.75" x14ac:dyDescent="0.25">
      <c r="A30" s="175" t="s">
        <v>598</v>
      </c>
    </row>
    <row r="31" spans="1:1" ht="86.25" x14ac:dyDescent="0.25">
      <c r="A31" s="175" t="s">
        <v>601</v>
      </c>
    </row>
    <row r="32" spans="1:1" ht="69" x14ac:dyDescent="0.25">
      <c r="A32" s="175" t="s">
        <v>604</v>
      </c>
    </row>
    <row r="33" spans="1:1" ht="51.75" x14ac:dyDescent="0.25">
      <c r="A33" s="191" t="s">
        <v>607</v>
      </c>
    </row>
    <row r="34" spans="1:1" ht="51.75" x14ac:dyDescent="0.25">
      <c r="A34" s="191" t="s">
        <v>611</v>
      </c>
    </row>
    <row r="35" spans="1:1" ht="51.75" x14ac:dyDescent="0.25">
      <c r="A35" s="175" t="s">
        <v>615</v>
      </c>
    </row>
    <row r="36" spans="1:1" ht="51.75" x14ac:dyDescent="0.25">
      <c r="A36" s="175" t="s">
        <v>619</v>
      </c>
    </row>
    <row r="37" spans="1:1" ht="51.75" x14ac:dyDescent="0.25">
      <c r="A37" s="175" t="s">
        <v>622</v>
      </c>
    </row>
    <row r="38" spans="1:1" ht="51.75" x14ac:dyDescent="0.25">
      <c r="A38" s="175" t="s">
        <v>625</v>
      </c>
    </row>
    <row r="39" spans="1:1" x14ac:dyDescent="0.25">
      <c r="A39" s="202" t="s">
        <v>609</v>
      </c>
    </row>
    <row r="40" spans="1:1" ht="69" x14ac:dyDescent="0.25">
      <c r="A40" s="175" t="s">
        <v>628</v>
      </c>
    </row>
    <row r="41" spans="1:1" ht="51.75" x14ac:dyDescent="0.25">
      <c r="A41" s="175" t="s">
        <v>631</v>
      </c>
    </row>
    <row r="42" spans="1:1" ht="51.75" x14ac:dyDescent="0.25">
      <c r="A42" s="175" t="s">
        <v>634</v>
      </c>
    </row>
    <row r="43" spans="1:1" ht="51.75" x14ac:dyDescent="0.25">
      <c r="A43" s="175" t="s">
        <v>637</v>
      </c>
    </row>
    <row r="44" spans="1:1" ht="69" x14ac:dyDescent="0.25">
      <c r="A44" s="175" t="s">
        <v>641</v>
      </c>
    </row>
    <row r="45" spans="1:1" ht="69" x14ac:dyDescent="0.25">
      <c r="A45" s="175" t="s">
        <v>644</v>
      </c>
    </row>
    <row r="46" spans="1:1" ht="51.75" x14ac:dyDescent="0.25">
      <c r="A46" s="175" t="s">
        <v>648</v>
      </c>
    </row>
    <row r="47" spans="1:1" ht="51.75" x14ac:dyDescent="0.25">
      <c r="A47" s="207" t="s">
        <v>651</v>
      </c>
    </row>
    <row r="48" spans="1:1" ht="51.75" x14ac:dyDescent="0.25">
      <c r="A48" s="175" t="s">
        <v>655</v>
      </c>
    </row>
    <row r="49" spans="1:1" ht="51.75" x14ac:dyDescent="0.25">
      <c r="A49" s="175" t="s">
        <v>659</v>
      </c>
    </row>
    <row r="50" spans="1:1" ht="51.75" x14ac:dyDescent="0.25">
      <c r="A50" s="175" t="s">
        <v>662</v>
      </c>
    </row>
    <row r="51" spans="1:1" ht="15" x14ac:dyDescent="0.25">
      <c r="A51"/>
    </row>
    <row r="52" spans="1:1" ht="69" x14ac:dyDescent="0.25">
      <c r="A52" s="175" t="s">
        <v>666</v>
      </c>
    </row>
    <row r="53" spans="1:1" ht="80.25" x14ac:dyDescent="0.25">
      <c r="A53" s="175" t="s">
        <v>670</v>
      </c>
    </row>
    <row r="54" spans="1:1" ht="80.25" x14ac:dyDescent="0.25">
      <c r="A54" s="175" t="s">
        <v>674</v>
      </c>
    </row>
    <row r="55" spans="1:1" ht="80.25" x14ac:dyDescent="0.25">
      <c r="A55" s="175" t="s">
        <v>676</v>
      </c>
    </row>
    <row r="56" spans="1:1" ht="83.25" x14ac:dyDescent="0.25">
      <c r="A56" s="175" t="s">
        <v>680</v>
      </c>
    </row>
    <row r="57" spans="1:1" ht="80.25" x14ac:dyDescent="0.25">
      <c r="A57" s="175" t="s">
        <v>684</v>
      </c>
    </row>
    <row r="58" spans="1:1" ht="83.25" x14ac:dyDescent="0.25">
      <c r="A58" s="175" t="s">
        <v>687</v>
      </c>
    </row>
    <row r="59" spans="1:1" ht="83.25" x14ac:dyDescent="0.25">
      <c r="A59" s="175" t="s">
        <v>690</v>
      </c>
    </row>
    <row r="60" spans="1:1" ht="80.25" x14ac:dyDescent="0.25">
      <c r="A60" s="175" t="s">
        <v>693</v>
      </c>
    </row>
    <row r="61" spans="1:1" ht="80.25" x14ac:dyDescent="0.25">
      <c r="A61" s="175" t="s">
        <v>696</v>
      </c>
    </row>
    <row r="62" spans="1:1" ht="100.5" x14ac:dyDescent="0.25">
      <c r="A62" s="175" t="s">
        <v>699</v>
      </c>
    </row>
    <row r="63" spans="1:1" ht="69" x14ac:dyDescent="0.25">
      <c r="A63" s="175" t="s">
        <v>702</v>
      </c>
    </row>
    <row r="64" spans="1:1" ht="69" x14ac:dyDescent="0.25">
      <c r="A64" s="175" t="s">
        <v>705</v>
      </c>
    </row>
    <row r="65" spans="1:1" ht="63.75" x14ac:dyDescent="0.25">
      <c r="A65" s="175" t="s">
        <v>708</v>
      </c>
    </row>
    <row r="66" spans="1:1" ht="83.25" x14ac:dyDescent="0.25">
      <c r="A66" s="168" t="s">
        <v>711</v>
      </c>
    </row>
    <row r="67" spans="1:1" ht="83.25" x14ac:dyDescent="0.25">
      <c r="A67" s="175" t="s">
        <v>714</v>
      </c>
    </row>
    <row r="68" spans="1:1" ht="63.75" x14ac:dyDescent="0.25">
      <c r="A68" s="175" t="s">
        <v>717</v>
      </c>
    </row>
    <row r="69" spans="1:1" ht="63.75" x14ac:dyDescent="0.25">
      <c r="A69" s="175" t="s">
        <v>720</v>
      </c>
    </row>
    <row r="70" spans="1:1" ht="66" x14ac:dyDescent="0.25">
      <c r="A70" s="175" t="s">
        <v>723</v>
      </c>
    </row>
    <row r="71" spans="1:1" ht="69" x14ac:dyDescent="0.25">
      <c r="A71" s="175" t="s">
        <v>726</v>
      </c>
    </row>
    <row r="72" spans="1:1" ht="66" x14ac:dyDescent="0.25">
      <c r="A72" s="168" t="s">
        <v>729</v>
      </c>
    </row>
    <row r="73" spans="1:1" ht="80.25" x14ac:dyDescent="0.25">
      <c r="A73" s="175" t="s">
        <v>732</v>
      </c>
    </row>
    <row r="74" spans="1:1" ht="66" x14ac:dyDescent="0.25">
      <c r="A74" s="175" t="s">
        <v>735</v>
      </c>
    </row>
    <row r="75" spans="1:1" ht="66" x14ac:dyDescent="0.25">
      <c r="A75" s="175" t="s">
        <v>738</v>
      </c>
    </row>
    <row r="76" spans="1:1" ht="83.25" x14ac:dyDescent="0.25">
      <c r="A76" s="175" t="s">
        <v>742</v>
      </c>
    </row>
    <row r="77" spans="1:1" ht="100.5" x14ac:dyDescent="0.25">
      <c r="A77" s="175" t="s">
        <v>745</v>
      </c>
    </row>
    <row r="78" spans="1:1" ht="80.25" x14ac:dyDescent="0.25">
      <c r="A78" s="175" t="s">
        <v>748</v>
      </c>
    </row>
    <row r="79" spans="1:1" ht="80.25" x14ac:dyDescent="0.25">
      <c r="A79" s="175" t="s">
        <v>751</v>
      </c>
    </row>
    <row r="80" spans="1:1" ht="66" x14ac:dyDescent="0.25">
      <c r="A80" s="175" t="s">
        <v>754</v>
      </c>
    </row>
    <row r="81" spans="1:1" ht="80.25" x14ac:dyDescent="0.25">
      <c r="A81" s="175" t="s">
        <v>757</v>
      </c>
    </row>
    <row r="82" spans="1:1" ht="83.25" x14ac:dyDescent="0.25">
      <c r="A82" s="175" t="s">
        <v>761</v>
      </c>
    </row>
    <row r="83" spans="1:1" ht="80.25" x14ac:dyDescent="0.25">
      <c r="A83" s="175" t="s">
        <v>765</v>
      </c>
    </row>
    <row r="84" spans="1:1" ht="97.5" x14ac:dyDescent="0.25">
      <c r="A84" s="175" t="s">
        <v>768</v>
      </c>
    </row>
    <row r="85" spans="1:1" ht="80.25" x14ac:dyDescent="0.25">
      <c r="A85" s="175" t="s">
        <v>771</v>
      </c>
    </row>
    <row r="86" spans="1:1" ht="83.25" x14ac:dyDescent="0.25">
      <c r="A86" s="175" t="s">
        <v>774</v>
      </c>
    </row>
    <row r="87" spans="1:1" ht="86.25" x14ac:dyDescent="0.25">
      <c r="A87" s="175" t="s">
        <v>777</v>
      </c>
    </row>
    <row r="88" spans="1:1" ht="51.75" x14ac:dyDescent="0.25">
      <c r="A88" s="175" t="s">
        <v>780</v>
      </c>
    </row>
    <row r="89" spans="1:1" ht="63.75" x14ac:dyDescent="0.25">
      <c r="A89" s="175" t="s">
        <v>783</v>
      </c>
    </row>
    <row r="90" spans="1:1" ht="63.75" x14ac:dyDescent="0.25">
      <c r="A90" s="175" t="s">
        <v>787</v>
      </c>
    </row>
    <row r="91" spans="1:1" ht="86.25" x14ac:dyDescent="0.25">
      <c r="A91" s="175" t="s">
        <v>791</v>
      </c>
    </row>
    <row r="92" spans="1:1" ht="69" x14ac:dyDescent="0.25">
      <c r="A92" s="168" t="s">
        <v>795</v>
      </c>
    </row>
    <row r="93" spans="1:1" ht="47.25" x14ac:dyDescent="0.25">
      <c r="A93" s="222" t="s">
        <v>798</v>
      </c>
    </row>
    <row r="94" spans="1:1" ht="63.75" x14ac:dyDescent="0.25">
      <c r="A94" s="175" t="s">
        <v>802</v>
      </c>
    </row>
    <row r="95" spans="1:1" ht="86.25" x14ac:dyDescent="0.25">
      <c r="A95" s="175" t="s">
        <v>805</v>
      </c>
    </row>
    <row r="96" spans="1:1" ht="86.25" x14ac:dyDescent="0.25">
      <c r="A96" s="175" t="s">
        <v>808</v>
      </c>
    </row>
    <row r="97" spans="1:1" ht="99" x14ac:dyDescent="0.25">
      <c r="A97" s="175" t="s">
        <v>811</v>
      </c>
    </row>
    <row r="98" spans="1:1" ht="80.25" x14ac:dyDescent="0.25">
      <c r="A98" s="175" t="s">
        <v>815</v>
      </c>
    </row>
    <row r="99" spans="1:1" ht="80.25" x14ac:dyDescent="0.25">
      <c r="A99" s="175" t="s">
        <v>819</v>
      </c>
    </row>
    <row r="100" spans="1:1" ht="100.5" x14ac:dyDescent="0.25">
      <c r="A100" s="233" t="s">
        <v>823</v>
      </c>
    </row>
    <row r="101" spans="1:1" ht="117.75" x14ac:dyDescent="0.25">
      <c r="A101" s="175" t="s">
        <v>826</v>
      </c>
    </row>
    <row r="102" spans="1:1" ht="66" x14ac:dyDescent="0.25">
      <c r="A102" s="175" t="s">
        <v>830</v>
      </c>
    </row>
    <row r="103" spans="1:1" ht="66" x14ac:dyDescent="0.25">
      <c r="A103" s="175" t="s">
        <v>834</v>
      </c>
    </row>
    <row r="104" spans="1:1" ht="69" x14ac:dyDescent="0.25">
      <c r="A104" s="175" t="s">
        <v>837</v>
      </c>
    </row>
    <row r="105" spans="1:1" x14ac:dyDescent="0.25">
      <c r="A105" s="202" t="s">
        <v>841</v>
      </c>
    </row>
    <row r="106" spans="1:1" ht="51.75" x14ac:dyDescent="0.25">
      <c r="A106" s="175" t="s">
        <v>842</v>
      </c>
    </row>
    <row r="107" spans="1:1" ht="51.75" x14ac:dyDescent="0.25">
      <c r="A107" s="175" t="s">
        <v>847</v>
      </c>
    </row>
    <row r="108" spans="1:1" ht="51.75" x14ac:dyDescent="0.25">
      <c r="A108" s="175" t="s">
        <v>850</v>
      </c>
    </row>
    <row r="109" spans="1:1" ht="51.75" x14ac:dyDescent="0.25">
      <c r="A109" s="175" t="s">
        <v>854</v>
      </c>
    </row>
    <row r="110" spans="1:1" ht="69" x14ac:dyDescent="0.25">
      <c r="A110" s="175" t="s">
        <v>857</v>
      </c>
    </row>
    <row r="111" spans="1:1" ht="51.75" x14ac:dyDescent="0.25">
      <c r="A111" s="175" t="s">
        <v>860</v>
      </c>
    </row>
    <row r="112" spans="1:1" ht="51.75" x14ac:dyDescent="0.25">
      <c r="A112" s="175" t="s">
        <v>863</v>
      </c>
    </row>
    <row r="113" spans="1:1" ht="51.75" x14ac:dyDescent="0.25">
      <c r="A113" s="175" t="s">
        <v>866</v>
      </c>
    </row>
    <row r="114" spans="1:1" ht="51.75" x14ac:dyDescent="0.25">
      <c r="A114" s="175" t="s">
        <v>870</v>
      </c>
    </row>
    <row r="115" spans="1:1" ht="51.75" x14ac:dyDescent="0.25">
      <c r="A115" s="175" t="s">
        <v>873</v>
      </c>
    </row>
    <row r="116" spans="1:1" ht="69" x14ac:dyDescent="0.25">
      <c r="A116" s="175" t="s">
        <v>876</v>
      </c>
    </row>
    <row r="117" spans="1:1" ht="51.75" x14ac:dyDescent="0.25">
      <c r="A117" s="175" t="s">
        <v>879</v>
      </c>
    </row>
    <row r="118" spans="1:1" ht="51.75" x14ac:dyDescent="0.25">
      <c r="A118" s="175" t="s">
        <v>882</v>
      </c>
    </row>
    <row r="119" spans="1:1" ht="51.75" x14ac:dyDescent="0.25">
      <c r="A119" s="175" t="s">
        <v>885</v>
      </c>
    </row>
    <row r="120" spans="1:1" ht="51.75" x14ac:dyDescent="0.25">
      <c r="A120" s="175" t="s">
        <v>888</v>
      </c>
    </row>
    <row r="121" spans="1:1" ht="51.75" x14ac:dyDescent="0.25">
      <c r="A121" s="175" t="s">
        <v>891</v>
      </c>
    </row>
    <row r="122" spans="1:1" ht="51.75" x14ac:dyDescent="0.25">
      <c r="A122" s="175" t="s">
        <v>895</v>
      </c>
    </row>
    <row r="123" spans="1:1" ht="51.75" x14ac:dyDescent="0.25">
      <c r="A123" s="175" t="s">
        <v>898</v>
      </c>
    </row>
    <row r="124" spans="1:1" ht="51.75" x14ac:dyDescent="0.25">
      <c r="A124" s="175" t="s">
        <v>901</v>
      </c>
    </row>
    <row r="125" spans="1:1" ht="51.75" x14ac:dyDescent="0.25">
      <c r="A125" s="175" t="s">
        <v>904</v>
      </c>
    </row>
    <row r="126" spans="1:1" ht="51.75" x14ac:dyDescent="0.25">
      <c r="A126" s="175" t="s">
        <v>907</v>
      </c>
    </row>
    <row r="127" spans="1:1" ht="51.75" x14ac:dyDescent="0.25">
      <c r="A127" s="175" t="s">
        <v>910</v>
      </c>
    </row>
    <row r="128" spans="1:1" ht="69" x14ac:dyDescent="0.25">
      <c r="A128" s="175" t="s">
        <v>913</v>
      </c>
    </row>
    <row r="129" spans="1:1" ht="51.75" x14ac:dyDescent="0.25">
      <c r="A129" s="175" t="s">
        <v>916</v>
      </c>
    </row>
    <row r="130" spans="1:1" ht="51.75" x14ac:dyDescent="0.25">
      <c r="A130" s="175" t="s">
        <v>920</v>
      </c>
    </row>
    <row r="131" spans="1:1" ht="51.75" x14ac:dyDescent="0.25">
      <c r="A131" s="175" t="s">
        <v>924</v>
      </c>
    </row>
    <row r="132" spans="1:1" ht="51.75" x14ac:dyDescent="0.25">
      <c r="A132" s="175" t="s">
        <v>927</v>
      </c>
    </row>
    <row r="133" spans="1:1" ht="51.75" x14ac:dyDescent="0.25">
      <c r="A133" s="175" t="s">
        <v>930</v>
      </c>
    </row>
    <row r="134" spans="1:1" ht="51.75" x14ac:dyDescent="0.25">
      <c r="A134" s="175" t="s">
        <v>933</v>
      </c>
    </row>
    <row r="135" spans="1:1" ht="51.75" x14ac:dyDescent="0.25">
      <c r="A135" s="175" t="s">
        <v>937</v>
      </c>
    </row>
    <row r="136" spans="1:1" ht="51.75" x14ac:dyDescent="0.25">
      <c r="A136" s="175" t="s">
        <v>941</v>
      </c>
    </row>
    <row r="137" spans="1:1" ht="51.75" x14ac:dyDescent="0.25">
      <c r="A137" s="175" t="s">
        <v>944</v>
      </c>
    </row>
    <row r="138" spans="1:1" ht="51.75" x14ac:dyDescent="0.25">
      <c r="A138" s="175" t="s">
        <v>947</v>
      </c>
    </row>
    <row r="139" spans="1:1" ht="51.75" x14ac:dyDescent="0.25">
      <c r="A139" s="175" t="s">
        <v>950</v>
      </c>
    </row>
    <row r="140" spans="1:1" ht="51.75" x14ac:dyDescent="0.25">
      <c r="A140" s="175" t="s">
        <v>953</v>
      </c>
    </row>
    <row r="141" spans="1:1" ht="51.75" x14ac:dyDescent="0.25">
      <c r="A141" s="175" t="s">
        <v>956</v>
      </c>
    </row>
    <row r="142" spans="1:1" ht="51.75" x14ac:dyDescent="0.25">
      <c r="A142" s="175" t="s">
        <v>959</v>
      </c>
    </row>
    <row r="143" spans="1:1" ht="51.75" x14ac:dyDescent="0.25">
      <c r="A143" s="175" t="s">
        <v>962</v>
      </c>
    </row>
    <row r="144" spans="1:1" ht="69" x14ac:dyDescent="0.25">
      <c r="A144" s="175" t="s">
        <v>965</v>
      </c>
    </row>
    <row r="145" spans="1:1" ht="51.75" x14ac:dyDescent="0.25">
      <c r="A145" s="175" t="s">
        <v>968</v>
      </c>
    </row>
    <row r="146" spans="1:1" ht="51.75" x14ac:dyDescent="0.25">
      <c r="A146" s="175" t="s">
        <v>971</v>
      </c>
    </row>
    <row r="147" spans="1:1" ht="51.75" x14ac:dyDescent="0.25">
      <c r="A147" s="207" t="s">
        <v>974</v>
      </c>
    </row>
    <row r="148" spans="1:1" ht="51.75" x14ac:dyDescent="0.25">
      <c r="A148" s="175" t="s">
        <v>978</v>
      </c>
    </row>
    <row r="149" spans="1:1" ht="69" x14ac:dyDescent="0.25">
      <c r="A149" s="175" t="s">
        <v>982</v>
      </c>
    </row>
    <row r="150" spans="1:1" ht="51.75" x14ac:dyDescent="0.25">
      <c r="A150" s="175" t="s">
        <v>985</v>
      </c>
    </row>
    <row r="151" spans="1:1" ht="51.75" x14ac:dyDescent="0.25">
      <c r="A151" s="175" t="s">
        <v>989</v>
      </c>
    </row>
    <row r="152" spans="1:1" ht="51.75" x14ac:dyDescent="0.25">
      <c r="A152" s="175" t="s">
        <v>993</v>
      </c>
    </row>
    <row r="153" spans="1:1" ht="51.75" x14ac:dyDescent="0.25">
      <c r="A153" s="175" t="s">
        <v>996</v>
      </c>
    </row>
    <row r="154" spans="1:1" x14ac:dyDescent="0.25">
      <c r="A154" s="240" t="s">
        <v>1000</v>
      </c>
    </row>
    <row r="155" spans="1:1" ht="51.75" x14ac:dyDescent="0.25">
      <c r="A155" s="175" t="s">
        <v>1001</v>
      </c>
    </row>
    <row r="156" spans="1:1" ht="69" x14ac:dyDescent="0.25">
      <c r="A156" s="175" t="s">
        <v>1005</v>
      </c>
    </row>
    <row r="157" spans="1:1" ht="69" x14ac:dyDescent="0.25">
      <c r="A157" s="175" t="s">
        <v>1009</v>
      </c>
    </row>
    <row r="158" spans="1:1" ht="69" x14ac:dyDescent="0.25">
      <c r="A158" s="175" t="s">
        <v>1013</v>
      </c>
    </row>
    <row r="159" spans="1:1" ht="69" x14ac:dyDescent="0.25">
      <c r="A159" s="175" t="s">
        <v>1017</v>
      </c>
    </row>
    <row r="160" spans="1:1" ht="69" x14ac:dyDescent="0.25">
      <c r="A160" s="175" t="s">
        <v>1020</v>
      </c>
    </row>
    <row r="161" spans="1:1" ht="69" x14ac:dyDescent="0.25">
      <c r="A161" s="175" t="s">
        <v>1023</v>
      </c>
    </row>
    <row r="162" spans="1:1" ht="69" x14ac:dyDescent="0.25">
      <c r="A162" s="175" t="s">
        <v>1027</v>
      </c>
    </row>
    <row r="163" spans="1:1" ht="69" x14ac:dyDescent="0.25">
      <c r="A163" s="175" t="s">
        <v>1031</v>
      </c>
    </row>
    <row r="164" spans="1:1" ht="69" x14ac:dyDescent="0.25">
      <c r="A164" s="175" t="s">
        <v>1035</v>
      </c>
    </row>
    <row r="165" spans="1:1" ht="69" x14ac:dyDescent="0.25">
      <c r="A165" s="175" t="s">
        <v>1038</v>
      </c>
    </row>
    <row r="166" spans="1:1" ht="86.25" x14ac:dyDescent="0.25">
      <c r="A166" s="175" t="s">
        <v>1042</v>
      </c>
    </row>
    <row r="167" spans="1:1" ht="69" x14ac:dyDescent="0.25">
      <c r="A167" s="175" t="s">
        <v>1045</v>
      </c>
    </row>
    <row r="168" spans="1:1" ht="69" x14ac:dyDescent="0.25">
      <c r="A168" s="175" t="s">
        <v>1049</v>
      </c>
    </row>
    <row r="169" spans="1:1" ht="69" x14ac:dyDescent="0.25">
      <c r="A169" s="175" t="s">
        <v>1052</v>
      </c>
    </row>
    <row r="170" spans="1:1" ht="69" x14ac:dyDescent="0.25">
      <c r="A170" s="175" t="s">
        <v>1055</v>
      </c>
    </row>
    <row r="171" spans="1:1" ht="69" x14ac:dyDescent="0.25">
      <c r="A171" s="175" t="s">
        <v>1058</v>
      </c>
    </row>
    <row r="172" spans="1:1" ht="69" x14ac:dyDescent="0.25">
      <c r="A172" s="175" t="s">
        <v>1061</v>
      </c>
    </row>
    <row r="173" spans="1:1" ht="69" x14ac:dyDescent="0.25">
      <c r="A173" s="175" t="s">
        <v>1064</v>
      </c>
    </row>
    <row r="174" spans="1:1" ht="69" x14ac:dyDescent="0.25">
      <c r="A174" s="175" t="s">
        <v>1067</v>
      </c>
    </row>
    <row r="175" spans="1:1" ht="69" x14ac:dyDescent="0.25">
      <c r="A175" s="175" t="s">
        <v>1070</v>
      </c>
    </row>
    <row r="176" spans="1:1" ht="69" x14ac:dyDescent="0.25">
      <c r="A176" s="175" t="s">
        <v>1073</v>
      </c>
    </row>
    <row r="177" spans="1:1" ht="69" x14ac:dyDescent="0.25">
      <c r="A177" s="175" t="s">
        <v>1076</v>
      </c>
    </row>
    <row r="178" spans="1:1" ht="69" x14ac:dyDescent="0.25">
      <c r="A178" s="175" t="s">
        <v>1079</v>
      </c>
    </row>
    <row r="179" spans="1:1" ht="69" x14ac:dyDescent="0.25">
      <c r="A179" s="175" t="s">
        <v>1083</v>
      </c>
    </row>
    <row r="180" spans="1:1" ht="69" x14ac:dyDescent="0.25">
      <c r="A180" s="191" t="s">
        <v>1087</v>
      </c>
    </row>
    <row r="181" spans="1:1" ht="69" x14ac:dyDescent="0.25">
      <c r="A181" s="175" t="s">
        <v>1090</v>
      </c>
    </row>
    <row r="182" spans="1:1" ht="69" x14ac:dyDescent="0.25">
      <c r="A182" s="175" t="s">
        <v>1093</v>
      </c>
    </row>
    <row r="183" spans="1:1" ht="69" x14ac:dyDescent="0.25">
      <c r="A183" s="175" t="s">
        <v>1096</v>
      </c>
    </row>
    <row r="184" spans="1:1" ht="69" x14ac:dyDescent="0.25">
      <c r="A184" s="175" t="s">
        <v>1099</v>
      </c>
    </row>
    <row r="185" spans="1:1" ht="69" x14ac:dyDescent="0.25">
      <c r="A185" s="175" t="s">
        <v>1102</v>
      </c>
    </row>
    <row r="186" spans="1:1" ht="69" x14ac:dyDescent="0.25">
      <c r="A186" s="175" t="s">
        <v>1106</v>
      </c>
    </row>
    <row r="187" spans="1:1" ht="69" x14ac:dyDescent="0.25">
      <c r="A187" s="175" t="s">
        <v>1110</v>
      </c>
    </row>
    <row r="188" spans="1:1" ht="69" x14ac:dyDescent="0.25">
      <c r="A188" s="175" t="s">
        <v>1114</v>
      </c>
    </row>
    <row r="189" spans="1:1" x14ac:dyDescent="0.25">
      <c r="A189" s="175"/>
    </row>
    <row r="190" spans="1:1" x14ac:dyDescent="0.25">
      <c r="A190" s="161" t="s">
        <v>1118</v>
      </c>
    </row>
    <row r="191" spans="1:1" x14ac:dyDescent="0.25">
      <c r="A191" s="213"/>
    </row>
    <row r="192" spans="1:1" ht="51.75" x14ac:dyDescent="0.25">
      <c r="A192" s="387" t="s">
        <v>1131</v>
      </c>
    </row>
    <row r="193" spans="1:1" ht="51.75" x14ac:dyDescent="0.25">
      <c r="A193" s="387" t="s">
        <v>1135</v>
      </c>
    </row>
    <row r="194" spans="1:1" ht="51.75" x14ac:dyDescent="0.25">
      <c r="A194" s="387" t="s">
        <v>1139</v>
      </c>
    </row>
    <row r="195" spans="1:1" ht="69" x14ac:dyDescent="0.25">
      <c r="A195" s="387" t="s">
        <v>1144</v>
      </c>
    </row>
    <row r="196" spans="1:1" ht="51.75" x14ac:dyDescent="0.25">
      <c r="A196" s="390" t="s">
        <v>1148</v>
      </c>
    </row>
    <row r="197" spans="1:1" ht="51.75" x14ac:dyDescent="0.25">
      <c r="A197" s="393" t="s">
        <v>1152</v>
      </c>
    </row>
    <row r="198" spans="1:1" ht="51.75" x14ac:dyDescent="0.25">
      <c r="A198" s="393" t="s">
        <v>1156</v>
      </c>
    </row>
    <row r="199" spans="1:1" ht="51.75" x14ac:dyDescent="0.25">
      <c r="A199" s="387" t="s">
        <v>1160</v>
      </c>
    </row>
    <row r="200" spans="1:1" ht="51.75" x14ac:dyDescent="0.25">
      <c r="A200" s="393" t="s">
        <v>1163</v>
      </c>
    </row>
    <row r="201" spans="1:1" ht="51.75" x14ac:dyDescent="0.25">
      <c r="A201" s="393" t="s">
        <v>1166</v>
      </c>
    </row>
    <row r="202" spans="1:1" ht="51.75" x14ac:dyDescent="0.25">
      <c r="A202" s="393" t="s">
        <v>1171</v>
      </c>
    </row>
    <row r="203" spans="1:1" ht="51.75" x14ac:dyDescent="0.25">
      <c r="A203" s="393" t="s">
        <v>1175</v>
      </c>
    </row>
    <row r="204" spans="1:1" ht="51.75" x14ac:dyDescent="0.25">
      <c r="A204" s="387" t="s">
        <v>1179</v>
      </c>
    </row>
    <row r="205" spans="1:1" ht="51.75" x14ac:dyDescent="0.25">
      <c r="A205" s="387" t="s">
        <v>1183</v>
      </c>
    </row>
    <row r="206" spans="1:1" ht="51.75" x14ac:dyDescent="0.25">
      <c r="A206" s="387" t="s">
        <v>1187</v>
      </c>
    </row>
    <row r="207" spans="1:1" ht="51.75" x14ac:dyDescent="0.25">
      <c r="A207" s="393" t="s">
        <v>1192</v>
      </c>
    </row>
    <row r="208" spans="1:1" ht="51.75" x14ac:dyDescent="0.25">
      <c r="A208" s="393" t="s">
        <v>1196</v>
      </c>
    </row>
    <row r="209" spans="1:1" ht="51.75" x14ac:dyDescent="0.25">
      <c r="A209" s="207" t="s">
        <v>1200</v>
      </c>
    </row>
    <row r="210" spans="1:1" ht="51.75" x14ac:dyDescent="0.25">
      <c r="A210" s="207" t="s">
        <v>1204</v>
      </c>
    </row>
    <row r="211" spans="1:1" ht="51.75" x14ac:dyDescent="0.25">
      <c r="A211" s="387" t="s">
        <v>1208</v>
      </c>
    </row>
    <row r="212" spans="1:1" ht="51.75" x14ac:dyDescent="0.25">
      <c r="A212" s="393" t="s">
        <v>1212</v>
      </c>
    </row>
    <row r="213" spans="1:1" ht="51.75" x14ac:dyDescent="0.25">
      <c r="A213" s="393" t="s">
        <v>1217</v>
      </c>
    </row>
    <row r="214" spans="1:1" ht="51.75" x14ac:dyDescent="0.25">
      <c r="A214" s="393" t="s">
        <v>1221</v>
      </c>
    </row>
    <row r="215" spans="1:1" ht="51.75" x14ac:dyDescent="0.25">
      <c r="A215" s="387" t="s">
        <v>1226</v>
      </c>
    </row>
    <row r="216" spans="1:1" ht="63.75" x14ac:dyDescent="0.25">
      <c r="A216" s="393" t="s">
        <v>1230</v>
      </c>
    </row>
    <row r="217" spans="1:1" ht="51.75" x14ac:dyDescent="0.25">
      <c r="A217" s="393" t="s">
        <v>1234</v>
      </c>
    </row>
    <row r="218" spans="1:1" ht="51.75" x14ac:dyDescent="0.25">
      <c r="A218" s="393" t="s">
        <v>1237</v>
      </c>
    </row>
    <row r="219" spans="1:1" ht="51.75" x14ac:dyDescent="0.25">
      <c r="A219" s="387" t="s">
        <v>1240</v>
      </c>
    </row>
    <row r="220" spans="1:1" ht="51.75" x14ac:dyDescent="0.25">
      <c r="A220" s="387" t="s">
        <v>1245</v>
      </c>
    </row>
    <row r="221" spans="1:1" ht="51.75" x14ac:dyDescent="0.25">
      <c r="A221" s="387" t="s">
        <v>1250</v>
      </c>
    </row>
    <row r="222" spans="1:1" ht="69" x14ac:dyDescent="0.25">
      <c r="A222" s="387" t="s">
        <v>1254</v>
      </c>
    </row>
    <row r="223" spans="1:1" ht="51.75" x14ac:dyDescent="0.25">
      <c r="A223" s="399" t="s">
        <v>1258</v>
      </c>
    </row>
    <row r="224" spans="1:1" ht="51.75" x14ac:dyDescent="0.25">
      <c r="A224" s="387" t="s">
        <v>1262</v>
      </c>
    </row>
    <row r="225" spans="1:1" ht="51.75" x14ac:dyDescent="0.25">
      <c r="A225" s="393" t="s">
        <v>1266</v>
      </c>
    </row>
    <row r="226" spans="1:1" ht="51.75" x14ac:dyDescent="0.25">
      <c r="A226" s="387" t="s">
        <v>1270</v>
      </c>
    </row>
    <row r="227" spans="1:1" ht="51.75" x14ac:dyDescent="0.25">
      <c r="A227" s="387" t="s">
        <v>1273</v>
      </c>
    </row>
    <row r="228" spans="1:1" ht="51.75" x14ac:dyDescent="0.25">
      <c r="A228" s="387" t="s">
        <v>1277</v>
      </c>
    </row>
    <row r="229" spans="1:1" ht="51.75" x14ac:dyDescent="0.25">
      <c r="A229" s="393" t="s">
        <v>1281</v>
      </c>
    </row>
    <row r="230" spans="1:1" ht="86.25" x14ac:dyDescent="0.25">
      <c r="A230" s="393" t="s">
        <v>1284</v>
      </c>
    </row>
    <row r="231" spans="1:1" ht="51.75" x14ac:dyDescent="0.25">
      <c r="A231" s="400" t="s">
        <v>1288</v>
      </c>
    </row>
    <row r="232" spans="1:1" ht="51.75" x14ac:dyDescent="0.25">
      <c r="A232" s="400" t="s">
        <v>1292</v>
      </c>
    </row>
    <row r="233" spans="1:1" ht="51.75" x14ac:dyDescent="0.25">
      <c r="A233" s="400" t="s">
        <v>1296</v>
      </c>
    </row>
    <row r="234" spans="1:1" ht="51.75" x14ac:dyDescent="0.25">
      <c r="A234" s="400" t="s">
        <v>1299</v>
      </c>
    </row>
    <row r="235" spans="1:1" ht="51.75" x14ac:dyDescent="0.25">
      <c r="A235" s="207" t="s">
        <v>1303</v>
      </c>
    </row>
    <row r="236" spans="1:1" ht="51.75" x14ac:dyDescent="0.25">
      <c r="A236" s="393" t="s">
        <v>1307</v>
      </c>
    </row>
    <row r="237" spans="1:1" ht="51.75" x14ac:dyDescent="0.25">
      <c r="A237" s="387" t="s">
        <v>1310</v>
      </c>
    </row>
    <row r="238" spans="1:1" ht="51.75" x14ac:dyDescent="0.25">
      <c r="A238" s="393" t="s">
        <v>1315</v>
      </c>
    </row>
    <row r="239" spans="1:1" ht="51.75" x14ac:dyDescent="0.25">
      <c r="A239" s="387" t="s">
        <v>1318</v>
      </c>
    </row>
    <row r="240" spans="1:1" ht="51.75" x14ac:dyDescent="0.25">
      <c r="A240" s="387" t="s">
        <v>1323</v>
      </c>
    </row>
    <row r="241" spans="1:1" ht="51.75" x14ac:dyDescent="0.25">
      <c r="A241" s="387" t="s">
        <v>1327</v>
      </c>
    </row>
    <row r="242" spans="1:1" ht="69" x14ac:dyDescent="0.25">
      <c r="A242" s="387" t="s">
        <v>1331</v>
      </c>
    </row>
    <row r="243" spans="1:1" ht="51.75" x14ac:dyDescent="0.25">
      <c r="A243" s="387" t="s">
        <v>1335</v>
      </c>
    </row>
    <row r="244" spans="1:1" ht="51.75" x14ac:dyDescent="0.25">
      <c r="A244" s="387" t="s">
        <v>1340</v>
      </c>
    </row>
    <row r="245" spans="1:1" ht="51.75" x14ac:dyDescent="0.25">
      <c r="A245" s="387" t="s">
        <v>1344</v>
      </c>
    </row>
    <row r="246" spans="1:1" ht="69" x14ac:dyDescent="0.25">
      <c r="A246" s="387" t="s">
        <v>1347</v>
      </c>
    </row>
    <row r="247" spans="1:1" ht="51.75" x14ac:dyDescent="0.25">
      <c r="A247" s="387" t="s">
        <v>1350</v>
      </c>
    </row>
    <row r="248" spans="1:1" ht="51.75" x14ac:dyDescent="0.25">
      <c r="A248" s="387" t="s">
        <v>1354</v>
      </c>
    </row>
    <row r="249" spans="1:1" ht="51.75" x14ac:dyDescent="0.25">
      <c r="A249" s="387" t="s">
        <v>1358</v>
      </c>
    </row>
    <row r="250" spans="1:1" ht="51.75" x14ac:dyDescent="0.25">
      <c r="A250" s="387" t="s">
        <v>1361</v>
      </c>
    </row>
    <row r="251" spans="1:1" ht="51.75" x14ac:dyDescent="0.25">
      <c r="A251" s="387" t="s">
        <v>1365</v>
      </c>
    </row>
    <row r="252" spans="1:1" ht="51.75" x14ac:dyDescent="0.25">
      <c r="A252" s="387" t="s">
        <v>1369</v>
      </c>
    </row>
    <row r="253" spans="1:1" ht="69" x14ac:dyDescent="0.25">
      <c r="A253" s="387" t="s">
        <v>1373</v>
      </c>
    </row>
    <row r="254" spans="1:1" ht="69" x14ac:dyDescent="0.25">
      <c r="A254" s="387" t="s">
        <v>1377</v>
      </c>
    </row>
    <row r="255" spans="1:1" ht="69" x14ac:dyDescent="0.25">
      <c r="A255" s="387" t="s">
        <v>1381</v>
      </c>
    </row>
    <row r="256" spans="1:1" ht="69" x14ac:dyDescent="0.25">
      <c r="A256" s="387" t="s">
        <v>1384</v>
      </c>
    </row>
    <row r="257" spans="1:1" ht="69" x14ac:dyDescent="0.25">
      <c r="A257" s="387" t="s">
        <v>1388</v>
      </c>
    </row>
    <row r="258" spans="1:1" ht="51.75" x14ac:dyDescent="0.25">
      <c r="A258" s="387" t="s">
        <v>1392</v>
      </c>
    </row>
    <row r="259" spans="1:1" ht="51.75" x14ac:dyDescent="0.25">
      <c r="A259" s="387" t="s">
        <v>1396</v>
      </c>
    </row>
    <row r="260" spans="1:1" ht="51.75" x14ac:dyDescent="0.25">
      <c r="A260" s="387" t="s">
        <v>1399</v>
      </c>
    </row>
    <row r="261" spans="1:1" ht="47.25" x14ac:dyDescent="0.25">
      <c r="A261" s="404" t="s">
        <v>1402</v>
      </c>
    </row>
    <row r="262" spans="1:1" ht="47.25" x14ac:dyDescent="0.25">
      <c r="A262" s="404" t="s">
        <v>1406</v>
      </c>
    </row>
    <row r="263" spans="1:1" ht="47.25" x14ac:dyDescent="0.25">
      <c r="A263" s="404" t="s">
        <v>1410</v>
      </c>
    </row>
    <row r="264" spans="1:1" ht="63" x14ac:dyDescent="0.25">
      <c r="A264" s="404" t="s">
        <v>1415</v>
      </c>
    </row>
    <row r="265" spans="1:1" x14ac:dyDescent="0.25">
      <c r="A265" s="387" t="s">
        <v>1419</v>
      </c>
    </row>
    <row r="266" spans="1:1" ht="51.75" x14ac:dyDescent="0.25">
      <c r="A266" s="387" t="s">
        <v>1420</v>
      </c>
    </row>
    <row r="267" spans="1:1" ht="51.75" x14ac:dyDescent="0.25">
      <c r="A267" s="387" t="s">
        <v>1424</v>
      </c>
    </row>
    <row r="268" spans="1:1" ht="51.75" x14ac:dyDescent="0.25">
      <c r="A268" s="387" t="s">
        <v>1428</v>
      </c>
    </row>
    <row r="269" spans="1:1" ht="51.75" x14ac:dyDescent="0.25">
      <c r="A269" s="387" t="s">
        <v>1431</v>
      </c>
    </row>
    <row r="270" spans="1:1" ht="51.75" x14ac:dyDescent="0.25">
      <c r="A270" s="390" t="s">
        <v>1435</v>
      </c>
    </row>
    <row r="271" spans="1:1" ht="51.75" x14ac:dyDescent="0.25">
      <c r="A271" s="390" t="s">
        <v>1439</v>
      </c>
    </row>
    <row r="272" spans="1:1" ht="51.75" x14ac:dyDescent="0.25">
      <c r="A272" s="390" t="s">
        <v>1443</v>
      </c>
    </row>
    <row r="273" spans="1:1" ht="47.25" x14ac:dyDescent="0.25">
      <c r="A273" s="404" t="s">
        <v>1446</v>
      </c>
    </row>
    <row r="274" spans="1:1" ht="47.25" x14ac:dyDescent="0.25">
      <c r="A274" s="405" t="s">
        <v>1450</v>
      </c>
    </row>
    <row r="275" spans="1:1" ht="47.25" x14ac:dyDescent="0.25">
      <c r="A275" s="404" t="s">
        <v>1455</v>
      </c>
    </row>
    <row r="276" spans="1:1" ht="47.25" x14ac:dyDescent="0.25">
      <c r="A276" s="404" t="s">
        <v>1459</v>
      </c>
    </row>
    <row r="277" spans="1:1" ht="47.25" x14ac:dyDescent="0.25">
      <c r="A277" s="404" t="s">
        <v>1464</v>
      </c>
    </row>
    <row r="278" spans="1:1" ht="47.25" x14ac:dyDescent="0.25">
      <c r="A278" s="404" t="s">
        <v>1468</v>
      </c>
    </row>
    <row r="279" spans="1:1" ht="47.25" x14ac:dyDescent="0.25">
      <c r="A279" s="404" t="s">
        <v>1472</v>
      </c>
    </row>
    <row r="280" spans="1:1" ht="47.25" x14ac:dyDescent="0.25">
      <c r="A280" s="406" t="s">
        <v>1475</v>
      </c>
    </row>
    <row r="281" spans="1:1" ht="47.25" x14ac:dyDescent="0.25">
      <c r="A281" s="406" t="s">
        <v>1480</v>
      </c>
    </row>
    <row r="282" spans="1:1" ht="47.25" x14ac:dyDescent="0.25">
      <c r="A282" s="406" t="s">
        <v>1484</v>
      </c>
    </row>
    <row r="283" spans="1:1" ht="47.25" x14ac:dyDescent="0.25">
      <c r="A283" s="406" t="s">
        <v>1487</v>
      </c>
    </row>
    <row r="284" spans="1:1" ht="47.25" x14ac:dyDescent="0.25">
      <c r="A284" s="406" t="s">
        <v>1491</v>
      </c>
    </row>
    <row r="285" spans="1:1" ht="47.25" x14ac:dyDescent="0.25">
      <c r="A285" s="406" t="s">
        <v>1494</v>
      </c>
    </row>
    <row r="286" spans="1:1" ht="47.25" x14ac:dyDescent="0.25">
      <c r="A286" s="406" t="s">
        <v>1498</v>
      </c>
    </row>
    <row r="287" spans="1:1" ht="47.25" x14ac:dyDescent="0.25">
      <c r="A287" s="406" t="s">
        <v>1501</v>
      </c>
    </row>
    <row r="288" spans="1:1" ht="47.25" x14ac:dyDescent="0.25">
      <c r="A288" s="406" t="s">
        <v>1505</v>
      </c>
    </row>
    <row r="289" spans="1:1" ht="47.25" x14ac:dyDescent="0.25">
      <c r="A289" s="406" t="s">
        <v>1508</v>
      </c>
    </row>
    <row r="290" spans="1:1" ht="47.25" x14ac:dyDescent="0.25">
      <c r="A290" s="406" t="s">
        <v>1511</v>
      </c>
    </row>
    <row r="291" spans="1:1" ht="47.25" x14ac:dyDescent="0.25">
      <c r="A291" s="406" t="s">
        <v>1516</v>
      </c>
    </row>
    <row r="292" spans="1:1" ht="51.75" x14ac:dyDescent="0.25">
      <c r="A292" s="407" t="s">
        <v>1520</v>
      </c>
    </row>
    <row r="293" spans="1:1" ht="47.25" x14ac:dyDescent="0.25">
      <c r="A293" s="406" t="s">
        <v>1523</v>
      </c>
    </row>
    <row r="294" spans="1:1" ht="47.25" x14ac:dyDescent="0.25">
      <c r="A294" s="406" t="s">
        <v>1527</v>
      </c>
    </row>
    <row r="295" spans="1:1" ht="51.75" x14ac:dyDescent="0.25">
      <c r="A295" s="407" t="s">
        <v>1531</v>
      </c>
    </row>
    <row r="296" spans="1:1" ht="51.75" x14ac:dyDescent="0.25">
      <c r="A296" s="407" t="s">
        <v>1536</v>
      </c>
    </row>
    <row r="297" spans="1:1" ht="51.75" x14ac:dyDescent="0.25">
      <c r="A297" s="407" t="s">
        <v>1540</v>
      </c>
    </row>
    <row r="298" spans="1:1" ht="51.75" x14ac:dyDescent="0.25">
      <c r="A298" s="407" t="s">
        <v>1543</v>
      </c>
    </row>
    <row r="299" spans="1:1" ht="51.75" x14ac:dyDescent="0.25">
      <c r="A299" s="407" t="s">
        <v>1546</v>
      </c>
    </row>
    <row r="300" spans="1:1" x14ac:dyDescent="0.25">
      <c r="A300" s="387"/>
    </row>
    <row r="302" spans="1:1" ht="58.5" x14ac:dyDescent="0.25">
      <c r="A302" s="27" t="s">
        <v>45</v>
      </c>
    </row>
    <row r="303" spans="1:1" ht="58.5" x14ac:dyDescent="0.25">
      <c r="A303" s="27" t="s">
        <v>51</v>
      </c>
    </row>
    <row r="304" spans="1:1" ht="58.5" x14ac:dyDescent="0.25">
      <c r="A304" s="27" t="s">
        <v>56</v>
      </c>
    </row>
    <row r="305" spans="1:1" ht="78" x14ac:dyDescent="0.25">
      <c r="A305" s="27" t="s">
        <v>60</v>
      </c>
    </row>
    <row r="306" spans="1:1" ht="78" x14ac:dyDescent="0.25">
      <c r="A306" s="27" t="s">
        <v>64</v>
      </c>
    </row>
    <row r="307" spans="1:1" ht="58.5" x14ac:dyDescent="0.25">
      <c r="A307" s="27" t="s">
        <v>67</v>
      </c>
    </row>
    <row r="308" spans="1:1" ht="78" x14ac:dyDescent="0.25">
      <c r="A308" s="27" t="s">
        <v>72</v>
      </c>
    </row>
    <row r="309" spans="1:1" ht="78" x14ac:dyDescent="0.25">
      <c r="A309" s="27" t="s">
        <v>76</v>
      </c>
    </row>
    <row r="310" spans="1:1" ht="78" x14ac:dyDescent="0.25">
      <c r="A310" s="27" t="s">
        <v>79</v>
      </c>
    </row>
    <row r="311" spans="1:1" ht="58.5" x14ac:dyDescent="0.25">
      <c r="A311" s="27" t="s">
        <v>82</v>
      </c>
    </row>
    <row r="312" spans="1:1" ht="58.5" x14ac:dyDescent="0.25">
      <c r="A312" s="27" t="s">
        <v>86</v>
      </c>
    </row>
    <row r="313" spans="1:1" ht="58.5" x14ac:dyDescent="0.25">
      <c r="A313" s="27" t="s">
        <v>89</v>
      </c>
    </row>
    <row r="314" spans="1:1" ht="58.5" x14ac:dyDescent="0.25">
      <c r="A314" s="27" t="s">
        <v>93</v>
      </c>
    </row>
    <row r="315" spans="1:1" ht="78" x14ac:dyDescent="0.25">
      <c r="A315" s="27" t="s">
        <v>97</v>
      </c>
    </row>
    <row r="316" spans="1:1" ht="78" x14ac:dyDescent="0.25">
      <c r="A316" s="27" t="s">
        <v>100</v>
      </c>
    </row>
    <row r="317" spans="1:1" ht="78" x14ac:dyDescent="0.25">
      <c r="A317" s="27" t="s">
        <v>103</v>
      </c>
    </row>
    <row r="318" spans="1:1" ht="78" x14ac:dyDescent="0.25">
      <c r="A318" s="27" t="s">
        <v>106</v>
      </c>
    </row>
    <row r="319" spans="1:1" ht="78" x14ac:dyDescent="0.25">
      <c r="A319" s="27" t="s">
        <v>109</v>
      </c>
    </row>
    <row r="320" spans="1:1" ht="78" x14ac:dyDescent="0.25">
      <c r="A320" s="27" t="s">
        <v>112</v>
      </c>
    </row>
    <row r="321" spans="1:1" ht="78" x14ac:dyDescent="0.25">
      <c r="A321" s="27" t="s">
        <v>115</v>
      </c>
    </row>
    <row r="322" spans="1:1" ht="78" x14ac:dyDescent="0.25">
      <c r="A322" s="27" t="s">
        <v>118</v>
      </c>
    </row>
    <row r="323" spans="1:1" ht="78" x14ac:dyDescent="0.25">
      <c r="A323" s="27" t="s">
        <v>121</v>
      </c>
    </row>
    <row r="324" spans="1:1" ht="78" x14ac:dyDescent="0.25">
      <c r="A324" s="27" t="s">
        <v>124</v>
      </c>
    </row>
    <row r="325" spans="1:1" ht="58.5" x14ac:dyDescent="0.25">
      <c r="A325" s="27" t="s">
        <v>127</v>
      </c>
    </row>
    <row r="326" spans="1:1" ht="58.5" x14ac:dyDescent="0.25">
      <c r="A326" s="27" t="s">
        <v>131</v>
      </c>
    </row>
    <row r="327" spans="1:1" ht="58.5" x14ac:dyDescent="0.25">
      <c r="A327" s="27" t="s">
        <v>134</v>
      </c>
    </row>
    <row r="328" spans="1:1" ht="58.5" x14ac:dyDescent="0.25">
      <c r="A328" s="27" t="s">
        <v>139</v>
      </c>
    </row>
    <row r="329" spans="1:1" ht="58.5" x14ac:dyDescent="0.25">
      <c r="A329" s="27" t="s">
        <v>142</v>
      </c>
    </row>
    <row r="330" spans="1:1" ht="58.5" x14ac:dyDescent="0.25">
      <c r="A330" s="27" t="s">
        <v>145</v>
      </c>
    </row>
    <row r="331" spans="1:1" ht="58.5" x14ac:dyDescent="0.25">
      <c r="A331" s="27" t="s">
        <v>148</v>
      </c>
    </row>
    <row r="332" spans="1:1" ht="58.5" x14ac:dyDescent="0.25">
      <c r="A332" s="27" t="s">
        <v>152</v>
      </c>
    </row>
    <row r="333" spans="1:1" ht="58.5" x14ac:dyDescent="0.25">
      <c r="A333" s="27" t="s">
        <v>155</v>
      </c>
    </row>
    <row r="334" spans="1:1" ht="58.5" x14ac:dyDescent="0.25">
      <c r="A334" s="27" t="s">
        <v>159</v>
      </c>
    </row>
    <row r="335" spans="1:1" ht="58.5" x14ac:dyDescent="0.25">
      <c r="A335" s="27" t="s">
        <v>164</v>
      </c>
    </row>
    <row r="336" spans="1:1" ht="78" x14ac:dyDescent="0.25">
      <c r="A336" s="27" t="s">
        <v>167</v>
      </c>
    </row>
    <row r="337" spans="1:1" ht="58.5" x14ac:dyDescent="0.25">
      <c r="A337" s="75" t="s">
        <v>172</v>
      </c>
    </row>
    <row r="338" spans="1:1" ht="58.5" x14ac:dyDescent="0.25">
      <c r="A338" s="27" t="s">
        <v>176</v>
      </c>
    </row>
    <row r="339" spans="1:1" ht="58.5" x14ac:dyDescent="0.25">
      <c r="A339" s="76" t="s">
        <v>181</v>
      </c>
    </row>
    <row r="340" spans="1:1" ht="58.5" x14ac:dyDescent="0.25">
      <c r="A340" s="76" t="s">
        <v>185</v>
      </c>
    </row>
    <row r="341" spans="1:1" ht="58.5" x14ac:dyDescent="0.25">
      <c r="A341" s="76" t="s">
        <v>189</v>
      </c>
    </row>
    <row r="342" spans="1:1" ht="58.5" x14ac:dyDescent="0.25">
      <c r="A342" s="27" t="s">
        <v>193</v>
      </c>
    </row>
    <row r="343" spans="1:1" ht="58.5" x14ac:dyDescent="0.25">
      <c r="A343" s="75" t="s">
        <v>197</v>
      </c>
    </row>
    <row r="344" spans="1:1" ht="58.5" x14ac:dyDescent="0.25">
      <c r="A344" s="75" t="s">
        <v>201</v>
      </c>
    </row>
    <row r="345" spans="1:1" ht="58.5" x14ac:dyDescent="0.25">
      <c r="A345" s="75" t="s">
        <v>204</v>
      </c>
    </row>
    <row r="346" spans="1:1" ht="58.5" x14ac:dyDescent="0.25">
      <c r="A346" s="75" t="s">
        <v>208</v>
      </c>
    </row>
    <row r="347" spans="1:1" ht="58.5" x14ac:dyDescent="0.25">
      <c r="A347" s="75" t="s">
        <v>212</v>
      </c>
    </row>
    <row r="348" spans="1:1" ht="58.5" x14ac:dyDescent="0.25">
      <c r="A348" s="75" t="s">
        <v>216</v>
      </c>
    </row>
    <row r="349" spans="1:1" ht="58.5" x14ac:dyDescent="0.25">
      <c r="A349" s="75" t="s">
        <v>220</v>
      </c>
    </row>
    <row r="350" spans="1:1" ht="58.5" x14ac:dyDescent="0.25">
      <c r="A350" s="75" t="s">
        <v>224</v>
      </c>
    </row>
    <row r="351" spans="1:1" ht="58.5" x14ac:dyDescent="0.25">
      <c r="A351" s="75" t="s">
        <v>228</v>
      </c>
    </row>
    <row r="352" spans="1:1" ht="58.5" x14ac:dyDescent="0.25">
      <c r="A352" s="27" t="s">
        <v>232</v>
      </c>
    </row>
    <row r="353" spans="1:1" ht="58.5" x14ac:dyDescent="0.25">
      <c r="A353" s="75" t="s">
        <v>235</v>
      </c>
    </row>
    <row r="354" spans="1:1" ht="58.5" x14ac:dyDescent="0.25">
      <c r="A354" s="75" t="s">
        <v>238</v>
      </c>
    </row>
    <row r="355" spans="1:1" ht="58.5" x14ac:dyDescent="0.25">
      <c r="A355" s="75" t="s">
        <v>242</v>
      </c>
    </row>
    <row r="356" spans="1:1" ht="58.5" x14ac:dyDescent="0.25">
      <c r="A356" s="75" t="s">
        <v>246</v>
      </c>
    </row>
    <row r="357" spans="1:1" ht="58.5" x14ac:dyDescent="0.25">
      <c r="A357" s="27" t="s">
        <v>250</v>
      </c>
    </row>
    <row r="358" spans="1:1" ht="58.5" x14ac:dyDescent="0.25">
      <c r="A358" s="27" t="s">
        <v>254</v>
      </c>
    </row>
    <row r="359" spans="1:1" ht="58.5" x14ac:dyDescent="0.25">
      <c r="A359" s="27" t="s">
        <v>258</v>
      </c>
    </row>
    <row r="360" spans="1:1" ht="58.5" x14ac:dyDescent="0.25">
      <c r="A360" s="27" t="s">
        <v>261</v>
      </c>
    </row>
    <row r="361" spans="1:1" ht="58.5" x14ac:dyDescent="0.25">
      <c r="A361" s="27" t="s">
        <v>264</v>
      </c>
    </row>
    <row r="362" spans="1:1" ht="78" x14ac:dyDescent="0.25">
      <c r="A362" s="27" t="s">
        <v>269</v>
      </c>
    </row>
    <row r="363" spans="1:1" ht="78" x14ac:dyDescent="0.25">
      <c r="A363" s="27" t="s">
        <v>273</v>
      </c>
    </row>
    <row r="364" spans="1:1" ht="78" x14ac:dyDescent="0.25">
      <c r="A364" s="27" t="s">
        <v>276</v>
      </c>
    </row>
    <row r="365" spans="1:1" ht="58.5" x14ac:dyDescent="0.25">
      <c r="A365" s="75" t="s">
        <v>279</v>
      </c>
    </row>
    <row r="366" spans="1:1" ht="58.5" x14ac:dyDescent="0.25">
      <c r="A366" s="108" t="s">
        <v>282</v>
      </c>
    </row>
    <row r="367" spans="1:1" ht="58.5" x14ac:dyDescent="0.25">
      <c r="A367" s="108" t="s">
        <v>287</v>
      </c>
    </row>
    <row r="368" spans="1:1" ht="58.5" x14ac:dyDescent="0.25">
      <c r="A368" s="108" t="s">
        <v>292</v>
      </c>
    </row>
    <row r="369" spans="1:1" ht="58.5" x14ac:dyDescent="0.25">
      <c r="A369" s="75" t="s">
        <v>295</v>
      </c>
    </row>
    <row r="370" spans="1:1" ht="58.5" x14ac:dyDescent="0.25">
      <c r="A370" s="75" t="s">
        <v>300</v>
      </c>
    </row>
    <row r="371" spans="1:1" ht="58.5" x14ac:dyDescent="0.25">
      <c r="A371" s="108" t="s">
        <v>303</v>
      </c>
    </row>
    <row r="372" spans="1:1" ht="58.5" x14ac:dyDescent="0.25">
      <c r="A372" s="108" t="s">
        <v>308</v>
      </c>
    </row>
    <row r="373" spans="1:1" ht="58.5" x14ac:dyDescent="0.25">
      <c r="A373" s="108" t="s">
        <v>311</v>
      </c>
    </row>
    <row r="374" spans="1:1" ht="58.5" x14ac:dyDescent="0.25">
      <c r="A374" s="108" t="s">
        <v>315</v>
      </c>
    </row>
    <row r="375" spans="1:1" ht="58.5" x14ac:dyDescent="0.25">
      <c r="A375" s="75" t="s">
        <v>320</v>
      </c>
    </row>
    <row r="376" spans="1:1" ht="58.5" x14ac:dyDescent="0.25">
      <c r="A376" s="75" t="s">
        <v>324</v>
      </c>
    </row>
    <row r="377" spans="1:1" ht="58.5" x14ac:dyDescent="0.25">
      <c r="A377" s="75" t="s">
        <v>327</v>
      </c>
    </row>
    <row r="378" spans="1:1" ht="58.5" x14ac:dyDescent="0.25">
      <c r="A378" s="75" t="s">
        <v>331</v>
      </c>
    </row>
    <row r="379" spans="1:1" ht="58.5" x14ac:dyDescent="0.25">
      <c r="A379" s="75" t="s">
        <v>335</v>
      </c>
    </row>
    <row r="380" spans="1:1" ht="58.5" x14ac:dyDescent="0.25">
      <c r="A380" s="75" t="s">
        <v>339</v>
      </c>
    </row>
    <row r="381" spans="1:1" ht="58.5" x14ac:dyDescent="0.25">
      <c r="A381" s="75" t="s">
        <v>342</v>
      </c>
    </row>
    <row r="382" spans="1:1" ht="58.5" x14ac:dyDescent="0.25">
      <c r="A382" s="75" t="s">
        <v>345</v>
      </c>
    </row>
    <row r="383" spans="1:1" ht="58.5" x14ac:dyDescent="0.25">
      <c r="A383" s="75" t="s">
        <v>350</v>
      </c>
    </row>
    <row r="384" spans="1:1" ht="58.5" x14ac:dyDescent="0.25">
      <c r="A384" s="108" t="s">
        <v>353</v>
      </c>
    </row>
    <row r="385" spans="1:1" ht="58.5" x14ac:dyDescent="0.25">
      <c r="A385" s="108" t="s">
        <v>357</v>
      </c>
    </row>
    <row r="386" spans="1:1" ht="58.5" x14ac:dyDescent="0.25">
      <c r="A386" s="27" t="s">
        <v>360</v>
      </c>
    </row>
    <row r="387" spans="1:1" ht="19.5" x14ac:dyDescent="0.25">
      <c r="A387" s="125" t="s">
        <v>365</v>
      </c>
    </row>
    <row r="388" spans="1:1" ht="58.5" x14ac:dyDescent="0.25">
      <c r="A388" s="27" t="s">
        <v>366</v>
      </c>
    </row>
    <row r="389" spans="1:1" ht="58.5" x14ac:dyDescent="0.25">
      <c r="A389" s="75" t="s">
        <v>370</v>
      </c>
    </row>
    <row r="390" spans="1:1" ht="58.5" x14ac:dyDescent="0.25">
      <c r="A390" s="108" t="s">
        <v>376</v>
      </c>
    </row>
    <row r="391" spans="1:1" ht="58.5" x14ac:dyDescent="0.25">
      <c r="A391" s="108" t="s">
        <v>379</v>
      </c>
    </row>
    <row r="392" spans="1:1" ht="58.5" x14ac:dyDescent="0.25">
      <c r="A392" s="108" t="s">
        <v>382</v>
      </c>
    </row>
    <row r="393" spans="1:1" ht="58.5" x14ac:dyDescent="0.25">
      <c r="A393" s="75" t="s">
        <v>385</v>
      </c>
    </row>
    <row r="394" spans="1:1" ht="58.5" x14ac:dyDescent="0.25">
      <c r="A394" s="108" t="s">
        <v>389</v>
      </c>
    </row>
    <row r="395" spans="1:1" ht="58.5" x14ac:dyDescent="0.25">
      <c r="A395" s="108" t="s">
        <v>392</v>
      </c>
    </row>
    <row r="396" spans="1:1" ht="58.5" x14ac:dyDescent="0.25">
      <c r="A396" s="108" t="s">
        <v>396</v>
      </c>
    </row>
    <row r="397" spans="1:1" ht="58.5" x14ac:dyDescent="0.25">
      <c r="A397" s="108" t="s">
        <v>399</v>
      </c>
    </row>
    <row r="398" spans="1:1" ht="58.5" x14ac:dyDescent="0.25">
      <c r="A398" s="108" t="s">
        <v>403</v>
      </c>
    </row>
    <row r="399" spans="1:1" ht="58.5" x14ac:dyDescent="0.25">
      <c r="A399" s="108" t="s">
        <v>407</v>
      </c>
    </row>
    <row r="400" spans="1:1" ht="58.5" x14ac:dyDescent="0.25">
      <c r="A400" s="108" t="s">
        <v>411</v>
      </c>
    </row>
    <row r="401" spans="1:1" ht="58.5" x14ac:dyDescent="0.25">
      <c r="A401" s="108" t="s">
        <v>415</v>
      </c>
    </row>
    <row r="402" spans="1:1" ht="58.5" x14ac:dyDescent="0.25">
      <c r="A402" s="75" t="s">
        <v>418</v>
      </c>
    </row>
    <row r="403" spans="1:1" ht="58.5" x14ac:dyDescent="0.25">
      <c r="A403" s="108" t="s">
        <v>421</v>
      </c>
    </row>
    <row r="404" spans="1:1" ht="58.5" x14ac:dyDescent="0.25">
      <c r="A404" s="75" t="s">
        <v>424</v>
      </c>
    </row>
    <row r="405" spans="1:1" ht="58.5" x14ac:dyDescent="0.25">
      <c r="A405" s="75" t="s">
        <v>428</v>
      </c>
    </row>
    <row r="406" spans="1:1" ht="58.5" x14ac:dyDescent="0.25">
      <c r="A406" s="75" t="s">
        <v>431</v>
      </c>
    </row>
    <row r="407" spans="1:1" ht="58.5" x14ac:dyDescent="0.25">
      <c r="A407" s="75" t="s">
        <v>435</v>
      </c>
    </row>
    <row r="408" spans="1:1" ht="58.5" x14ac:dyDescent="0.25">
      <c r="A408" s="75" t="s">
        <v>439</v>
      </c>
    </row>
    <row r="409" spans="1:1" ht="78" x14ac:dyDescent="0.25">
      <c r="A409" s="75" t="s">
        <v>443</v>
      </c>
    </row>
    <row r="410" spans="1:1" ht="58.5" x14ac:dyDescent="0.25">
      <c r="A410" s="75" t="s">
        <v>447</v>
      </c>
    </row>
    <row r="411" spans="1:1" ht="78" x14ac:dyDescent="0.25">
      <c r="A411" s="108" t="s">
        <v>450</v>
      </c>
    </row>
    <row r="412" spans="1:1" ht="58.5" x14ac:dyDescent="0.25">
      <c r="A412" s="108" t="s">
        <v>453</v>
      </c>
    </row>
    <row r="413" spans="1:1" ht="78" x14ac:dyDescent="0.25">
      <c r="A413" s="108" t="s">
        <v>456</v>
      </c>
    </row>
    <row r="414" spans="1:1" ht="58.5" x14ac:dyDescent="0.25">
      <c r="A414" s="108" t="s">
        <v>459</v>
      </c>
    </row>
    <row r="415" spans="1:1" ht="78" x14ac:dyDescent="0.25">
      <c r="A415" s="108" t="s">
        <v>462</v>
      </c>
    </row>
    <row r="416" spans="1:1" ht="78" x14ac:dyDescent="0.25">
      <c r="A416" s="108" t="s">
        <v>465</v>
      </c>
    </row>
    <row r="417" spans="1:1" ht="78" x14ac:dyDescent="0.25">
      <c r="A417" s="108" t="s">
        <v>468</v>
      </c>
    </row>
    <row r="418" spans="1:1" ht="78" x14ac:dyDescent="0.25">
      <c r="A418" s="108" t="s">
        <v>471</v>
      </c>
    </row>
    <row r="419" spans="1:1" ht="78" x14ac:dyDescent="0.25">
      <c r="A419" s="108" t="s">
        <v>474</v>
      </c>
    </row>
    <row r="420" spans="1:1" ht="78" x14ac:dyDescent="0.25">
      <c r="A420" s="108" t="s">
        <v>477</v>
      </c>
    </row>
    <row r="421" spans="1:1" ht="78" x14ac:dyDescent="0.25">
      <c r="A421" s="108" t="s">
        <v>480</v>
      </c>
    </row>
    <row r="422" spans="1:1" ht="78" x14ac:dyDescent="0.25">
      <c r="A422" s="108" t="s">
        <v>483</v>
      </c>
    </row>
    <row r="423" spans="1:1" ht="19.5" x14ac:dyDescent="0.25">
      <c r="A423" s="13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C237"/>
  <sheetViews>
    <sheetView workbookViewId="0">
      <selection activeCell="D10" sqref="D1:H1048576"/>
    </sheetView>
  </sheetViews>
  <sheetFormatPr defaultRowHeight="19.5" x14ac:dyDescent="0.35"/>
  <cols>
    <col min="1" max="1" width="3.5703125" style="141" customWidth="1"/>
    <col min="2" max="2" width="5" style="141" customWidth="1"/>
    <col min="3" max="3" width="9.85546875" style="141" customWidth="1"/>
    <col min="4" max="4" width="28.28515625" style="258" customWidth="1"/>
    <col min="5" max="5" width="21.140625" style="241" customWidth="1"/>
    <col min="6" max="6" width="20.28515625" style="241" customWidth="1"/>
    <col min="7" max="7" width="21.85546875" style="242" customWidth="1"/>
    <col min="8" max="8" width="13.7109375" style="243" customWidth="1"/>
    <col min="9" max="9" width="11.42578125" style="259" customWidth="1"/>
    <col min="10" max="10" width="12.140625" style="243" customWidth="1"/>
    <col min="11" max="11" width="10.85546875" style="243" customWidth="1"/>
    <col min="12" max="12" width="8.140625" style="142" customWidth="1"/>
    <col min="13" max="13" width="11.42578125" style="243" customWidth="1"/>
    <col min="14" max="15" width="11.42578125" style="243" hidden="1" customWidth="1"/>
    <col min="16" max="16" width="10.7109375" style="142" customWidth="1"/>
    <col min="17" max="17" width="9.5703125" style="142" customWidth="1"/>
    <col min="18" max="18" width="13.85546875" style="244" customWidth="1"/>
    <col min="19" max="19" width="12.5703125" style="254" customWidth="1"/>
    <col min="20" max="20" width="10.5703125" style="142" customWidth="1"/>
    <col min="21" max="21" width="9.28515625" style="243" customWidth="1"/>
    <col min="22" max="22" width="5.7109375" style="243" customWidth="1"/>
    <col min="23" max="23" width="9.42578125" style="142" customWidth="1"/>
    <col min="24" max="24" width="8.7109375" style="142" customWidth="1"/>
    <col min="25" max="25" width="8.28515625" style="142" customWidth="1"/>
    <col min="26" max="26" width="7" style="142" customWidth="1"/>
    <col min="27" max="27" width="9" style="142" customWidth="1"/>
    <col min="28" max="28" width="8.85546875" style="142" customWidth="1"/>
    <col min="29" max="29" width="9.140625" style="243" customWidth="1"/>
    <col min="30" max="30" width="8.85546875" style="243" customWidth="1"/>
    <col min="31" max="31" width="8" style="243" customWidth="1"/>
    <col min="32" max="32" width="8" style="243" hidden="1" customWidth="1"/>
    <col min="33" max="33" width="11.5703125" style="243" customWidth="1"/>
    <col min="34" max="34" width="13.42578125" style="243" customWidth="1"/>
    <col min="35" max="35" width="10.28515625" style="142" customWidth="1"/>
    <col min="36" max="54" width="9.140625" style="142" customWidth="1"/>
    <col min="55" max="66" width="9.140625" style="141" customWidth="1"/>
    <col min="67" max="67" width="40.140625" style="141" customWidth="1"/>
    <col min="68" max="208" width="9.140625" style="141" customWidth="1"/>
    <col min="209" max="256" width="9.140625" style="141"/>
    <col min="257" max="257" width="3.5703125" style="141" customWidth="1"/>
    <col min="258" max="258" width="5" style="141" customWidth="1"/>
    <col min="259" max="259" width="9.85546875" style="141" customWidth="1"/>
    <col min="260" max="260" width="28.28515625" style="141" customWidth="1"/>
    <col min="261" max="263" width="0" style="141" hidden="1" customWidth="1"/>
    <col min="264" max="264" width="13.7109375" style="141" customWidth="1"/>
    <col min="265" max="265" width="11.42578125" style="141" customWidth="1"/>
    <col min="266" max="266" width="12.140625" style="141" customWidth="1"/>
    <col min="267" max="267" width="10.85546875" style="141" customWidth="1"/>
    <col min="268" max="268" width="8.140625" style="141" customWidth="1"/>
    <col min="269" max="269" width="11.42578125" style="141" customWidth="1"/>
    <col min="270" max="271" width="0" style="141" hidden="1" customWidth="1"/>
    <col min="272" max="272" width="10.7109375" style="141" customWidth="1"/>
    <col min="273" max="273" width="9.5703125" style="141" customWidth="1"/>
    <col min="274" max="274" width="13.85546875" style="141" customWidth="1"/>
    <col min="275" max="275" width="12.5703125" style="141" customWidth="1"/>
    <col min="276" max="276" width="10.5703125" style="141" customWidth="1"/>
    <col min="277" max="277" width="9.28515625" style="141" customWidth="1"/>
    <col min="278" max="278" width="5.7109375" style="141" customWidth="1"/>
    <col min="279" max="279" width="9.42578125" style="141" customWidth="1"/>
    <col min="280" max="280" width="8.7109375" style="141" customWidth="1"/>
    <col min="281" max="281" width="8.28515625" style="141" customWidth="1"/>
    <col min="282" max="282" width="7" style="141" customWidth="1"/>
    <col min="283" max="283" width="9" style="141" customWidth="1"/>
    <col min="284" max="284" width="8.85546875" style="141" customWidth="1"/>
    <col min="285" max="285" width="9.140625" style="141" customWidth="1"/>
    <col min="286" max="286" width="8.85546875" style="141" customWidth="1"/>
    <col min="287" max="287" width="8" style="141" customWidth="1"/>
    <col min="288" max="288" width="0" style="141" hidden="1" customWidth="1"/>
    <col min="289" max="289" width="11.5703125" style="141" customWidth="1"/>
    <col min="290" max="290" width="13.42578125" style="141" customWidth="1"/>
    <col min="291" max="291" width="10.28515625" style="141" customWidth="1"/>
    <col min="292" max="322" width="9.140625" style="141" customWidth="1"/>
    <col min="323" max="323" width="40.140625" style="141" customWidth="1"/>
    <col min="324" max="464" width="9.140625" style="141" customWidth="1"/>
    <col min="465" max="512" width="9.140625" style="141"/>
    <col min="513" max="513" width="3.5703125" style="141" customWidth="1"/>
    <col min="514" max="514" width="5" style="141" customWidth="1"/>
    <col min="515" max="515" width="9.85546875" style="141" customWidth="1"/>
    <col min="516" max="516" width="28.28515625" style="141" customWidth="1"/>
    <col min="517" max="519" width="0" style="141" hidden="1" customWidth="1"/>
    <col min="520" max="520" width="13.7109375" style="141" customWidth="1"/>
    <col min="521" max="521" width="11.42578125" style="141" customWidth="1"/>
    <col min="522" max="522" width="12.140625" style="141" customWidth="1"/>
    <col min="523" max="523" width="10.85546875" style="141" customWidth="1"/>
    <col min="524" max="524" width="8.140625" style="141" customWidth="1"/>
    <col min="525" max="525" width="11.42578125" style="141" customWidth="1"/>
    <col min="526" max="527" width="0" style="141" hidden="1" customWidth="1"/>
    <col min="528" max="528" width="10.7109375" style="141" customWidth="1"/>
    <col min="529" max="529" width="9.5703125" style="141" customWidth="1"/>
    <col min="530" max="530" width="13.85546875" style="141" customWidth="1"/>
    <col min="531" max="531" width="12.5703125" style="141" customWidth="1"/>
    <col min="532" max="532" width="10.5703125" style="141" customWidth="1"/>
    <col min="533" max="533" width="9.28515625" style="141" customWidth="1"/>
    <col min="534" max="534" width="5.7109375" style="141" customWidth="1"/>
    <col min="535" max="535" width="9.42578125" style="141" customWidth="1"/>
    <col min="536" max="536" width="8.7109375" style="141" customWidth="1"/>
    <col min="537" max="537" width="8.28515625" style="141" customWidth="1"/>
    <col min="538" max="538" width="7" style="141" customWidth="1"/>
    <col min="539" max="539" width="9" style="141" customWidth="1"/>
    <col min="540" max="540" width="8.85546875" style="141" customWidth="1"/>
    <col min="541" max="541" width="9.140625" style="141" customWidth="1"/>
    <col min="542" max="542" width="8.85546875" style="141" customWidth="1"/>
    <col min="543" max="543" width="8" style="141" customWidth="1"/>
    <col min="544" max="544" width="0" style="141" hidden="1" customWidth="1"/>
    <col min="545" max="545" width="11.5703125" style="141" customWidth="1"/>
    <col min="546" max="546" width="13.42578125" style="141" customWidth="1"/>
    <col min="547" max="547" width="10.28515625" style="141" customWidth="1"/>
    <col min="548" max="578" width="9.140625" style="141" customWidth="1"/>
    <col min="579" max="579" width="40.140625" style="141" customWidth="1"/>
    <col min="580" max="720" width="9.140625" style="141" customWidth="1"/>
    <col min="721" max="768" width="9.140625" style="141"/>
    <col min="769" max="769" width="3.5703125" style="141" customWidth="1"/>
    <col min="770" max="770" width="5" style="141" customWidth="1"/>
    <col min="771" max="771" width="9.85546875" style="141" customWidth="1"/>
    <col min="772" max="772" width="28.28515625" style="141" customWidth="1"/>
    <col min="773" max="775" width="0" style="141" hidden="1" customWidth="1"/>
    <col min="776" max="776" width="13.7109375" style="141" customWidth="1"/>
    <col min="777" max="777" width="11.42578125" style="141" customWidth="1"/>
    <col min="778" max="778" width="12.140625" style="141" customWidth="1"/>
    <col min="779" max="779" width="10.85546875" style="141" customWidth="1"/>
    <col min="780" max="780" width="8.140625" style="141" customWidth="1"/>
    <col min="781" max="781" width="11.42578125" style="141" customWidth="1"/>
    <col min="782" max="783" width="0" style="141" hidden="1" customWidth="1"/>
    <col min="784" max="784" width="10.7109375" style="141" customWidth="1"/>
    <col min="785" max="785" width="9.5703125" style="141" customWidth="1"/>
    <col min="786" max="786" width="13.85546875" style="141" customWidth="1"/>
    <col min="787" max="787" width="12.5703125" style="141" customWidth="1"/>
    <col min="788" max="788" width="10.5703125" style="141" customWidth="1"/>
    <col min="789" max="789" width="9.28515625" style="141" customWidth="1"/>
    <col min="790" max="790" width="5.7109375" style="141" customWidth="1"/>
    <col min="791" max="791" width="9.42578125" style="141" customWidth="1"/>
    <col min="792" max="792" width="8.7109375" style="141" customWidth="1"/>
    <col min="793" max="793" width="8.28515625" style="141" customWidth="1"/>
    <col min="794" max="794" width="7" style="141" customWidth="1"/>
    <col min="795" max="795" width="9" style="141" customWidth="1"/>
    <col min="796" max="796" width="8.85546875" style="141" customWidth="1"/>
    <col min="797" max="797" width="9.140625" style="141" customWidth="1"/>
    <col min="798" max="798" width="8.85546875" style="141" customWidth="1"/>
    <col min="799" max="799" width="8" style="141" customWidth="1"/>
    <col min="800" max="800" width="0" style="141" hidden="1" customWidth="1"/>
    <col min="801" max="801" width="11.5703125" style="141" customWidth="1"/>
    <col min="802" max="802" width="13.42578125" style="141" customWidth="1"/>
    <col min="803" max="803" width="10.28515625" style="141" customWidth="1"/>
    <col min="804" max="834" width="9.140625" style="141" customWidth="1"/>
    <col min="835" max="835" width="40.140625" style="141" customWidth="1"/>
    <col min="836" max="976" width="9.140625" style="141" customWidth="1"/>
    <col min="977" max="1024" width="9.140625" style="141"/>
    <col min="1025" max="1025" width="3.5703125" style="141" customWidth="1"/>
    <col min="1026" max="1026" width="5" style="141" customWidth="1"/>
    <col min="1027" max="1027" width="9.85546875" style="141" customWidth="1"/>
    <col min="1028" max="1028" width="28.28515625" style="141" customWidth="1"/>
    <col min="1029" max="1031" width="0" style="141" hidden="1" customWidth="1"/>
    <col min="1032" max="1032" width="13.7109375" style="141" customWidth="1"/>
    <col min="1033" max="1033" width="11.42578125" style="141" customWidth="1"/>
    <col min="1034" max="1034" width="12.140625" style="141" customWidth="1"/>
    <col min="1035" max="1035" width="10.85546875" style="141" customWidth="1"/>
    <col min="1036" max="1036" width="8.140625" style="141" customWidth="1"/>
    <col min="1037" max="1037" width="11.42578125" style="141" customWidth="1"/>
    <col min="1038" max="1039" width="0" style="141" hidden="1" customWidth="1"/>
    <col min="1040" max="1040" width="10.7109375" style="141" customWidth="1"/>
    <col min="1041" max="1041" width="9.5703125" style="141" customWidth="1"/>
    <col min="1042" max="1042" width="13.85546875" style="141" customWidth="1"/>
    <col min="1043" max="1043" width="12.5703125" style="141" customWidth="1"/>
    <col min="1044" max="1044" width="10.5703125" style="141" customWidth="1"/>
    <col min="1045" max="1045" width="9.28515625" style="141" customWidth="1"/>
    <col min="1046" max="1046" width="5.7109375" style="141" customWidth="1"/>
    <col min="1047" max="1047" width="9.42578125" style="141" customWidth="1"/>
    <col min="1048" max="1048" width="8.7109375" style="141" customWidth="1"/>
    <col min="1049" max="1049" width="8.28515625" style="141" customWidth="1"/>
    <col min="1050" max="1050" width="7" style="141" customWidth="1"/>
    <col min="1051" max="1051" width="9" style="141" customWidth="1"/>
    <col min="1052" max="1052" width="8.85546875" style="141" customWidth="1"/>
    <col min="1053" max="1053" width="9.140625" style="141" customWidth="1"/>
    <col min="1054" max="1054" width="8.85546875" style="141" customWidth="1"/>
    <col min="1055" max="1055" width="8" style="141" customWidth="1"/>
    <col min="1056" max="1056" width="0" style="141" hidden="1" customWidth="1"/>
    <col min="1057" max="1057" width="11.5703125" style="141" customWidth="1"/>
    <col min="1058" max="1058" width="13.42578125" style="141" customWidth="1"/>
    <col min="1059" max="1059" width="10.28515625" style="141" customWidth="1"/>
    <col min="1060" max="1090" width="9.140625" style="141" customWidth="1"/>
    <col min="1091" max="1091" width="40.140625" style="141" customWidth="1"/>
    <col min="1092" max="1232" width="9.140625" style="141" customWidth="1"/>
    <col min="1233" max="1280" width="9.140625" style="141"/>
    <col min="1281" max="1281" width="3.5703125" style="141" customWidth="1"/>
    <col min="1282" max="1282" width="5" style="141" customWidth="1"/>
    <col min="1283" max="1283" width="9.85546875" style="141" customWidth="1"/>
    <col min="1284" max="1284" width="28.28515625" style="141" customWidth="1"/>
    <col min="1285" max="1287" width="0" style="141" hidden="1" customWidth="1"/>
    <col min="1288" max="1288" width="13.7109375" style="141" customWidth="1"/>
    <col min="1289" max="1289" width="11.42578125" style="141" customWidth="1"/>
    <col min="1290" max="1290" width="12.140625" style="141" customWidth="1"/>
    <col min="1291" max="1291" width="10.85546875" style="141" customWidth="1"/>
    <col min="1292" max="1292" width="8.140625" style="141" customWidth="1"/>
    <col min="1293" max="1293" width="11.42578125" style="141" customWidth="1"/>
    <col min="1294" max="1295" width="0" style="141" hidden="1" customWidth="1"/>
    <col min="1296" max="1296" width="10.7109375" style="141" customWidth="1"/>
    <col min="1297" max="1297" width="9.5703125" style="141" customWidth="1"/>
    <col min="1298" max="1298" width="13.85546875" style="141" customWidth="1"/>
    <col min="1299" max="1299" width="12.5703125" style="141" customWidth="1"/>
    <col min="1300" max="1300" width="10.5703125" style="141" customWidth="1"/>
    <col min="1301" max="1301" width="9.28515625" style="141" customWidth="1"/>
    <col min="1302" max="1302" width="5.7109375" style="141" customWidth="1"/>
    <col min="1303" max="1303" width="9.42578125" style="141" customWidth="1"/>
    <col min="1304" max="1304" width="8.7109375" style="141" customWidth="1"/>
    <col min="1305" max="1305" width="8.28515625" style="141" customWidth="1"/>
    <col min="1306" max="1306" width="7" style="141" customWidth="1"/>
    <col min="1307" max="1307" width="9" style="141" customWidth="1"/>
    <col min="1308" max="1308" width="8.85546875" style="141" customWidth="1"/>
    <col min="1309" max="1309" width="9.140625" style="141" customWidth="1"/>
    <col min="1310" max="1310" width="8.85546875" style="141" customWidth="1"/>
    <col min="1311" max="1311" width="8" style="141" customWidth="1"/>
    <col min="1312" max="1312" width="0" style="141" hidden="1" customWidth="1"/>
    <col min="1313" max="1313" width="11.5703125" style="141" customWidth="1"/>
    <col min="1314" max="1314" width="13.42578125" style="141" customWidth="1"/>
    <col min="1315" max="1315" width="10.28515625" style="141" customWidth="1"/>
    <col min="1316" max="1346" width="9.140625" style="141" customWidth="1"/>
    <col min="1347" max="1347" width="40.140625" style="141" customWidth="1"/>
    <col min="1348" max="1488" width="9.140625" style="141" customWidth="1"/>
    <col min="1489" max="1536" width="9.140625" style="141"/>
    <col min="1537" max="1537" width="3.5703125" style="141" customWidth="1"/>
    <col min="1538" max="1538" width="5" style="141" customWidth="1"/>
    <col min="1539" max="1539" width="9.85546875" style="141" customWidth="1"/>
    <col min="1540" max="1540" width="28.28515625" style="141" customWidth="1"/>
    <col min="1541" max="1543" width="0" style="141" hidden="1" customWidth="1"/>
    <col min="1544" max="1544" width="13.7109375" style="141" customWidth="1"/>
    <col min="1545" max="1545" width="11.42578125" style="141" customWidth="1"/>
    <col min="1546" max="1546" width="12.140625" style="141" customWidth="1"/>
    <col min="1547" max="1547" width="10.85546875" style="141" customWidth="1"/>
    <col min="1548" max="1548" width="8.140625" style="141" customWidth="1"/>
    <col min="1549" max="1549" width="11.42578125" style="141" customWidth="1"/>
    <col min="1550" max="1551" width="0" style="141" hidden="1" customWidth="1"/>
    <col min="1552" max="1552" width="10.7109375" style="141" customWidth="1"/>
    <col min="1553" max="1553" width="9.5703125" style="141" customWidth="1"/>
    <col min="1554" max="1554" width="13.85546875" style="141" customWidth="1"/>
    <col min="1555" max="1555" width="12.5703125" style="141" customWidth="1"/>
    <col min="1556" max="1556" width="10.5703125" style="141" customWidth="1"/>
    <col min="1557" max="1557" width="9.28515625" style="141" customWidth="1"/>
    <col min="1558" max="1558" width="5.7109375" style="141" customWidth="1"/>
    <col min="1559" max="1559" width="9.42578125" style="141" customWidth="1"/>
    <col min="1560" max="1560" width="8.7109375" style="141" customWidth="1"/>
    <col min="1561" max="1561" width="8.28515625" style="141" customWidth="1"/>
    <col min="1562" max="1562" width="7" style="141" customWidth="1"/>
    <col min="1563" max="1563" width="9" style="141" customWidth="1"/>
    <col min="1564" max="1564" width="8.85546875" style="141" customWidth="1"/>
    <col min="1565" max="1565" width="9.140625" style="141" customWidth="1"/>
    <col min="1566" max="1566" width="8.85546875" style="141" customWidth="1"/>
    <col min="1567" max="1567" width="8" style="141" customWidth="1"/>
    <col min="1568" max="1568" width="0" style="141" hidden="1" customWidth="1"/>
    <col min="1569" max="1569" width="11.5703125" style="141" customWidth="1"/>
    <col min="1570" max="1570" width="13.42578125" style="141" customWidth="1"/>
    <col min="1571" max="1571" width="10.28515625" style="141" customWidth="1"/>
    <col min="1572" max="1602" width="9.140625" style="141" customWidth="1"/>
    <col min="1603" max="1603" width="40.140625" style="141" customWidth="1"/>
    <col min="1604" max="1744" width="9.140625" style="141" customWidth="1"/>
    <col min="1745" max="1792" width="9.140625" style="141"/>
    <col min="1793" max="1793" width="3.5703125" style="141" customWidth="1"/>
    <col min="1794" max="1794" width="5" style="141" customWidth="1"/>
    <col min="1795" max="1795" width="9.85546875" style="141" customWidth="1"/>
    <col min="1796" max="1796" width="28.28515625" style="141" customWidth="1"/>
    <col min="1797" max="1799" width="0" style="141" hidden="1" customWidth="1"/>
    <col min="1800" max="1800" width="13.7109375" style="141" customWidth="1"/>
    <col min="1801" max="1801" width="11.42578125" style="141" customWidth="1"/>
    <col min="1802" max="1802" width="12.140625" style="141" customWidth="1"/>
    <col min="1803" max="1803" width="10.85546875" style="141" customWidth="1"/>
    <col min="1804" max="1804" width="8.140625" style="141" customWidth="1"/>
    <col min="1805" max="1805" width="11.42578125" style="141" customWidth="1"/>
    <col min="1806" max="1807" width="0" style="141" hidden="1" customWidth="1"/>
    <col min="1808" max="1808" width="10.7109375" style="141" customWidth="1"/>
    <col min="1809" max="1809" width="9.5703125" style="141" customWidth="1"/>
    <col min="1810" max="1810" width="13.85546875" style="141" customWidth="1"/>
    <col min="1811" max="1811" width="12.5703125" style="141" customWidth="1"/>
    <col min="1812" max="1812" width="10.5703125" style="141" customWidth="1"/>
    <col min="1813" max="1813" width="9.28515625" style="141" customWidth="1"/>
    <col min="1814" max="1814" width="5.7109375" style="141" customWidth="1"/>
    <col min="1815" max="1815" width="9.42578125" style="141" customWidth="1"/>
    <col min="1816" max="1816" width="8.7109375" style="141" customWidth="1"/>
    <col min="1817" max="1817" width="8.28515625" style="141" customWidth="1"/>
    <col min="1818" max="1818" width="7" style="141" customWidth="1"/>
    <col min="1819" max="1819" width="9" style="141" customWidth="1"/>
    <col min="1820" max="1820" width="8.85546875" style="141" customWidth="1"/>
    <col min="1821" max="1821" width="9.140625" style="141" customWidth="1"/>
    <col min="1822" max="1822" width="8.85546875" style="141" customWidth="1"/>
    <col min="1823" max="1823" width="8" style="141" customWidth="1"/>
    <col min="1824" max="1824" width="0" style="141" hidden="1" customWidth="1"/>
    <col min="1825" max="1825" width="11.5703125" style="141" customWidth="1"/>
    <col min="1826" max="1826" width="13.42578125" style="141" customWidth="1"/>
    <col min="1827" max="1827" width="10.28515625" style="141" customWidth="1"/>
    <col min="1828" max="1858" width="9.140625" style="141" customWidth="1"/>
    <col min="1859" max="1859" width="40.140625" style="141" customWidth="1"/>
    <col min="1860" max="2000" width="9.140625" style="141" customWidth="1"/>
    <col min="2001" max="2048" width="9.140625" style="141"/>
    <col min="2049" max="2049" width="3.5703125" style="141" customWidth="1"/>
    <col min="2050" max="2050" width="5" style="141" customWidth="1"/>
    <col min="2051" max="2051" width="9.85546875" style="141" customWidth="1"/>
    <col min="2052" max="2052" width="28.28515625" style="141" customWidth="1"/>
    <col min="2053" max="2055" width="0" style="141" hidden="1" customWidth="1"/>
    <col min="2056" max="2056" width="13.7109375" style="141" customWidth="1"/>
    <col min="2057" max="2057" width="11.42578125" style="141" customWidth="1"/>
    <col min="2058" max="2058" width="12.140625" style="141" customWidth="1"/>
    <col min="2059" max="2059" width="10.85546875" style="141" customWidth="1"/>
    <col min="2060" max="2060" width="8.140625" style="141" customWidth="1"/>
    <col min="2061" max="2061" width="11.42578125" style="141" customWidth="1"/>
    <col min="2062" max="2063" width="0" style="141" hidden="1" customWidth="1"/>
    <col min="2064" max="2064" width="10.7109375" style="141" customWidth="1"/>
    <col min="2065" max="2065" width="9.5703125" style="141" customWidth="1"/>
    <col min="2066" max="2066" width="13.85546875" style="141" customWidth="1"/>
    <col min="2067" max="2067" width="12.5703125" style="141" customWidth="1"/>
    <col min="2068" max="2068" width="10.5703125" style="141" customWidth="1"/>
    <col min="2069" max="2069" width="9.28515625" style="141" customWidth="1"/>
    <col min="2070" max="2070" width="5.7109375" style="141" customWidth="1"/>
    <col min="2071" max="2071" width="9.42578125" style="141" customWidth="1"/>
    <col min="2072" max="2072" width="8.7109375" style="141" customWidth="1"/>
    <col min="2073" max="2073" width="8.28515625" style="141" customWidth="1"/>
    <col min="2074" max="2074" width="7" style="141" customWidth="1"/>
    <col min="2075" max="2075" width="9" style="141" customWidth="1"/>
    <col min="2076" max="2076" width="8.85546875" style="141" customWidth="1"/>
    <col min="2077" max="2077" width="9.140625" style="141" customWidth="1"/>
    <col min="2078" max="2078" width="8.85546875" style="141" customWidth="1"/>
    <col min="2079" max="2079" width="8" style="141" customWidth="1"/>
    <col min="2080" max="2080" width="0" style="141" hidden="1" customWidth="1"/>
    <col min="2081" max="2081" width="11.5703125" style="141" customWidth="1"/>
    <col min="2082" max="2082" width="13.42578125" style="141" customWidth="1"/>
    <col min="2083" max="2083" width="10.28515625" style="141" customWidth="1"/>
    <col min="2084" max="2114" width="9.140625" style="141" customWidth="1"/>
    <col min="2115" max="2115" width="40.140625" style="141" customWidth="1"/>
    <col min="2116" max="2256" width="9.140625" style="141" customWidth="1"/>
    <col min="2257" max="2304" width="9.140625" style="141"/>
    <col min="2305" max="2305" width="3.5703125" style="141" customWidth="1"/>
    <col min="2306" max="2306" width="5" style="141" customWidth="1"/>
    <col min="2307" max="2307" width="9.85546875" style="141" customWidth="1"/>
    <col min="2308" max="2308" width="28.28515625" style="141" customWidth="1"/>
    <col min="2309" max="2311" width="0" style="141" hidden="1" customWidth="1"/>
    <col min="2312" max="2312" width="13.7109375" style="141" customWidth="1"/>
    <col min="2313" max="2313" width="11.42578125" style="141" customWidth="1"/>
    <col min="2314" max="2314" width="12.140625" style="141" customWidth="1"/>
    <col min="2315" max="2315" width="10.85546875" style="141" customWidth="1"/>
    <col min="2316" max="2316" width="8.140625" style="141" customWidth="1"/>
    <col min="2317" max="2317" width="11.42578125" style="141" customWidth="1"/>
    <col min="2318" max="2319" width="0" style="141" hidden="1" customWidth="1"/>
    <col min="2320" max="2320" width="10.7109375" style="141" customWidth="1"/>
    <col min="2321" max="2321" width="9.5703125" style="141" customWidth="1"/>
    <col min="2322" max="2322" width="13.85546875" style="141" customWidth="1"/>
    <col min="2323" max="2323" width="12.5703125" style="141" customWidth="1"/>
    <col min="2324" max="2324" width="10.5703125" style="141" customWidth="1"/>
    <col min="2325" max="2325" width="9.28515625" style="141" customWidth="1"/>
    <col min="2326" max="2326" width="5.7109375" style="141" customWidth="1"/>
    <col min="2327" max="2327" width="9.42578125" style="141" customWidth="1"/>
    <col min="2328" max="2328" width="8.7109375" style="141" customWidth="1"/>
    <col min="2329" max="2329" width="8.28515625" style="141" customWidth="1"/>
    <col min="2330" max="2330" width="7" style="141" customWidth="1"/>
    <col min="2331" max="2331" width="9" style="141" customWidth="1"/>
    <col min="2332" max="2332" width="8.85546875" style="141" customWidth="1"/>
    <col min="2333" max="2333" width="9.140625" style="141" customWidth="1"/>
    <col min="2334" max="2334" width="8.85546875" style="141" customWidth="1"/>
    <col min="2335" max="2335" width="8" style="141" customWidth="1"/>
    <col min="2336" max="2336" width="0" style="141" hidden="1" customWidth="1"/>
    <col min="2337" max="2337" width="11.5703125" style="141" customWidth="1"/>
    <col min="2338" max="2338" width="13.42578125" style="141" customWidth="1"/>
    <col min="2339" max="2339" width="10.28515625" style="141" customWidth="1"/>
    <col min="2340" max="2370" width="9.140625" style="141" customWidth="1"/>
    <col min="2371" max="2371" width="40.140625" style="141" customWidth="1"/>
    <col min="2372" max="2512" width="9.140625" style="141" customWidth="1"/>
    <col min="2513" max="2560" width="9.140625" style="141"/>
    <col min="2561" max="2561" width="3.5703125" style="141" customWidth="1"/>
    <col min="2562" max="2562" width="5" style="141" customWidth="1"/>
    <col min="2563" max="2563" width="9.85546875" style="141" customWidth="1"/>
    <col min="2564" max="2564" width="28.28515625" style="141" customWidth="1"/>
    <col min="2565" max="2567" width="0" style="141" hidden="1" customWidth="1"/>
    <col min="2568" max="2568" width="13.7109375" style="141" customWidth="1"/>
    <col min="2569" max="2569" width="11.42578125" style="141" customWidth="1"/>
    <col min="2570" max="2570" width="12.140625" style="141" customWidth="1"/>
    <col min="2571" max="2571" width="10.85546875" style="141" customWidth="1"/>
    <col min="2572" max="2572" width="8.140625" style="141" customWidth="1"/>
    <col min="2573" max="2573" width="11.42578125" style="141" customWidth="1"/>
    <col min="2574" max="2575" width="0" style="141" hidden="1" customWidth="1"/>
    <col min="2576" max="2576" width="10.7109375" style="141" customWidth="1"/>
    <col min="2577" max="2577" width="9.5703125" style="141" customWidth="1"/>
    <col min="2578" max="2578" width="13.85546875" style="141" customWidth="1"/>
    <col min="2579" max="2579" width="12.5703125" style="141" customWidth="1"/>
    <col min="2580" max="2580" width="10.5703125" style="141" customWidth="1"/>
    <col min="2581" max="2581" width="9.28515625" style="141" customWidth="1"/>
    <col min="2582" max="2582" width="5.7109375" style="141" customWidth="1"/>
    <col min="2583" max="2583" width="9.42578125" style="141" customWidth="1"/>
    <col min="2584" max="2584" width="8.7109375" style="141" customWidth="1"/>
    <col min="2585" max="2585" width="8.28515625" style="141" customWidth="1"/>
    <col min="2586" max="2586" width="7" style="141" customWidth="1"/>
    <col min="2587" max="2587" width="9" style="141" customWidth="1"/>
    <col min="2588" max="2588" width="8.85546875" style="141" customWidth="1"/>
    <col min="2589" max="2589" width="9.140625" style="141" customWidth="1"/>
    <col min="2590" max="2590" width="8.85546875" style="141" customWidth="1"/>
    <col min="2591" max="2591" width="8" style="141" customWidth="1"/>
    <col min="2592" max="2592" width="0" style="141" hidden="1" customWidth="1"/>
    <col min="2593" max="2593" width="11.5703125" style="141" customWidth="1"/>
    <col min="2594" max="2594" width="13.42578125" style="141" customWidth="1"/>
    <col min="2595" max="2595" width="10.28515625" style="141" customWidth="1"/>
    <col min="2596" max="2626" width="9.140625" style="141" customWidth="1"/>
    <col min="2627" max="2627" width="40.140625" style="141" customWidth="1"/>
    <col min="2628" max="2768" width="9.140625" style="141" customWidth="1"/>
    <col min="2769" max="2816" width="9.140625" style="141"/>
    <col min="2817" max="2817" width="3.5703125" style="141" customWidth="1"/>
    <col min="2818" max="2818" width="5" style="141" customWidth="1"/>
    <col min="2819" max="2819" width="9.85546875" style="141" customWidth="1"/>
    <col min="2820" max="2820" width="28.28515625" style="141" customWidth="1"/>
    <col min="2821" max="2823" width="0" style="141" hidden="1" customWidth="1"/>
    <col min="2824" max="2824" width="13.7109375" style="141" customWidth="1"/>
    <col min="2825" max="2825" width="11.42578125" style="141" customWidth="1"/>
    <col min="2826" max="2826" width="12.140625" style="141" customWidth="1"/>
    <col min="2827" max="2827" width="10.85546875" style="141" customWidth="1"/>
    <col min="2828" max="2828" width="8.140625" style="141" customWidth="1"/>
    <col min="2829" max="2829" width="11.42578125" style="141" customWidth="1"/>
    <col min="2830" max="2831" width="0" style="141" hidden="1" customWidth="1"/>
    <col min="2832" max="2832" width="10.7109375" style="141" customWidth="1"/>
    <col min="2833" max="2833" width="9.5703125" style="141" customWidth="1"/>
    <col min="2834" max="2834" width="13.85546875" style="141" customWidth="1"/>
    <col min="2835" max="2835" width="12.5703125" style="141" customWidth="1"/>
    <col min="2836" max="2836" width="10.5703125" style="141" customWidth="1"/>
    <col min="2837" max="2837" width="9.28515625" style="141" customWidth="1"/>
    <col min="2838" max="2838" width="5.7109375" style="141" customWidth="1"/>
    <col min="2839" max="2839" width="9.42578125" style="141" customWidth="1"/>
    <col min="2840" max="2840" width="8.7109375" style="141" customWidth="1"/>
    <col min="2841" max="2841" width="8.28515625" style="141" customWidth="1"/>
    <col min="2842" max="2842" width="7" style="141" customWidth="1"/>
    <col min="2843" max="2843" width="9" style="141" customWidth="1"/>
    <col min="2844" max="2844" width="8.85546875" style="141" customWidth="1"/>
    <col min="2845" max="2845" width="9.140625" style="141" customWidth="1"/>
    <col min="2846" max="2846" width="8.85546875" style="141" customWidth="1"/>
    <col min="2847" max="2847" width="8" style="141" customWidth="1"/>
    <col min="2848" max="2848" width="0" style="141" hidden="1" customWidth="1"/>
    <col min="2849" max="2849" width="11.5703125" style="141" customWidth="1"/>
    <col min="2850" max="2850" width="13.42578125" style="141" customWidth="1"/>
    <col min="2851" max="2851" width="10.28515625" style="141" customWidth="1"/>
    <col min="2852" max="2882" width="9.140625" style="141" customWidth="1"/>
    <col min="2883" max="2883" width="40.140625" style="141" customWidth="1"/>
    <col min="2884" max="3024" width="9.140625" style="141" customWidth="1"/>
    <col min="3025" max="3072" width="9.140625" style="141"/>
    <col min="3073" max="3073" width="3.5703125" style="141" customWidth="1"/>
    <col min="3074" max="3074" width="5" style="141" customWidth="1"/>
    <col min="3075" max="3075" width="9.85546875" style="141" customWidth="1"/>
    <col min="3076" max="3076" width="28.28515625" style="141" customWidth="1"/>
    <col min="3077" max="3079" width="0" style="141" hidden="1" customWidth="1"/>
    <col min="3080" max="3080" width="13.7109375" style="141" customWidth="1"/>
    <col min="3081" max="3081" width="11.42578125" style="141" customWidth="1"/>
    <col min="3082" max="3082" width="12.140625" style="141" customWidth="1"/>
    <col min="3083" max="3083" width="10.85546875" style="141" customWidth="1"/>
    <col min="3084" max="3084" width="8.140625" style="141" customWidth="1"/>
    <col min="3085" max="3085" width="11.42578125" style="141" customWidth="1"/>
    <col min="3086" max="3087" width="0" style="141" hidden="1" customWidth="1"/>
    <col min="3088" max="3088" width="10.7109375" style="141" customWidth="1"/>
    <col min="3089" max="3089" width="9.5703125" style="141" customWidth="1"/>
    <col min="3090" max="3090" width="13.85546875" style="141" customWidth="1"/>
    <col min="3091" max="3091" width="12.5703125" style="141" customWidth="1"/>
    <col min="3092" max="3092" width="10.5703125" style="141" customWidth="1"/>
    <col min="3093" max="3093" width="9.28515625" style="141" customWidth="1"/>
    <col min="3094" max="3094" width="5.7109375" style="141" customWidth="1"/>
    <col min="3095" max="3095" width="9.42578125" style="141" customWidth="1"/>
    <col min="3096" max="3096" width="8.7109375" style="141" customWidth="1"/>
    <col min="3097" max="3097" width="8.28515625" style="141" customWidth="1"/>
    <col min="3098" max="3098" width="7" style="141" customWidth="1"/>
    <col min="3099" max="3099" width="9" style="141" customWidth="1"/>
    <col min="3100" max="3100" width="8.85546875" style="141" customWidth="1"/>
    <col min="3101" max="3101" width="9.140625" style="141" customWidth="1"/>
    <col min="3102" max="3102" width="8.85546875" style="141" customWidth="1"/>
    <col min="3103" max="3103" width="8" style="141" customWidth="1"/>
    <col min="3104" max="3104" width="0" style="141" hidden="1" customWidth="1"/>
    <col min="3105" max="3105" width="11.5703125" style="141" customWidth="1"/>
    <col min="3106" max="3106" width="13.42578125" style="141" customWidth="1"/>
    <col min="3107" max="3107" width="10.28515625" style="141" customWidth="1"/>
    <col min="3108" max="3138" width="9.140625" style="141" customWidth="1"/>
    <col min="3139" max="3139" width="40.140625" style="141" customWidth="1"/>
    <col min="3140" max="3280" width="9.140625" style="141" customWidth="1"/>
    <col min="3281" max="3328" width="9.140625" style="141"/>
    <col min="3329" max="3329" width="3.5703125" style="141" customWidth="1"/>
    <col min="3330" max="3330" width="5" style="141" customWidth="1"/>
    <col min="3331" max="3331" width="9.85546875" style="141" customWidth="1"/>
    <col min="3332" max="3332" width="28.28515625" style="141" customWidth="1"/>
    <col min="3333" max="3335" width="0" style="141" hidden="1" customWidth="1"/>
    <col min="3336" max="3336" width="13.7109375" style="141" customWidth="1"/>
    <col min="3337" max="3337" width="11.42578125" style="141" customWidth="1"/>
    <col min="3338" max="3338" width="12.140625" style="141" customWidth="1"/>
    <col min="3339" max="3339" width="10.85546875" style="141" customWidth="1"/>
    <col min="3340" max="3340" width="8.140625" style="141" customWidth="1"/>
    <col min="3341" max="3341" width="11.42578125" style="141" customWidth="1"/>
    <col min="3342" max="3343" width="0" style="141" hidden="1" customWidth="1"/>
    <col min="3344" max="3344" width="10.7109375" style="141" customWidth="1"/>
    <col min="3345" max="3345" width="9.5703125" style="141" customWidth="1"/>
    <col min="3346" max="3346" width="13.85546875" style="141" customWidth="1"/>
    <col min="3347" max="3347" width="12.5703125" style="141" customWidth="1"/>
    <col min="3348" max="3348" width="10.5703125" style="141" customWidth="1"/>
    <col min="3349" max="3349" width="9.28515625" style="141" customWidth="1"/>
    <col min="3350" max="3350" width="5.7109375" style="141" customWidth="1"/>
    <col min="3351" max="3351" width="9.42578125" style="141" customWidth="1"/>
    <col min="3352" max="3352" width="8.7109375" style="141" customWidth="1"/>
    <col min="3353" max="3353" width="8.28515625" style="141" customWidth="1"/>
    <col min="3354" max="3354" width="7" style="141" customWidth="1"/>
    <col min="3355" max="3355" width="9" style="141" customWidth="1"/>
    <col min="3356" max="3356" width="8.85546875" style="141" customWidth="1"/>
    <col min="3357" max="3357" width="9.140625" style="141" customWidth="1"/>
    <col min="3358" max="3358" width="8.85546875" style="141" customWidth="1"/>
    <col min="3359" max="3359" width="8" style="141" customWidth="1"/>
    <col min="3360" max="3360" width="0" style="141" hidden="1" customWidth="1"/>
    <col min="3361" max="3361" width="11.5703125" style="141" customWidth="1"/>
    <col min="3362" max="3362" width="13.42578125" style="141" customWidth="1"/>
    <col min="3363" max="3363" width="10.28515625" style="141" customWidth="1"/>
    <col min="3364" max="3394" width="9.140625" style="141" customWidth="1"/>
    <col min="3395" max="3395" width="40.140625" style="141" customWidth="1"/>
    <col min="3396" max="3536" width="9.140625" style="141" customWidth="1"/>
    <col min="3537" max="3584" width="9.140625" style="141"/>
    <col min="3585" max="3585" width="3.5703125" style="141" customWidth="1"/>
    <col min="3586" max="3586" width="5" style="141" customWidth="1"/>
    <col min="3587" max="3587" width="9.85546875" style="141" customWidth="1"/>
    <col min="3588" max="3588" width="28.28515625" style="141" customWidth="1"/>
    <col min="3589" max="3591" width="0" style="141" hidden="1" customWidth="1"/>
    <col min="3592" max="3592" width="13.7109375" style="141" customWidth="1"/>
    <col min="3593" max="3593" width="11.42578125" style="141" customWidth="1"/>
    <col min="3594" max="3594" width="12.140625" style="141" customWidth="1"/>
    <col min="3595" max="3595" width="10.85546875" style="141" customWidth="1"/>
    <col min="3596" max="3596" width="8.140625" style="141" customWidth="1"/>
    <col min="3597" max="3597" width="11.42578125" style="141" customWidth="1"/>
    <col min="3598" max="3599" width="0" style="141" hidden="1" customWidth="1"/>
    <col min="3600" max="3600" width="10.7109375" style="141" customWidth="1"/>
    <col min="3601" max="3601" width="9.5703125" style="141" customWidth="1"/>
    <col min="3602" max="3602" width="13.85546875" style="141" customWidth="1"/>
    <col min="3603" max="3603" width="12.5703125" style="141" customWidth="1"/>
    <col min="3604" max="3604" width="10.5703125" style="141" customWidth="1"/>
    <col min="3605" max="3605" width="9.28515625" style="141" customWidth="1"/>
    <col min="3606" max="3606" width="5.7109375" style="141" customWidth="1"/>
    <col min="3607" max="3607" width="9.42578125" style="141" customWidth="1"/>
    <col min="3608" max="3608" width="8.7109375" style="141" customWidth="1"/>
    <col min="3609" max="3609" width="8.28515625" style="141" customWidth="1"/>
    <col min="3610" max="3610" width="7" style="141" customWidth="1"/>
    <col min="3611" max="3611" width="9" style="141" customWidth="1"/>
    <col min="3612" max="3612" width="8.85546875" style="141" customWidth="1"/>
    <col min="3613" max="3613" width="9.140625" style="141" customWidth="1"/>
    <col min="3614" max="3614" width="8.85546875" style="141" customWidth="1"/>
    <col min="3615" max="3615" width="8" style="141" customWidth="1"/>
    <col min="3616" max="3616" width="0" style="141" hidden="1" customWidth="1"/>
    <col min="3617" max="3617" width="11.5703125" style="141" customWidth="1"/>
    <col min="3618" max="3618" width="13.42578125" style="141" customWidth="1"/>
    <col min="3619" max="3619" width="10.28515625" style="141" customWidth="1"/>
    <col min="3620" max="3650" width="9.140625" style="141" customWidth="1"/>
    <col min="3651" max="3651" width="40.140625" style="141" customWidth="1"/>
    <col min="3652" max="3792" width="9.140625" style="141" customWidth="1"/>
    <col min="3793" max="3840" width="9.140625" style="141"/>
    <col min="3841" max="3841" width="3.5703125" style="141" customWidth="1"/>
    <col min="3842" max="3842" width="5" style="141" customWidth="1"/>
    <col min="3843" max="3843" width="9.85546875" style="141" customWidth="1"/>
    <col min="3844" max="3844" width="28.28515625" style="141" customWidth="1"/>
    <col min="3845" max="3847" width="0" style="141" hidden="1" customWidth="1"/>
    <col min="3848" max="3848" width="13.7109375" style="141" customWidth="1"/>
    <col min="3849" max="3849" width="11.42578125" style="141" customWidth="1"/>
    <col min="3850" max="3850" width="12.140625" style="141" customWidth="1"/>
    <col min="3851" max="3851" width="10.85546875" style="141" customWidth="1"/>
    <col min="3852" max="3852" width="8.140625" style="141" customWidth="1"/>
    <col min="3853" max="3853" width="11.42578125" style="141" customWidth="1"/>
    <col min="3854" max="3855" width="0" style="141" hidden="1" customWidth="1"/>
    <col min="3856" max="3856" width="10.7109375" style="141" customWidth="1"/>
    <col min="3857" max="3857" width="9.5703125" style="141" customWidth="1"/>
    <col min="3858" max="3858" width="13.85546875" style="141" customWidth="1"/>
    <col min="3859" max="3859" width="12.5703125" style="141" customWidth="1"/>
    <col min="3860" max="3860" width="10.5703125" style="141" customWidth="1"/>
    <col min="3861" max="3861" width="9.28515625" style="141" customWidth="1"/>
    <col min="3862" max="3862" width="5.7109375" style="141" customWidth="1"/>
    <col min="3863" max="3863" width="9.42578125" style="141" customWidth="1"/>
    <col min="3864" max="3864" width="8.7109375" style="141" customWidth="1"/>
    <col min="3865" max="3865" width="8.28515625" style="141" customWidth="1"/>
    <col min="3866" max="3866" width="7" style="141" customWidth="1"/>
    <col min="3867" max="3867" width="9" style="141" customWidth="1"/>
    <col min="3868" max="3868" width="8.85546875" style="141" customWidth="1"/>
    <col min="3869" max="3869" width="9.140625" style="141" customWidth="1"/>
    <col min="3870" max="3870" width="8.85546875" style="141" customWidth="1"/>
    <col min="3871" max="3871" width="8" style="141" customWidth="1"/>
    <col min="3872" max="3872" width="0" style="141" hidden="1" customWidth="1"/>
    <col min="3873" max="3873" width="11.5703125" style="141" customWidth="1"/>
    <col min="3874" max="3874" width="13.42578125" style="141" customWidth="1"/>
    <col min="3875" max="3875" width="10.28515625" style="141" customWidth="1"/>
    <col min="3876" max="3906" width="9.140625" style="141" customWidth="1"/>
    <col min="3907" max="3907" width="40.140625" style="141" customWidth="1"/>
    <col min="3908" max="4048" width="9.140625" style="141" customWidth="1"/>
    <col min="4049" max="4096" width="9.140625" style="141"/>
    <col min="4097" max="4097" width="3.5703125" style="141" customWidth="1"/>
    <col min="4098" max="4098" width="5" style="141" customWidth="1"/>
    <col min="4099" max="4099" width="9.85546875" style="141" customWidth="1"/>
    <col min="4100" max="4100" width="28.28515625" style="141" customWidth="1"/>
    <col min="4101" max="4103" width="0" style="141" hidden="1" customWidth="1"/>
    <col min="4104" max="4104" width="13.7109375" style="141" customWidth="1"/>
    <col min="4105" max="4105" width="11.42578125" style="141" customWidth="1"/>
    <col min="4106" max="4106" width="12.140625" style="141" customWidth="1"/>
    <col min="4107" max="4107" width="10.85546875" style="141" customWidth="1"/>
    <col min="4108" max="4108" width="8.140625" style="141" customWidth="1"/>
    <col min="4109" max="4109" width="11.42578125" style="141" customWidth="1"/>
    <col min="4110" max="4111" width="0" style="141" hidden="1" customWidth="1"/>
    <col min="4112" max="4112" width="10.7109375" style="141" customWidth="1"/>
    <col min="4113" max="4113" width="9.5703125" style="141" customWidth="1"/>
    <col min="4114" max="4114" width="13.85546875" style="141" customWidth="1"/>
    <col min="4115" max="4115" width="12.5703125" style="141" customWidth="1"/>
    <col min="4116" max="4116" width="10.5703125" style="141" customWidth="1"/>
    <col min="4117" max="4117" width="9.28515625" style="141" customWidth="1"/>
    <col min="4118" max="4118" width="5.7109375" style="141" customWidth="1"/>
    <col min="4119" max="4119" width="9.42578125" style="141" customWidth="1"/>
    <col min="4120" max="4120" width="8.7109375" style="141" customWidth="1"/>
    <col min="4121" max="4121" width="8.28515625" style="141" customWidth="1"/>
    <col min="4122" max="4122" width="7" style="141" customWidth="1"/>
    <col min="4123" max="4123" width="9" style="141" customWidth="1"/>
    <col min="4124" max="4124" width="8.85546875" style="141" customWidth="1"/>
    <col min="4125" max="4125" width="9.140625" style="141" customWidth="1"/>
    <col min="4126" max="4126" width="8.85546875" style="141" customWidth="1"/>
    <col min="4127" max="4127" width="8" style="141" customWidth="1"/>
    <col min="4128" max="4128" width="0" style="141" hidden="1" customWidth="1"/>
    <col min="4129" max="4129" width="11.5703125" style="141" customWidth="1"/>
    <col min="4130" max="4130" width="13.42578125" style="141" customWidth="1"/>
    <col min="4131" max="4131" width="10.28515625" style="141" customWidth="1"/>
    <col min="4132" max="4162" width="9.140625" style="141" customWidth="1"/>
    <col min="4163" max="4163" width="40.140625" style="141" customWidth="1"/>
    <col min="4164" max="4304" width="9.140625" style="141" customWidth="1"/>
    <col min="4305" max="4352" width="9.140625" style="141"/>
    <col min="4353" max="4353" width="3.5703125" style="141" customWidth="1"/>
    <col min="4354" max="4354" width="5" style="141" customWidth="1"/>
    <col min="4355" max="4355" width="9.85546875" style="141" customWidth="1"/>
    <col min="4356" max="4356" width="28.28515625" style="141" customWidth="1"/>
    <col min="4357" max="4359" width="0" style="141" hidden="1" customWidth="1"/>
    <col min="4360" max="4360" width="13.7109375" style="141" customWidth="1"/>
    <col min="4361" max="4361" width="11.42578125" style="141" customWidth="1"/>
    <col min="4362" max="4362" width="12.140625" style="141" customWidth="1"/>
    <col min="4363" max="4363" width="10.85546875" style="141" customWidth="1"/>
    <col min="4364" max="4364" width="8.140625" style="141" customWidth="1"/>
    <col min="4365" max="4365" width="11.42578125" style="141" customWidth="1"/>
    <col min="4366" max="4367" width="0" style="141" hidden="1" customWidth="1"/>
    <col min="4368" max="4368" width="10.7109375" style="141" customWidth="1"/>
    <col min="4369" max="4369" width="9.5703125" style="141" customWidth="1"/>
    <col min="4370" max="4370" width="13.85546875" style="141" customWidth="1"/>
    <col min="4371" max="4371" width="12.5703125" style="141" customWidth="1"/>
    <col min="4372" max="4372" width="10.5703125" style="141" customWidth="1"/>
    <col min="4373" max="4373" width="9.28515625" style="141" customWidth="1"/>
    <col min="4374" max="4374" width="5.7109375" style="141" customWidth="1"/>
    <col min="4375" max="4375" width="9.42578125" style="141" customWidth="1"/>
    <col min="4376" max="4376" width="8.7109375" style="141" customWidth="1"/>
    <col min="4377" max="4377" width="8.28515625" style="141" customWidth="1"/>
    <col min="4378" max="4378" width="7" style="141" customWidth="1"/>
    <col min="4379" max="4379" width="9" style="141" customWidth="1"/>
    <col min="4380" max="4380" width="8.85546875" style="141" customWidth="1"/>
    <col min="4381" max="4381" width="9.140625" style="141" customWidth="1"/>
    <col min="4382" max="4382" width="8.85546875" style="141" customWidth="1"/>
    <col min="4383" max="4383" width="8" style="141" customWidth="1"/>
    <col min="4384" max="4384" width="0" style="141" hidden="1" customWidth="1"/>
    <col min="4385" max="4385" width="11.5703125" style="141" customWidth="1"/>
    <col min="4386" max="4386" width="13.42578125" style="141" customWidth="1"/>
    <col min="4387" max="4387" width="10.28515625" style="141" customWidth="1"/>
    <col min="4388" max="4418" width="9.140625" style="141" customWidth="1"/>
    <col min="4419" max="4419" width="40.140625" style="141" customWidth="1"/>
    <col min="4420" max="4560" width="9.140625" style="141" customWidth="1"/>
    <col min="4561" max="4608" width="9.140625" style="141"/>
    <col min="4609" max="4609" width="3.5703125" style="141" customWidth="1"/>
    <col min="4610" max="4610" width="5" style="141" customWidth="1"/>
    <col min="4611" max="4611" width="9.85546875" style="141" customWidth="1"/>
    <col min="4612" max="4612" width="28.28515625" style="141" customWidth="1"/>
    <col min="4613" max="4615" width="0" style="141" hidden="1" customWidth="1"/>
    <col min="4616" max="4616" width="13.7109375" style="141" customWidth="1"/>
    <col min="4617" max="4617" width="11.42578125" style="141" customWidth="1"/>
    <col min="4618" max="4618" width="12.140625" style="141" customWidth="1"/>
    <col min="4619" max="4619" width="10.85546875" style="141" customWidth="1"/>
    <col min="4620" max="4620" width="8.140625" style="141" customWidth="1"/>
    <col min="4621" max="4621" width="11.42578125" style="141" customWidth="1"/>
    <col min="4622" max="4623" width="0" style="141" hidden="1" customWidth="1"/>
    <col min="4624" max="4624" width="10.7109375" style="141" customWidth="1"/>
    <col min="4625" max="4625" width="9.5703125" style="141" customWidth="1"/>
    <col min="4626" max="4626" width="13.85546875" style="141" customWidth="1"/>
    <col min="4627" max="4627" width="12.5703125" style="141" customWidth="1"/>
    <col min="4628" max="4628" width="10.5703125" style="141" customWidth="1"/>
    <col min="4629" max="4629" width="9.28515625" style="141" customWidth="1"/>
    <col min="4630" max="4630" width="5.7109375" style="141" customWidth="1"/>
    <col min="4631" max="4631" width="9.42578125" style="141" customWidth="1"/>
    <col min="4632" max="4632" width="8.7109375" style="141" customWidth="1"/>
    <col min="4633" max="4633" width="8.28515625" style="141" customWidth="1"/>
    <col min="4634" max="4634" width="7" style="141" customWidth="1"/>
    <col min="4635" max="4635" width="9" style="141" customWidth="1"/>
    <col min="4636" max="4636" width="8.85546875" style="141" customWidth="1"/>
    <col min="4637" max="4637" width="9.140625" style="141" customWidth="1"/>
    <col min="4638" max="4638" width="8.85546875" style="141" customWidth="1"/>
    <col min="4639" max="4639" width="8" style="141" customWidth="1"/>
    <col min="4640" max="4640" width="0" style="141" hidden="1" customWidth="1"/>
    <col min="4641" max="4641" width="11.5703125" style="141" customWidth="1"/>
    <col min="4642" max="4642" width="13.42578125" style="141" customWidth="1"/>
    <col min="4643" max="4643" width="10.28515625" style="141" customWidth="1"/>
    <col min="4644" max="4674" width="9.140625" style="141" customWidth="1"/>
    <col min="4675" max="4675" width="40.140625" style="141" customWidth="1"/>
    <col min="4676" max="4816" width="9.140625" style="141" customWidth="1"/>
    <col min="4817" max="4864" width="9.140625" style="141"/>
    <col min="4865" max="4865" width="3.5703125" style="141" customWidth="1"/>
    <col min="4866" max="4866" width="5" style="141" customWidth="1"/>
    <col min="4867" max="4867" width="9.85546875" style="141" customWidth="1"/>
    <col min="4868" max="4868" width="28.28515625" style="141" customWidth="1"/>
    <col min="4869" max="4871" width="0" style="141" hidden="1" customWidth="1"/>
    <col min="4872" max="4872" width="13.7109375" style="141" customWidth="1"/>
    <col min="4873" max="4873" width="11.42578125" style="141" customWidth="1"/>
    <col min="4874" max="4874" width="12.140625" style="141" customWidth="1"/>
    <col min="4875" max="4875" width="10.85546875" style="141" customWidth="1"/>
    <col min="4876" max="4876" width="8.140625" style="141" customWidth="1"/>
    <col min="4877" max="4877" width="11.42578125" style="141" customWidth="1"/>
    <col min="4878" max="4879" width="0" style="141" hidden="1" customWidth="1"/>
    <col min="4880" max="4880" width="10.7109375" style="141" customWidth="1"/>
    <col min="4881" max="4881" width="9.5703125" style="141" customWidth="1"/>
    <col min="4882" max="4882" width="13.85546875" style="141" customWidth="1"/>
    <col min="4883" max="4883" width="12.5703125" style="141" customWidth="1"/>
    <col min="4884" max="4884" width="10.5703125" style="141" customWidth="1"/>
    <col min="4885" max="4885" width="9.28515625" style="141" customWidth="1"/>
    <col min="4886" max="4886" width="5.7109375" style="141" customWidth="1"/>
    <col min="4887" max="4887" width="9.42578125" style="141" customWidth="1"/>
    <col min="4888" max="4888" width="8.7109375" style="141" customWidth="1"/>
    <col min="4889" max="4889" width="8.28515625" style="141" customWidth="1"/>
    <col min="4890" max="4890" width="7" style="141" customWidth="1"/>
    <col min="4891" max="4891" width="9" style="141" customWidth="1"/>
    <col min="4892" max="4892" width="8.85546875" style="141" customWidth="1"/>
    <col min="4893" max="4893" width="9.140625" style="141" customWidth="1"/>
    <col min="4894" max="4894" width="8.85546875" style="141" customWidth="1"/>
    <col min="4895" max="4895" width="8" style="141" customWidth="1"/>
    <col min="4896" max="4896" width="0" style="141" hidden="1" customWidth="1"/>
    <col min="4897" max="4897" width="11.5703125" style="141" customWidth="1"/>
    <col min="4898" max="4898" width="13.42578125" style="141" customWidth="1"/>
    <col min="4899" max="4899" width="10.28515625" style="141" customWidth="1"/>
    <col min="4900" max="4930" width="9.140625" style="141" customWidth="1"/>
    <col min="4931" max="4931" width="40.140625" style="141" customWidth="1"/>
    <col min="4932" max="5072" width="9.140625" style="141" customWidth="1"/>
    <col min="5073" max="5120" width="9.140625" style="141"/>
    <col min="5121" max="5121" width="3.5703125" style="141" customWidth="1"/>
    <col min="5122" max="5122" width="5" style="141" customWidth="1"/>
    <col min="5123" max="5123" width="9.85546875" style="141" customWidth="1"/>
    <col min="5124" max="5124" width="28.28515625" style="141" customWidth="1"/>
    <col min="5125" max="5127" width="0" style="141" hidden="1" customWidth="1"/>
    <col min="5128" max="5128" width="13.7109375" style="141" customWidth="1"/>
    <col min="5129" max="5129" width="11.42578125" style="141" customWidth="1"/>
    <col min="5130" max="5130" width="12.140625" style="141" customWidth="1"/>
    <col min="5131" max="5131" width="10.85546875" style="141" customWidth="1"/>
    <col min="5132" max="5132" width="8.140625" style="141" customWidth="1"/>
    <col min="5133" max="5133" width="11.42578125" style="141" customWidth="1"/>
    <col min="5134" max="5135" width="0" style="141" hidden="1" customWidth="1"/>
    <col min="5136" max="5136" width="10.7109375" style="141" customWidth="1"/>
    <col min="5137" max="5137" width="9.5703125" style="141" customWidth="1"/>
    <col min="5138" max="5138" width="13.85546875" style="141" customWidth="1"/>
    <col min="5139" max="5139" width="12.5703125" style="141" customWidth="1"/>
    <col min="5140" max="5140" width="10.5703125" style="141" customWidth="1"/>
    <col min="5141" max="5141" width="9.28515625" style="141" customWidth="1"/>
    <col min="5142" max="5142" width="5.7109375" style="141" customWidth="1"/>
    <col min="5143" max="5143" width="9.42578125" style="141" customWidth="1"/>
    <col min="5144" max="5144" width="8.7109375" style="141" customWidth="1"/>
    <col min="5145" max="5145" width="8.28515625" style="141" customWidth="1"/>
    <col min="5146" max="5146" width="7" style="141" customWidth="1"/>
    <col min="5147" max="5147" width="9" style="141" customWidth="1"/>
    <col min="5148" max="5148" width="8.85546875" style="141" customWidth="1"/>
    <col min="5149" max="5149" width="9.140625" style="141" customWidth="1"/>
    <col min="5150" max="5150" width="8.85546875" style="141" customWidth="1"/>
    <col min="5151" max="5151" width="8" style="141" customWidth="1"/>
    <col min="5152" max="5152" width="0" style="141" hidden="1" customWidth="1"/>
    <col min="5153" max="5153" width="11.5703125" style="141" customWidth="1"/>
    <col min="5154" max="5154" width="13.42578125" style="141" customWidth="1"/>
    <col min="5155" max="5155" width="10.28515625" style="141" customWidth="1"/>
    <col min="5156" max="5186" width="9.140625" style="141" customWidth="1"/>
    <col min="5187" max="5187" width="40.140625" style="141" customWidth="1"/>
    <col min="5188" max="5328" width="9.140625" style="141" customWidth="1"/>
    <col min="5329" max="5376" width="9.140625" style="141"/>
    <col min="5377" max="5377" width="3.5703125" style="141" customWidth="1"/>
    <col min="5378" max="5378" width="5" style="141" customWidth="1"/>
    <col min="5379" max="5379" width="9.85546875" style="141" customWidth="1"/>
    <col min="5380" max="5380" width="28.28515625" style="141" customWidth="1"/>
    <col min="5381" max="5383" width="0" style="141" hidden="1" customWidth="1"/>
    <col min="5384" max="5384" width="13.7109375" style="141" customWidth="1"/>
    <col min="5385" max="5385" width="11.42578125" style="141" customWidth="1"/>
    <col min="5386" max="5386" width="12.140625" style="141" customWidth="1"/>
    <col min="5387" max="5387" width="10.85546875" style="141" customWidth="1"/>
    <col min="5388" max="5388" width="8.140625" style="141" customWidth="1"/>
    <col min="5389" max="5389" width="11.42578125" style="141" customWidth="1"/>
    <col min="5390" max="5391" width="0" style="141" hidden="1" customWidth="1"/>
    <col min="5392" max="5392" width="10.7109375" style="141" customWidth="1"/>
    <col min="5393" max="5393" width="9.5703125" style="141" customWidth="1"/>
    <col min="5394" max="5394" width="13.85546875" style="141" customWidth="1"/>
    <col min="5395" max="5395" width="12.5703125" style="141" customWidth="1"/>
    <col min="5396" max="5396" width="10.5703125" style="141" customWidth="1"/>
    <col min="5397" max="5397" width="9.28515625" style="141" customWidth="1"/>
    <col min="5398" max="5398" width="5.7109375" style="141" customWidth="1"/>
    <col min="5399" max="5399" width="9.42578125" style="141" customWidth="1"/>
    <col min="5400" max="5400" width="8.7109375" style="141" customWidth="1"/>
    <col min="5401" max="5401" width="8.28515625" style="141" customWidth="1"/>
    <col min="5402" max="5402" width="7" style="141" customWidth="1"/>
    <col min="5403" max="5403" width="9" style="141" customWidth="1"/>
    <col min="5404" max="5404" width="8.85546875" style="141" customWidth="1"/>
    <col min="5405" max="5405" width="9.140625" style="141" customWidth="1"/>
    <col min="5406" max="5406" width="8.85546875" style="141" customWidth="1"/>
    <col min="5407" max="5407" width="8" style="141" customWidth="1"/>
    <col min="5408" max="5408" width="0" style="141" hidden="1" customWidth="1"/>
    <col min="5409" max="5409" width="11.5703125" style="141" customWidth="1"/>
    <col min="5410" max="5410" width="13.42578125" style="141" customWidth="1"/>
    <col min="5411" max="5411" width="10.28515625" style="141" customWidth="1"/>
    <col min="5412" max="5442" width="9.140625" style="141" customWidth="1"/>
    <col min="5443" max="5443" width="40.140625" style="141" customWidth="1"/>
    <col min="5444" max="5584" width="9.140625" style="141" customWidth="1"/>
    <col min="5585" max="5632" width="9.140625" style="141"/>
    <col min="5633" max="5633" width="3.5703125" style="141" customWidth="1"/>
    <col min="5634" max="5634" width="5" style="141" customWidth="1"/>
    <col min="5635" max="5635" width="9.85546875" style="141" customWidth="1"/>
    <col min="5636" max="5636" width="28.28515625" style="141" customWidth="1"/>
    <col min="5637" max="5639" width="0" style="141" hidden="1" customWidth="1"/>
    <col min="5640" max="5640" width="13.7109375" style="141" customWidth="1"/>
    <col min="5641" max="5641" width="11.42578125" style="141" customWidth="1"/>
    <col min="5642" max="5642" width="12.140625" style="141" customWidth="1"/>
    <col min="5643" max="5643" width="10.85546875" style="141" customWidth="1"/>
    <col min="5644" max="5644" width="8.140625" style="141" customWidth="1"/>
    <col min="5645" max="5645" width="11.42578125" style="141" customWidth="1"/>
    <col min="5646" max="5647" width="0" style="141" hidden="1" customWidth="1"/>
    <col min="5648" max="5648" width="10.7109375" style="141" customWidth="1"/>
    <col min="5649" max="5649" width="9.5703125" style="141" customWidth="1"/>
    <col min="5650" max="5650" width="13.85546875" style="141" customWidth="1"/>
    <col min="5651" max="5651" width="12.5703125" style="141" customWidth="1"/>
    <col min="5652" max="5652" width="10.5703125" style="141" customWidth="1"/>
    <col min="5653" max="5653" width="9.28515625" style="141" customWidth="1"/>
    <col min="5654" max="5654" width="5.7109375" style="141" customWidth="1"/>
    <col min="5655" max="5655" width="9.42578125" style="141" customWidth="1"/>
    <col min="5656" max="5656" width="8.7109375" style="141" customWidth="1"/>
    <col min="5657" max="5657" width="8.28515625" style="141" customWidth="1"/>
    <col min="5658" max="5658" width="7" style="141" customWidth="1"/>
    <col min="5659" max="5659" width="9" style="141" customWidth="1"/>
    <col min="5660" max="5660" width="8.85546875" style="141" customWidth="1"/>
    <col min="5661" max="5661" width="9.140625" style="141" customWidth="1"/>
    <col min="5662" max="5662" width="8.85546875" style="141" customWidth="1"/>
    <col min="5663" max="5663" width="8" style="141" customWidth="1"/>
    <col min="5664" max="5664" width="0" style="141" hidden="1" customWidth="1"/>
    <col min="5665" max="5665" width="11.5703125" style="141" customWidth="1"/>
    <col min="5666" max="5666" width="13.42578125" style="141" customWidth="1"/>
    <col min="5667" max="5667" width="10.28515625" style="141" customWidth="1"/>
    <col min="5668" max="5698" width="9.140625" style="141" customWidth="1"/>
    <col min="5699" max="5699" width="40.140625" style="141" customWidth="1"/>
    <col min="5700" max="5840" width="9.140625" style="141" customWidth="1"/>
    <col min="5841" max="5888" width="9.140625" style="141"/>
    <col min="5889" max="5889" width="3.5703125" style="141" customWidth="1"/>
    <col min="5890" max="5890" width="5" style="141" customWidth="1"/>
    <col min="5891" max="5891" width="9.85546875" style="141" customWidth="1"/>
    <col min="5892" max="5892" width="28.28515625" style="141" customWidth="1"/>
    <col min="5893" max="5895" width="0" style="141" hidden="1" customWidth="1"/>
    <col min="5896" max="5896" width="13.7109375" style="141" customWidth="1"/>
    <col min="5897" max="5897" width="11.42578125" style="141" customWidth="1"/>
    <col min="5898" max="5898" width="12.140625" style="141" customWidth="1"/>
    <col min="5899" max="5899" width="10.85546875" style="141" customWidth="1"/>
    <col min="5900" max="5900" width="8.140625" style="141" customWidth="1"/>
    <col min="5901" max="5901" width="11.42578125" style="141" customWidth="1"/>
    <col min="5902" max="5903" width="0" style="141" hidden="1" customWidth="1"/>
    <col min="5904" max="5904" width="10.7109375" style="141" customWidth="1"/>
    <col min="5905" max="5905" width="9.5703125" style="141" customWidth="1"/>
    <col min="5906" max="5906" width="13.85546875" style="141" customWidth="1"/>
    <col min="5907" max="5907" width="12.5703125" style="141" customWidth="1"/>
    <col min="5908" max="5908" width="10.5703125" style="141" customWidth="1"/>
    <col min="5909" max="5909" width="9.28515625" style="141" customWidth="1"/>
    <col min="5910" max="5910" width="5.7109375" style="141" customWidth="1"/>
    <col min="5911" max="5911" width="9.42578125" style="141" customWidth="1"/>
    <col min="5912" max="5912" width="8.7109375" style="141" customWidth="1"/>
    <col min="5913" max="5913" width="8.28515625" style="141" customWidth="1"/>
    <col min="5914" max="5914" width="7" style="141" customWidth="1"/>
    <col min="5915" max="5915" width="9" style="141" customWidth="1"/>
    <col min="5916" max="5916" width="8.85546875" style="141" customWidth="1"/>
    <col min="5917" max="5917" width="9.140625" style="141" customWidth="1"/>
    <col min="5918" max="5918" width="8.85546875" style="141" customWidth="1"/>
    <col min="5919" max="5919" width="8" style="141" customWidth="1"/>
    <col min="5920" max="5920" width="0" style="141" hidden="1" customWidth="1"/>
    <col min="5921" max="5921" width="11.5703125" style="141" customWidth="1"/>
    <col min="5922" max="5922" width="13.42578125" style="141" customWidth="1"/>
    <col min="5923" max="5923" width="10.28515625" style="141" customWidth="1"/>
    <col min="5924" max="5954" width="9.140625" style="141" customWidth="1"/>
    <col min="5955" max="5955" width="40.140625" style="141" customWidth="1"/>
    <col min="5956" max="6096" width="9.140625" style="141" customWidth="1"/>
    <col min="6097" max="6144" width="9.140625" style="141"/>
    <col min="6145" max="6145" width="3.5703125" style="141" customWidth="1"/>
    <col min="6146" max="6146" width="5" style="141" customWidth="1"/>
    <col min="6147" max="6147" width="9.85546875" style="141" customWidth="1"/>
    <col min="6148" max="6148" width="28.28515625" style="141" customWidth="1"/>
    <col min="6149" max="6151" width="0" style="141" hidden="1" customWidth="1"/>
    <col min="6152" max="6152" width="13.7109375" style="141" customWidth="1"/>
    <col min="6153" max="6153" width="11.42578125" style="141" customWidth="1"/>
    <col min="6154" max="6154" width="12.140625" style="141" customWidth="1"/>
    <col min="6155" max="6155" width="10.85546875" style="141" customWidth="1"/>
    <col min="6156" max="6156" width="8.140625" style="141" customWidth="1"/>
    <col min="6157" max="6157" width="11.42578125" style="141" customWidth="1"/>
    <col min="6158" max="6159" width="0" style="141" hidden="1" customWidth="1"/>
    <col min="6160" max="6160" width="10.7109375" style="141" customWidth="1"/>
    <col min="6161" max="6161" width="9.5703125" style="141" customWidth="1"/>
    <col min="6162" max="6162" width="13.85546875" style="141" customWidth="1"/>
    <col min="6163" max="6163" width="12.5703125" style="141" customWidth="1"/>
    <col min="6164" max="6164" width="10.5703125" style="141" customWidth="1"/>
    <col min="6165" max="6165" width="9.28515625" style="141" customWidth="1"/>
    <col min="6166" max="6166" width="5.7109375" style="141" customWidth="1"/>
    <col min="6167" max="6167" width="9.42578125" style="141" customWidth="1"/>
    <col min="6168" max="6168" width="8.7109375" style="141" customWidth="1"/>
    <col min="6169" max="6169" width="8.28515625" style="141" customWidth="1"/>
    <col min="6170" max="6170" width="7" style="141" customWidth="1"/>
    <col min="6171" max="6171" width="9" style="141" customWidth="1"/>
    <col min="6172" max="6172" width="8.85546875" style="141" customWidth="1"/>
    <col min="6173" max="6173" width="9.140625" style="141" customWidth="1"/>
    <col min="6174" max="6174" width="8.85546875" style="141" customWidth="1"/>
    <col min="6175" max="6175" width="8" style="141" customWidth="1"/>
    <col min="6176" max="6176" width="0" style="141" hidden="1" customWidth="1"/>
    <col min="6177" max="6177" width="11.5703125" style="141" customWidth="1"/>
    <col min="6178" max="6178" width="13.42578125" style="141" customWidth="1"/>
    <col min="6179" max="6179" width="10.28515625" style="141" customWidth="1"/>
    <col min="6180" max="6210" width="9.140625" style="141" customWidth="1"/>
    <col min="6211" max="6211" width="40.140625" style="141" customWidth="1"/>
    <col min="6212" max="6352" width="9.140625" style="141" customWidth="1"/>
    <col min="6353" max="6400" width="9.140625" style="141"/>
    <col min="6401" max="6401" width="3.5703125" style="141" customWidth="1"/>
    <col min="6402" max="6402" width="5" style="141" customWidth="1"/>
    <col min="6403" max="6403" width="9.85546875" style="141" customWidth="1"/>
    <col min="6404" max="6404" width="28.28515625" style="141" customWidth="1"/>
    <col min="6405" max="6407" width="0" style="141" hidden="1" customWidth="1"/>
    <col min="6408" max="6408" width="13.7109375" style="141" customWidth="1"/>
    <col min="6409" max="6409" width="11.42578125" style="141" customWidth="1"/>
    <col min="6410" max="6410" width="12.140625" style="141" customWidth="1"/>
    <col min="6411" max="6411" width="10.85546875" style="141" customWidth="1"/>
    <col min="6412" max="6412" width="8.140625" style="141" customWidth="1"/>
    <col min="6413" max="6413" width="11.42578125" style="141" customWidth="1"/>
    <col min="6414" max="6415" width="0" style="141" hidden="1" customWidth="1"/>
    <col min="6416" max="6416" width="10.7109375" style="141" customWidth="1"/>
    <col min="6417" max="6417" width="9.5703125" style="141" customWidth="1"/>
    <col min="6418" max="6418" width="13.85546875" style="141" customWidth="1"/>
    <col min="6419" max="6419" width="12.5703125" style="141" customWidth="1"/>
    <col min="6420" max="6420" width="10.5703125" style="141" customWidth="1"/>
    <col min="6421" max="6421" width="9.28515625" style="141" customWidth="1"/>
    <col min="6422" max="6422" width="5.7109375" style="141" customWidth="1"/>
    <col min="6423" max="6423" width="9.42578125" style="141" customWidth="1"/>
    <col min="6424" max="6424" width="8.7109375" style="141" customWidth="1"/>
    <col min="6425" max="6425" width="8.28515625" style="141" customWidth="1"/>
    <col min="6426" max="6426" width="7" style="141" customWidth="1"/>
    <col min="6427" max="6427" width="9" style="141" customWidth="1"/>
    <col min="6428" max="6428" width="8.85546875" style="141" customWidth="1"/>
    <col min="6429" max="6429" width="9.140625" style="141" customWidth="1"/>
    <col min="6430" max="6430" width="8.85546875" style="141" customWidth="1"/>
    <col min="6431" max="6431" width="8" style="141" customWidth="1"/>
    <col min="6432" max="6432" width="0" style="141" hidden="1" customWidth="1"/>
    <col min="6433" max="6433" width="11.5703125" style="141" customWidth="1"/>
    <col min="6434" max="6434" width="13.42578125" style="141" customWidth="1"/>
    <col min="6435" max="6435" width="10.28515625" style="141" customWidth="1"/>
    <col min="6436" max="6466" width="9.140625" style="141" customWidth="1"/>
    <col min="6467" max="6467" width="40.140625" style="141" customWidth="1"/>
    <col min="6468" max="6608" width="9.140625" style="141" customWidth="1"/>
    <col min="6609" max="6656" width="9.140625" style="141"/>
    <col min="6657" max="6657" width="3.5703125" style="141" customWidth="1"/>
    <col min="6658" max="6658" width="5" style="141" customWidth="1"/>
    <col min="6659" max="6659" width="9.85546875" style="141" customWidth="1"/>
    <col min="6660" max="6660" width="28.28515625" style="141" customWidth="1"/>
    <col min="6661" max="6663" width="0" style="141" hidden="1" customWidth="1"/>
    <col min="6664" max="6664" width="13.7109375" style="141" customWidth="1"/>
    <col min="6665" max="6665" width="11.42578125" style="141" customWidth="1"/>
    <col min="6666" max="6666" width="12.140625" style="141" customWidth="1"/>
    <col min="6667" max="6667" width="10.85546875" style="141" customWidth="1"/>
    <col min="6668" max="6668" width="8.140625" style="141" customWidth="1"/>
    <col min="6669" max="6669" width="11.42578125" style="141" customWidth="1"/>
    <col min="6670" max="6671" width="0" style="141" hidden="1" customWidth="1"/>
    <col min="6672" max="6672" width="10.7109375" style="141" customWidth="1"/>
    <col min="6673" max="6673" width="9.5703125" style="141" customWidth="1"/>
    <col min="6674" max="6674" width="13.85546875" style="141" customWidth="1"/>
    <col min="6675" max="6675" width="12.5703125" style="141" customWidth="1"/>
    <col min="6676" max="6676" width="10.5703125" style="141" customWidth="1"/>
    <col min="6677" max="6677" width="9.28515625" style="141" customWidth="1"/>
    <col min="6678" max="6678" width="5.7109375" style="141" customWidth="1"/>
    <col min="6679" max="6679" width="9.42578125" style="141" customWidth="1"/>
    <col min="6680" max="6680" width="8.7109375" style="141" customWidth="1"/>
    <col min="6681" max="6681" width="8.28515625" style="141" customWidth="1"/>
    <col min="6682" max="6682" width="7" style="141" customWidth="1"/>
    <col min="6683" max="6683" width="9" style="141" customWidth="1"/>
    <col min="6684" max="6684" width="8.85546875" style="141" customWidth="1"/>
    <col min="6685" max="6685" width="9.140625" style="141" customWidth="1"/>
    <col min="6686" max="6686" width="8.85546875" style="141" customWidth="1"/>
    <col min="6687" max="6687" width="8" style="141" customWidth="1"/>
    <col min="6688" max="6688" width="0" style="141" hidden="1" customWidth="1"/>
    <col min="6689" max="6689" width="11.5703125" style="141" customWidth="1"/>
    <col min="6690" max="6690" width="13.42578125" style="141" customWidth="1"/>
    <col min="6691" max="6691" width="10.28515625" style="141" customWidth="1"/>
    <col min="6692" max="6722" width="9.140625" style="141" customWidth="1"/>
    <col min="6723" max="6723" width="40.140625" style="141" customWidth="1"/>
    <col min="6724" max="6864" width="9.140625" style="141" customWidth="1"/>
    <col min="6865" max="6912" width="9.140625" style="141"/>
    <col min="6913" max="6913" width="3.5703125" style="141" customWidth="1"/>
    <col min="6914" max="6914" width="5" style="141" customWidth="1"/>
    <col min="6915" max="6915" width="9.85546875" style="141" customWidth="1"/>
    <col min="6916" max="6916" width="28.28515625" style="141" customWidth="1"/>
    <col min="6917" max="6919" width="0" style="141" hidden="1" customWidth="1"/>
    <col min="6920" max="6920" width="13.7109375" style="141" customWidth="1"/>
    <col min="6921" max="6921" width="11.42578125" style="141" customWidth="1"/>
    <col min="6922" max="6922" width="12.140625" style="141" customWidth="1"/>
    <col min="6923" max="6923" width="10.85546875" style="141" customWidth="1"/>
    <col min="6924" max="6924" width="8.140625" style="141" customWidth="1"/>
    <col min="6925" max="6925" width="11.42578125" style="141" customWidth="1"/>
    <col min="6926" max="6927" width="0" style="141" hidden="1" customWidth="1"/>
    <col min="6928" max="6928" width="10.7109375" style="141" customWidth="1"/>
    <col min="6929" max="6929" width="9.5703125" style="141" customWidth="1"/>
    <col min="6930" max="6930" width="13.85546875" style="141" customWidth="1"/>
    <col min="6931" max="6931" width="12.5703125" style="141" customWidth="1"/>
    <col min="6932" max="6932" width="10.5703125" style="141" customWidth="1"/>
    <col min="6933" max="6933" width="9.28515625" style="141" customWidth="1"/>
    <col min="6934" max="6934" width="5.7109375" style="141" customWidth="1"/>
    <col min="6935" max="6935" width="9.42578125" style="141" customWidth="1"/>
    <col min="6936" max="6936" width="8.7109375" style="141" customWidth="1"/>
    <col min="6937" max="6937" width="8.28515625" style="141" customWidth="1"/>
    <col min="6938" max="6938" width="7" style="141" customWidth="1"/>
    <col min="6939" max="6939" width="9" style="141" customWidth="1"/>
    <col min="6940" max="6940" width="8.85546875" style="141" customWidth="1"/>
    <col min="6941" max="6941" width="9.140625" style="141" customWidth="1"/>
    <col min="6942" max="6942" width="8.85546875" style="141" customWidth="1"/>
    <col min="6943" max="6943" width="8" style="141" customWidth="1"/>
    <col min="6944" max="6944" width="0" style="141" hidden="1" customWidth="1"/>
    <col min="6945" max="6945" width="11.5703125" style="141" customWidth="1"/>
    <col min="6946" max="6946" width="13.42578125" style="141" customWidth="1"/>
    <col min="6947" max="6947" width="10.28515625" style="141" customWidth="1"/>
    <col min="6948" max="6978" width="9.140625" style="141" customWidth="1"/>
    <col min="6979" max="6979" width="40.140625" style="141" customWidth="1"/>
    <col min="6980" max="7120" width="9.140625" style="141" customWidth="1"/>
    <col min="7121" max="7168" width="9.140625" style="141"/>
    <col min="7169" max="7169" width="3.5703125" style="141" customWidth="1"/>
    <col min="7170" max="7170" width="5" style="141" customWidth="1"/>
    <col min="7171" max="7171" width="9.85546875" style="141" customWidth="1"/>
    <col min="7172" max="7172" width="28.28515625" style="141" customWidth="1"/>
    <col min="7173" max="7175" width="0" style="141" hidden="1" customWidth="1"/>
    <col min="7176" max="7176" width="13.7109375" style="141" customWidth="1"/>
    <col min="7177" max="7177" width="11.42578125" style="141" customWidth="1"/>
    <col min="7178" max="7178" width="12.140625" style="141" customWidth="1"/>
    <col min="7179" max="7179" width="10.85546875" style="141" customWidth="1"/>
    <col min="7180" max="7180" width="8.140625" style="141" customWidth="1"/>
    <col min="7181" max="7181" width="11.42578125" style="141" customWidth="1"/>
    <col min="7182" max="7183" width="0" style="141" hidden="1" customWidth="1"/>
    <col min="7184" max="7184" width="10.7109375" style="141" customWidth="1"/>
    <col min="7185" max="7185" width="9.5703125" style="141" customWidth="1"/>
    <col min="7186" max="7186" width="13.85546875" style="141" customWidth="1"/>
    <col min="7187" max="7187" width="12.5703125" style="141" customWidth="1"/>
    <col min="7188" max="7188" width="10.5703125" style="141" customWidth="1"/>
    <col min="7189" max="7189" width="9.28515625" style="141" customWidth="1"/>
    <col min="7190" max="7190" width="5.7109375" style="141" customWidth="1"/>
    <col min="7191" max="7191" width="9.42578125" style="141" customWidth="1"/>
    <col min="7192" max="7192" width="8.7109375" style="141" customWidth="1"/>
    <col min="7193" max="7193" width="8.28515625" style="141" customWidth="1"/>
    <col min="7194" max="7194" width="7" style="141" customWidth="1"/>
    <col min="7195" max="7195" width="9" style="141" customWidth="1"/>
    <col min="7196" max="7196" width="8.85546875" style="141" customWidth="1"/>
    <col min="7197" max="7197" width="9.140625" style="141" customWidth="1"/>
    <col min="7198" max="7198" width="8.85546875" style="141" customWidth="1"/>
    <col min="7199" max="7199" width="8" style="141" customWidth="1"/>
    <col min="7200" max="7200" width="0" style="141" hidden="1" customWidth="1"/>
    <col min="7201" max="7201" width="11.5703125" style="141" customWidth="1"/>
    <col min="7202" max="7202" width="13.42578125" style="141" customWidth="1"/>
    <col min="7203" max="7203" width="10.28515625" style="141" customWidth="1"/>
    <col min="7204" max="7234" width="9.140625" style="141" customWidth="1"/>
    <col min="7235" max="7235" width="40.140625" style="141" customWidth="1"/>
    <col min="7236" max="7376" width="9.140625" style="141" customWidth="1"/>
    <col min="7377" max="7424" width="9.140625" style="141"/>
    <col min="7425" max="7425" width="3.5703125" style="141" customWidth="1"/>
    <col min="7426" max="7426" width="5" style="141" customWidth="1"/>
    <col min="7427" max="7427" width="9.85546875" style="141" customWidth="1"/>
    <col min="7428" max="7428" width="28.28515625" style="141" customWidth="1"/>
    <col min="7429" max="7431" width="0" style="141" hidden="1" customWidth="1"/>
    <col min="7432" max="7432" width="13.7109375" style="141" customWidth="1"/>
    <col min="7433" max="7433" width="11.42578125" style="141" customWidth="1"/>
    <col min="7434" max="7434" width="12.140625" style="141" customWidth="1"/>
    <col min="7435" max="7435" width="10.85546875" style="141" customWidth="1"/>
    <col min="7436" max="7436" width="8.140625" style="141" customWidth="1"/>
    <col min="7437" max="7437" width="11.42578125" style="141" customWidth="1"/>
    <col min="7438" max="7439" width="0" style="141" hidden="1" customWidth="1"/>
    <col min="7440" max="7440" width="10.7109375" style="141" customWidth="1"/>
    <col min="7441" max="7441" width="9.5703125" style="141" customWidth="1"/>
    <col min="7442" max="7442" width="13.85546875" style="141" customWidth="1"/>
    <col min="7443" max="7443" width="12.5703125" style="141" customWidth="1"/>
    <col min="7444" max="7444" width="10.5703125" style="141" customWidth="1"/>
    <col min="7445" max="7445" width="9.28515625" style="141" customWidth="1"/>
    <col min="7446" max="7446" width="5.7109375" style="141" customWidth="1"/>
    <col min="7447" max="7447" width="9.42578125" style="141" customWidth="1"/>
    <col min="7448" max="7448" width="8.7109375" style="141" customWidth="1"/>
    <col min="7449" max="7449" width="8.28515625" style="141" customWidth="1"/>
    <col min="7450" max="7450" width="7" style="141" customWidth="1"/>
    <col min="7451" max="7451" width="9" style="141" customWidth="1"/>
    <col min="7452" max="7452" width="8.85546875" style="141" customWidth="1"/>
    <col min="7453" max="7453" width="9.140625" style="141" customWidth="1"/>
    <col min="7454" max="7454" width="8.85546875" style="141" customWidth="1"/>
    <col min="7455" max="7455" width="8" style="141" customWidth="1"/>
    <col min="7456" max="7456" width="0" style="141" hidden="1" customWidth="1"/>
    <col min="7457" max="7457" width="11.5703125" style="141" customWidth="1"/>
    <col min="7458" max="7458" width="13.42578125" style="141" customWidth="1"/>
    <col min="7459" max="7459" width="10.28515625" style="141" customWidth="1"/>
    <col min="7460" max="7490" width="9.140625" style="141" customWidth="1"/>
    <col min="7491" max="7491" width="40.140625" style="141" customWidth="1"/>
    <col min="7492" max="7632" width="9.140625" style="141" customWidth="1"/>
    <col min="7633" max="7680" width="9.140625" style="141"/>
    <col min="7681" max="7681" width="3.5703125" style="141" customWidth="1"/>
    <col min="7682" max="7682" width="5" style="141" customWidth="1"/>
    <col min="7683" max="7683" width="9.85546875" style="141" customWidth="1"/>
    <col min="7684" max="7684" width="28.28515625" style="141" customWidth="1"/>
    <col min="7685" max="7687" width="0" style="141" hidden="1" customWidth="1"/>
    <col min="7688" max="7688" width="13.7109375" style="141" customWidth="1"/>
    <col min="7689" max="7689" width="11.42578125" style="141" customWidth="1"/>
    <col min="7690" max="7690" width="12.140625" style="141" customWidth="1"/>
    <col min="7691" max="7691" width="10.85546875" style="141" customWidth="1"/>
    <col min="7692" max="7692" width="8.140625" style="141" customWidth="1"/>
    <col min="7693" max="7693" width="11.42578125" style="141" customWidth="1"/>
    <col min="7694" max="7695" width="0" style="141" hidden="1" customWidth="1"/>
    <col min="7696" max="7696" width="10.7109375" style="141" customWidth="1"/>
    <col min="7697" max="7697" width="9.5703125" style="141" customWidth="1"/>
    <col min="7698" max="7698" width="13.85546875" style="141" customWidth="1"/>
    <col min="7699" max="7699" width="12.5703125" style="141" customWidth="1"/>
    <col min="7700" max="7700" width="10.5703125" style="141" customWidth="1"/>
    <col min="7701" max="7701" width="9.28515625" style="141" customWidth="1"/>
    <col min="7702" max="7702" width="5.7109375" style="141" customWidth="1"/>
    <col min="7703" max="7703" width="9.42578125" style="141" customWidth="1"/>
    <col min="7704" max="7704" width="8.7109375" style="141" customWidth="1"/>
    <col min="7705" max="7705" width="8.28515625" style="141" customWidth="1"/>
    <col min="7706" max="7706" width="7" style="141" customWidth="1"/>
    <col min="7707" max="7707" width="9" style="141" customWidth="1"/>
    <col min="7708" max="7708" width="8.85546875" style="141" customWidth="1"/>
    <col min="7709" max="7709" width="9.140625" style="141" customWidth="1"/>
    <col min="7710" max="7710" width="8.85546875" style="141" customWidth="1"/>
    <col min="7711" max="7711" width="8" style="141" customWidth="1"/>
    <col min="7712" max="7712" width="0" style="141" hidden="1" customWidth="1"/>
    <col min="7713" max="7713" width="11.5703125" style="141" customWidth="1"/>
    <col min="7714" max="7714" width="13.42578125" style="141" customWidth="1"/>
    <col min="7715" max="7715" width="10.28515625" style="141" customWidth="1"/>
    <col min="7716" max="7746" width="9.140625" style="141" customWidth="1"/>
    <col min="7747" max="7747" width="40.140625" style="141" customWidth="1"/>
    <col min="7748" max="7888" width="9.140625" style="141" customWidth="1"/>
    <col min="7889" max="7936" width="9.140625" style="141"/>
    <col min="7937" max="7937" width="3.5703125" style="141" customWidth="1"/>
    <col min="7938" max="7938" width="5" style="141" customWidth="1"/>
    <col min="7939" max="7939" width="9.85546875" style="141" customWidth="1"/>
    <col min="7940" max="7940" width="28.28515625" style="141" customWidth="1"/>
    <col min="7941" max="7943" width="0" style="141" hidden="1" customWidth="1"/>
    <col min="7944" max="7944" width="13.7109375" style="141" customWidth="1"/>
    <col min="7945" max="7945" width="11.42578125" style="141" customWidth="1"/>
    <col min="7946" max="7946" width="12.140625" style="141" customWidth="1"/>
    <col min="7947" max="7947" width="10.85546875" style="141" customWidth="1"/>
    <col min="7948" max="7948" width="8.140625" style="141" customWidth="1"/>
    <col min="7949" max="7949" width="11.42578125" style="141" customWidth="1"/>
    <col min="7950" max="7951" width="0" style="141" hidden="1" customWidth="1"/>
    <col min="7952" max="7952" width="10.7109375" style="141" customWidth="1"/>
    <col min="7953" max="7953" width="9.5703125" style="141" customWidth="1"/>
    <col min="7954" max="7954" width="13.85546875" style="141" customWidth="1"/>
    <col min="7955" max="7955" width="12.5703125" style="141" customWidth="1"/>
    <col min="7956" max="7956" width="10.5703125" style="141" customWidth="1"/>
    <col min="7957" max="7957" width="9.28515625" style="141" customWidth="1"/>
    <col min="7958" max="7958" width="5.7109375" style="141" customWidth="1"/>
    <col min="7959" max="7959" width="9.42578125" style="141" customWidth="1"/>
    <col min="7960" max="7960" width="8.7109375" style="141" customWidth="1"/>
    <col min="7961" max="7961" width="8.28515625" style="141" customWidth="1"/>
    <col min="7962" max="7962" width="7" style="141" customWidth="1"/>
    <col min="7963" max="7963" width="9" style="141" customWidth="1"/>
    <col min="7964" max="7964" width="8.85546875" style="141" customWidth="1"/>
    <col min="7965" max="7965" width="9.140625" style="141" customWidth="1"/>
    <col min="7966" max="7966" width="8.85546875" style="141" customWidth="1"/>
    <col min="7967" max="7967" width="8" style="141" customWidth="1"/>
    <col min="7968" max="7968" width="0" style="141" hidden="1" customWidth="1"/>
    <col min="7969" max="7969" width="11.5703125" style="141" customWidth="1"/>
    <col min="7970" max="7970" width="13.42578125" style="141" customWidth="1"/>
    <col min="7971" max="7971" width="10.28515625" style="141" customWidth="1"/>
    <col min="7972" max="8002" width="9.140625" style="141" customWidth="1"/>
    <col min="8003" max="8003" width="40.140625" style="141" customWidth="1"/>
    <col min="8004" max="8144" width="9.140625" style="141" customWidth="1"/>
    <col min="8145" max="8192" width="9.140625" style="141"/>
    <col min="8193" max="8193" width="3.5703125" style="141" customWidth="1"/>
    <col min="8194" max="8194" width="5" style="141" customWidth="1"/>
    <col min="8195" max="8195" width="9.85546875" style="141" customWidth="1"/>
    <col min="8196" max="8196" width="28.28515625" style="141" customWidth="1"/>
    <col min="8197" max="8199" width="0" style="141" hidden="1" customWidth="1"/>
    <col min="8200" max="8200" width="13.7109375" style="141" customWidth="1"/>
    <col min="8201" max="8201" width="11.42578125" style="141" customWidth="1"/>
    <col min="8202" max="8202" width="12.140625" style="141" customWidth="1"/>
    <col min="8203" max="8203" width="10.85546875" style="141" customWidth="1"/>
    <col min="8204" max="8204" width="8.140625" style="141" customWidth="1"/>
    <col min="8205" max="8205" width="11.42578125" style="141" customWidth="1"/>
    <col min="8206" max="8207" width="0" style="141" hidden="1" customWidth="1"/>
    <col min="8208" max="8208" width="10.7109375" style="141" customWidth="1"/>
    <col min="8209" max="8209" width="9.5703125" style="141" customWidth="1"/>
    <col min="8210" max="8210" width="13.85546875" style="141" customWidth="1"/>
    <col min="8211" max="8211" width="12.5703125" style="141" customWidth="1"/>
    <col min="8212" max="8212" width="10.5703125" style="141" customWidth="1"/>
    <col min="8213" max="8213" width="9.28515625" style="141" customWidth="1"/>
    <col min="8214" max="8214" width="5.7109375" style="141" customWidth="1"/>
    <col min="8215" max="8215" width="9.42578125" style="141" customWidth="1"/>
    <col min="8216" max="8216" width="8.7109375" style="141" customWidth="1"/>
    <col min="8217" max="8217" width="8.28515625" style="141" customWidth="1"/>
    <col min="8218" max="8218" width="7" style="141" customWidth="1"/>
    <col min="8219" max="8219" width="9" style="141" customWidth="1"/>
    <col min="8220" max="8220" width="8.85546875" style="141" customWidth="1"/>
    <col min="8221" max="8221" width="9.140625" style="141" customWidth="1"/>
    <col min="8222" max="8222" width="8.85546875" style="141" customWidth="1"/>
    <col min="8223" max="8223" width="8" style="141" customWidth="1"/>
    <col min="8224" max="8224" width="0" style="141" hidden="1" customWidth="1"/>
    <col min="8225" max="8225" width="11.5703125" style="141" customWidth="1"/>
    <col min="8226" max="8226" width="13.42578125" style="141" customWidth="1"/>
    <col min="8227" max="8227" width="10.28515625" style="141" customWidth="1"/>
    <col min="8228" max="8258" width="9.140625" style="141" customWidth="1"/>
    <col min="8259" max="8259" width="40.140625" style="141" customWidth="1"/>
    <col min="8260" max="8400" width="9.140625" style="141" customWidth="1"/>
    <col min="8401" max="8448" width="9.140625" style="141"/>
    <col min="8449" max="8449" width="3.5703125" style="141" customWidth="1"/>
    <col min="8450" max="8450" width="5" style="141" customWidth="1"/>
    <col min="8451" max="8451" width="9.85546875" style="141" customWidth="1"/>
    <col min="8452" max="8452" width="28.28515625" style="141" customWidth="1"/>
    <col min="8453" max="8455" width="0" style="141" hidden="1" customWidth="1"/>
    <col min="8456" max="8456" width="13.7109375" style="141" customWidth="1"/>
    <col min="8457" max="8457" width="11.42578125" style="141" customWidth="1"/>
    <col min="8458" max="8458" width="12.140625" style="141" customWidth="1"/>
    <col min="8459" max="8459" width="10.85546875" style="141" customWidth="1"/>
    <col min="8460" max="8460" width="8.140625" style="141" customWidth="1"/>
    <col min="8461" max="8461" width="11.42578125" style="141" customWidth="1"/>
    <col min="8462" max="8463" width="0" style="141" hidden="1" customWidth="1"/>
    <col min="8464" max="8464" width="10.7109375" style="141" customWidth="1"/>
    <col min="8465" max="8465" width="9.5703125" style="141" customWidth="1"/>
    <col min="8466" max="8466" width="13.85546875" style="141" customWidth="1"/>
    <col min="8467" max="8467" width="12.5703125" style="141" customWidth="1"/>
    <col min="8468" max="8468" width="10.5703125" style="141" customWidth="1"/>
    <col min="8469" max="8469" width="9.28515625" style="141" customWidth="1"/>
    <col min="8470" max="8470" width="5.7109375" style="141" customWidth="1"/>
    <col min="8471" max="8471" width="9.42578125" style="141" customWidth="1"/>
    <col min="8472" max="8472" width="8.7109375" style="141" customWidth="1"/>
    <col min="8473" max="8473" width="8.28515625" style="141" customWidth="1"/>
    <col min="8474" max="8474" width="7" style="141" customWidth="1"/>
    <col min="8475" max="8475" width="9" style="141" customWidth="1"/>
    <col min="8476" max="8476" width="8.85546875" style="141" customWidth="1"/>
    <col min="8477" max="8477" width="9.140625" style="141" customWidth="1"/>
    <col min="8478" max="8478" width="8.85546875" style="141" customWidth="1"/>
    <col min="8479" max="8479" width="8" style="141" customWidth="1"/>
    <col min="8480" max="8480" width="0" style="141" hidden="1" customWidth="1"/>
    <col min="8481" max="8481" width="11.5703125" style="141" customWidth="1"/>
    <col min="8482" max="8482" width="13.42578125" style="141" customWidth="1"/>
    <col min="8483" max="8483" width="10.28515625" style="141" customWidth="1"/>
    <col min="8484" max="8514" width="9.140625" style="141" customWidth="1"/>
    <col min="8515" max="8515" width="40.140625" style="141" customWidth="1"/>
    <col min="8516" max="8656" width="9.140625" style="141" customWidth="1"/>
    <col min="8657" max="8704" width="9.140625" style="141"/>
    <col min="8705" max="8705" width="3.5703125" style="141" customWidth="1"/>
    <col min="8706" max="8706" width="5" style="141" customWidth="1"/>
    <col min="8707" max="8707" width="9.85546875" style="141" customWidth="1"/>
    <col min="8708" max="8708" width="28.28515625" style="141" customWidth="1"/>
    <col min="8709" max="8711" width="0" style="141" hidden="1" customWidth="1"/>
    <col min="8712" max="8712" width="13.7109375" style="141" customWidth="1"/>
    <col min="8713" max="8713" width="11.42578125" style="141" customWidth="1"/>
    <col min="8714" max="8714" width="12.140625" style="141" customWidth="1"/>
    <col min="8715" max="8715" width="10.85546875" style="141" customWidth="1"/>
    <col min="8716" max="8716" width="8.140625" style="141" customWidth="1"/>
    <col min="8717" max="8717" width="11.42578125" style="141" customWidth="1"/>
    <col min="8718" max="8719" width="0" style="141" hidden="1" customWidth="1"/>
    <col min="8720" max="8720" width="10.7109375" style="141" customWidth="1"/>
    <col min="8721" max="8721" width="9.5703125" style="141" customWidth="1"/>
    <col min="8722" max="8722" width="13.85546875" style="141" customWidth="1"/>
    <col min="8723" max="8723" width="12.5703125" style="141" customWidth="1"/>
    <col min="8724" max="8724" width="10.5703125" style="141" customWidth="1"/>
    <col min="8725" max="8725" width="9.28515625" style="141" customWidth="1"/>
    <col min="8726" max="8726" width="5.7109375" style="141" customWidth="1"/>
    <col min="8727" max="8727" width="9.42578125" style="141" customWidth="1"/>
    <col min="8728" max="8728" width="8.7109375" style="141" customWidth="1"/>
    <col min="8729" max="8729" width="8.28515625" style="141" customWidth="1"/>
    <col min="8730" max="8730" width="7" style="141" customWidth="1"/>
    <col min="8731" max="8731" width="9" style="141" customWidth="1"/>
    <col min="8732" max="8732" width="8.85546875" style="141" customWidth="1"/>
    <col min="8733" max="8733" width="9.140625" style="141" customWidth="1"/>
    <col min="8734" max="8734" width="8.85546875" style="141" customWidth="1"/>
    <col min="8735" max="8735" width="8" style="141" customWidth="1"/>
    <col min="8736" max="8736" width="0" style="141" hidden="1" customWidth="1"/>
    <col min="8737" max="8737" width="11.5703125" style="141" customWidth="1"/>
    <col min="8738" max="8738" width="13.42578125" style="141" customWidth="1"/>
    <col min="8739" max="8739" width="10.28515625" style="141" customWidth="1"/>
    <col min="8740" max="8770" width="9.140625" style="141" customWidth="1"/>
    <col min="8771" max="8771" width="40.140625" style="141" customWidth="1"/>
    <col min="8772" max="8912" width="9.140625" style="141" customWidth="1"/>
    <col min="8913" max="8960" width="9.140625" style="141"/>
    <col min="8961" max="8961" width="3.5703125" style="141" customWidth="1"/>
    <col min="8962" max="8962" width="5" style="141" customWidth="1"/>
    <col min="8963" max="8963" width="9.85546875" style="141" customWidth="1"/>
    <col min="8964" max="8964" width="28.28515625" style="141" customWidth="1"/>
    <col min="8965" max="8967" width="0" style="141" hidden="1" customWidth="1"/>
    <col min="8968" max="8968" width="13.7109375" style="141" customWidth="1"/>
    <col min="8969" max="8969" width="11.42578125" style="141" customWidth="1"/>
    <col min="8970" max="8970" width="12.140625" style="141" customWidth="1"/>
    <col min="8971" max="8971" width="10.85546875" style="141" customWidth="1"/>
    <col min="8972" max="8972" width="8.140625" style="141" customWidth="1"/>
    <col min="8973" max="8973" width="11.42578125" style="141" customWidth="1"/>
    <col min="8974" max="8975" width="0" style="141" hidden="1" customWidth="1"/>
    <col min="8976" max="8976" width="10.7109375" style="141" customWidth="1"/>
    <col min="8977" max="8977" width="9.5703125" style="141" customWidth="1"/>
    <col min="8978" max="8978" width="13.85546875" style="141" customWidth="1"/>
    <col min="8979" max="8979" width="12.5703125" style="141" customWidth="1"/>
    <col min="8980" max="8980" width="10.5703125" style="141" customWidth="1"/>
    <col min="8981" max="8981" width="9.28515625" style="141" customWidth="1"/>
    <col min="8982" max="8982" width="5.7109375" style="141" customWidth="1"/>
    <col min="8983" max="8983" width="9.42578125" style="141" customWidth="1"/>
    <col min="8984" max="8984" width="8.7109375" style="141" customWidth="1"/>
    <col min="8985" max="8985" width="8.28515625" style="141" customWidth="1"/>
    <col min="8986" max="8986" width="7" style="141" customWidth="1"/>
    <col min="8987" max="8987" width="9" style="141" customWidth="1"/>
    <col min="8988" max="8988" width="8.85546875" style="141" customWidth="1"/>
    <col min="8989" max="8989" width="9.140625" style="141" customWidth="1"/>
    <col min="8990" max="8990" width="8.85546875" style="141" customWidth="1"/>
    <col min="8991" max="8991" width="8" style="141" customWidth="1"/>
    <col min="8992" max="8992" width="0" style="141" hidden="1" customWidth="1"/>
    <col min="8993" max="8993" width="11.5703125" style="141" customWidth="1"/>
    <col min="8994" max="8994" width="13.42578125" style="141" customWidth="1"/>
    <col min="8995" max="8995" width="10.28515625" style="141" customWidth="1"/>
    <col min="8996" max="9026" width="9.140625" style="141" customWidth="1"/>
    <col min="9027" max="9027" width="40.140625" style="141" customWidth="1"/>
    <col min="9028" max="9168" width="9.140625" style="141" customWidth="1"/>
    <col min="9169" max="9216" width="9.140625" style="141"/>
    <col min="9217" max="9217" width="3.5703125" style="141" customWidth="1"/>
    <col min="9218" max="9218" width="5" style="141" customWidth="1"/>
    <col min="9219" max="9219" width="9.85546875" style="141" customWidth="1"/>
    <col min="9220" max="9220" width="28.28515625" style="141" customWidth="1"/>
    <col min="9221" max="9223" width="0" style="141" hidden="1" customWidth="1"/>
    <col min="9224" max="9224" width="13.7109375" style="141" customWidth="1"/>
    <col min="9225" max="9225" width="11.42578125" style="141" customWidth="1"/>
    <col min="9226" max="9226" width="12.140625" style="141" customWidth="1"/>
    <col min="9227" max="9227" width="10.85546875" style="141" customWidth="1"/>
    <col min="9228" max="9228" width="8.140625" style="141" customWidth="1"/>
    <col min="9229" max="9229" width="11.42578125" style="141" customWidth="1"/>
    <col min="9230" max="9231" width="0" style="141" hidden="1" customWidth="1"/>
    <col min="9232" max="9232" width="10.7109375" style="141" customWidth="1"/>
    <col min="9233" max="9233" width="9.5703125" style="141" customWidth="1"/>
    <col min="9234" max="9234" width="13.85546875" style="141" customWidth="1"/>
    <col min="9235" max="9235" width="12.5703125" style="141" customWidth="1"/>
    <col min="9236" max="9236" width="10.5703125" style="141" customWidth="1"/>
    <col min="9237" max="9237" width="9.28515625" style="141" customWidth="1"/>
    <col min="9238" max="9238" width="5.7109375" style="141" customWidth="1"/>
    <col min="9239" max="9239" width="9.42578125" style="141" customWidth="1"/>
    <col min="9240" max="9240" width="8.7109375" style="141" customWidth="1"/>
    <col min="9241" max="9241" width="8.28515625" style="141" customWidth="1"/>
    <col min="9242" max="9242" width="7" style="141" customWidth="1"/>
    <col min="9243" max="9243" width="9" style="141" customWidth="1"/>
    <col min="9244" max="9244" width="8.85546875" style="141" customWidth="1"/>
    <col min="9245" max="9245" width="9.140625" style="141" customWidth="1"/>
    <col min="9246" max="9246" width="8.85546875" style="141" customWidth="1"/>
    <col min="9247" max="9247" width="8" style="141" customWidth="1"/>
    <col min="9248" max="9248" width="0" style="141" hidden="1" customWidth="1"/>
    <col min="9249" max="9249" width="11.5703125" style="141" customWidth="1"/>
    <col min="9250" max="9250" width="13.42578125" style="141" customWidth="1"/>
    <col min="9251" max="9251" width="10.28515625" style="141" customWidth="1"/>
    <col min="9252" max="9282" width="9.140625" style="141" customWidth="1"/>
    <col min="9283" max="9283" width="40.140625" style="141" customWidth="1"/>
    <col min="9284" max="9424" width="9.140625" style="141" customWidth="1"/>
    <col min="9425" max="9472" width="9.140625" style="141"/>
    <col min="9473" max="9473" width="3.5703125" style="141" customWidth="1"/>
    <col min="9474" max="9474" width="5" style="141" customWidth="1"/>
    <col min="9475" max="9475" width="9.85546875" style="141" customWidth="1"/>
    <col min="9476" max="9476" width="28.28515625" style="141" customWidth="1"/>
    <col min="9477" max="9479" width="0" style="141" hidden="1" customWidth="1"/>
    <col min="9480" max="9480" width="13.7109375" style="141" customWidth="1"/>
    <col min="9481" max="9481" width="11.42578125" style="141" customWidth="1"/>
    <col min="9482" max="9482" width="12.140625" style="141" customWidth="1"/>
    <col min="9483" max="9483" width="10.85546875" style="141" customWidth="1"/>
    <col min="9484" max="9484" width="8.140625" style="141" customWidth="1"/>
    <col min="9485" max="9485" width="11.42578125" style="141" customWidth="1"/>
    <col min="9486" max="9487" width="0" style="141" hidden="1" customWidth="1"/>
    <col min="9488" max="9488" width="10.7109375" style="141" customWidth="1"/>
    <col min="9489" max="9489" width="9.5703125" style="141" customWidth="1"/>
    <col min="9490" max="9490" width="13.85546875" style="141" customWidth="1"/>
    <col min="9491" max="9491" width="12.5703125" style="141" customWidth="1"/>
    <col min="9492" max="9492" width="10.5703125" style="141" customWidth="1"/>
    <col min="9493" max="9493" width="9.28515625" style="141" customWidth="1"/>
    <col min="9494" max="9494" width="5.7109375" style="141" customWidth="1"/>
    <col min="9495" max="9495" width="9.42578125" style="141" customWidth="1"/>
    <col min="9496" max="9496" width="8.7109375" style="141" customWidth="1"/>
    <col min="9497" max="9497" width="8.28515625" style="141" customWidth="1"/>
    <col min="9498" max="9498" width="7" style="141" customWidth="1"/>
    <col min="9499" max="9499" width="9" style="141" customWidth="1"/>
    <col min="9500" max="9500" width="8.85546875" style="141" customWidth="1"/>
    <col min="9501" max="9501" width="9.140625" style="141" customWidth="1"/>
    <col min="9502" max="9502" width="8.85546875" style="141" customWidth="1"/>
    <col min="9503" max="9503" width="8" style="141" customWidth="1"/>
    <col min="9504" max="9504" width="0" style="141" hidden="1" customWidth="1"/>
    <col min="9505" max="9505" width="11.5703125" style="141" customWidth="1"/>
    <col min="9506" max="9506" width="13.42578125" style="141" customWidth="1"/>
    <col min="9507" max="9507" width="10.28515625" style="141" customWidth="1"/>
    <col min="9508" max="9538" width="9.140625" style="141" customWidth="1"/>
    <col min="9539" max="9539" width="40.140625" style="141" customWidth="1"/>
    <col min="9540" max="9680" width="9.140625" style="141" customWidth="1"/>
    <col min="9681" max="9728" width="9.140625" style="141"/>
    <col min="9729" max="9729" width="3.5703125" style="141" customWidth="1"/>
    <col min="9730" max="9730" width="5" style="141" customWidth="1"/>
    <col min="9731" max="9731" width="9.85546875" style="141" customWidth="1"/>
    <col min="9732" max="9732" width="28.28515625" style="141" customWidth="1"/>
    <col min="9733" max="9735" width="0" style="141" hidden="1" customWidth="1"/>
    <col min="9736" max="9736" width="13.7109375" style="141" customWidth="1"/>
    <col min="9737" max="9737" width="11.42578125" style="141" customWidth="1"/>
    <col min="9738" max="9738" width="12.140625" style="141" customWidth="1"/>
    <col min="9739" max="9739" width="10.85546875" style="141" customWidth="1"/>
    <col min="9740" max="9740" width="8.140625" style="141" customWidth="1"/>
    <col min="9741" max="9741" width="11.42578125" style="141" customWidth="1"/>
    <col min="9742" max="9743" width="0" style="141" hidden="1" customWidth="1"/>
    <col min="9744" max="9744" width="10.7109375" style="141" customWidth="1"/>
    <col min="9745" max="9745" width="9.5703125" style="141" customWidth="1"/>
    <col min="9746" max="9746" width="13.85546875" style="141" customWidth="1"/>
    <col min="9747" max="9747" width="12.5703125" style="141" customWidth="1"/>
    <col min="9748" max="9748" width="10.5703125" style="141" customWidth="1"/>
    <col min="9749" max="9749" width="9.28515625" style="141" customWidth="1"/>
    <col min="9750" max="9750" width="5.7109375" style="141" customWidth="1"/>
    <col min="9751" max="9751" width="9.42578125" style="141" customWidth="1"/>
    <col min="9752" max="9752" width="8.7109375" style="141" customWidth="1"/>
    <col min="9753" max="9753" width="8.28515625" style="141" customWidth="1"/>
    <col min="9754" max="9754" width="7" style="141" customWidth="1"/>
    <col min="9755" max="9755" width="9" style="141" customWidth="1"/>
    <col min="9756" max="9756" width="8.85546875" style="141" customWidth="1"/>
    <col min="9757" max="9757" width="9.140625" style="141" customWidth="1"/>
    <col min="9758" max="9758" width="8.85546875" style="141" customWidth="1"/>
    <col min="9759" max="9759" width="8" style="141" customWidth="1"/>
    <col min="9760" max="9760" width="0" style="141" hidden="1" customWidth="1"/>
    <col min="9761" max="9761" width="11.5703125" style="141" customWidth="1"/>
    <col min="9762" max="9762" width="13.42578125" style="141" customWidth="1"/>
    <col min="9763" max="9763" width="10.28515625" style="141" customWidth="1"/>
    <col min="9764" max="9794" width="9.140625" style="141" customWidth="1"/>
    <col min="9795" max="9795" width="40.140625" style="141" customWidth="1"/>
    <col min="9796" max="9936" width="9.140625" style="141" customWidth="1"/>
    <col min="9937" max="9984" width="9.140625" style="141"/>
    <col min="9985" max="9985" width="3.5703125" style="141" customWidth="1"/>
    <col min="9986" max="9986" width="5" style="141" customWidth="1"/>
    <col min="9987" max="9987" width="9.85546875" style="141" customWidth="1"/>
    <col min="9988" max="9988" width="28.28515625" style="141" customWidth="1"/>
    <col min="9989" max="9991" width="0" style="141" hidden="1" customWidth="1"/>
    <col min="9992" max="9992" width="13.7109375" style="141" customWidth="1"/>
    <col min="9993" max="9993" width="11.42578125" style="141" customWidth="1"/>
    <col min="9994" max="9994" width="12.140625" style="141" customWidth="1"/>
    <col min="9995" max="9995" width="10.85546875" style="141" customWidth="1"/>
    <col min="9996" max="9996" width="8.140625" style="141" customWidth="1"/>
    <col min="9997" max="9997" width="11.42578125" style="141" customWidth="1"/>
    <col min="9998" max="9999" width="0" style="141" hidden="1" customWidth="1"/>
    <col min="10000" max="10000" width="10.7109375" style="141" customWidth="1"/>
    <col min="10001" max="10001" width="9.5703125" style="141" customWidth="1"/>
    <col min="10002" max="10002" width="13.85546875" style="141" customWidth="1"/>
    <col min="10003" max="10003" width="12.5703125" style="141" customWidth="1"/>
    <col min="10004" max="10004" width="10.5703125" style="141" customWidth="1"/>
    <col min="10005" max="10005" width="9.28515625" style="141" customWidth="1"/>
    <col min="10006" max="10006" width="5.7109375" style="141" customWidth="1"/>
    <col min="10007" max="10007" width="9.42578125" style="141" customWidth="1"/>
    <col min="10008" max="10008" width="8.7109375" style="141" customWidth="1"/>
    <col min="10009" max="10009" width="8.28515625" style="141" customWidth="1"/>
    <col min="10010" max="10010" width="7" style="141" customWidth="1"/>
    <col min="10011" max="10011" width="9" style="141" customWidth="1"/>
    <col min="10012" max="10012" width="8.85546875" style="141" customWidth="1"/>
    <col min="10013" max="10013" width="9.140625" style="141" customWidth="1"/>
    <col min="10014" max="10014" width="8.85546875" style="141" customWidth="1"/>
    <col min="10015" max="10015" width="8" style="141" customWidth="1"/>
    <col min="10016" max="10016" width="0" style="141" hidden="1" customWidth="1"/>
    <col min="10017" max="10017" width="11.5703125" style="141" customWidth="1"/>
    <col min="10018" max="10018" width="13.42578125" style="141" customWidth="1"/>
    <col min="10019" max="10019" width="10.28515625" style="141" customWidth="1"/>
    <col min="10020" max="10050" width="9.140625" style="141" customWidth="1"/>
    <col min="10051" max="10051" width="40.140625" style="141" customWidth="1"/>
    <col min="10052" max="10192" width="9.140625" style="141" customWidth="1"/>
    <col min="10193" max="10240" width="9.140625" style="141"/>
    <col min="10241" max="10241" width="3.5703125" style="141" customWidth="1"/>
    <col min="10242" max="10242" width="5" style="141" customWidth="1"/>
    <col min="10243" max="10243" width="9.85546875" style="141" customWidth="1"/>
    <col min="10244" max="10244" width="28.28515625" style="141" customWidth="1"/>
    <col min="10245" max="10247" width="0" style="141" hidden="1" customWidth="1"/>
    <col min="10248" max="10248" width="13.7109375" style="141" customWidth="1"/>
    <col min="10249" max="10249" width="11.42578125" style="141" customWidth="1"/>
    <col min="10250" max="10250" width="12.140625" style="141" customWidth="1"/>
    <col min="10251" max="10251" width="10.85546875" style="141" customWidth="1"/>
    <col min="10252" max="10252" width="8.140625" style="141" customWidth="1"/>
    <col min="10253" max="10253" width="11.42578125" style="141" customWidth="1"/>
    <col min="10254" max="10255" width="0" style="141" hidden="1" customWidth="1"/>
    <col min="10256" max="10256" width="10.7109375" style="141" customWidth="1"/>
    <col min="10257" max="10257" width="9.5703125" style="141" customWidth="1"/>
    <col min="10258" max="10258" width="13.85546875" style="141" customWidth="1"/>
    <col min="10259" max="10259" width="12.5703125" style="141" customWidth="1"/>
    <col min="10260" max="10260" width="10.5703125" style="141" customWidth="1"/>
    <col min="10261" max="10261" width="9.28515625" style="141" customWidth="1"/>
    <col min="10262" max="10262" width="5.7109375" style="141" customWidth="1"/>
    <col min="10263" max="10263" width="9.42578125" style="141" customWidth="1"/>
    <col min="10264" max="10264" width="8.7109375" style="141" customWidth="1"/>
    <col min="10265" max="10265" width="8.28515625" style="141" customWidth="1"/>
    <col min="10266" max="10266" width="7" style="141" customWidth="1"/>
    <col min="10267" max="10267" width="9" style="141" customWidth="1"/>
    <col min="10268" max="10268" width="8.85546875" style="141" customWidth="1"/>
    <col min="10269" max="10269" width="9.140625" style="141" customWidth="1"/>
    <col min="10270" max="10270" width="8.85546875" style="141" customWidth="1"/>
    <col min="10271" max="10271" width="8" style="141" customWidth="1"/>
    <col min="10272" max="10272" width="0" style="141" hidden="1" customWidth="1"/>
    <col min="10273" max="10273" width="11.5703125" style="141" customWidth="1"/>
    <col min="10274" max="10274" width="13.42578125" style="141" customWidth="1"/>
    <col min="10275" max="10275" width="10.28515625" style="141" customWidth="1"/>
    <col min="10276" max="10306" width="9.140625" style="141" customWidth="1"/>
    <col min="10307" max="10307" width="40.140625" style="141" customWidth="1"/>
    <col min="10308" max="10448" width="9.140625" style="141" customWidth="1"/>
    <col min="10449" max="10496" width="9.140625" style="141"/>
    <col min="10497" max="10497" width="3.5703125" style="141" customWidth="1"/>
    <col min="10498" max="10498" width="5" style="141" customWidth="1"/>
    <col min="10499" max="10499" width="9.85546875" style="141" customWidth="1"/>
    <col min="10500" max="10500" width="28.28515625" style="141" customWidth="1"/>
    <col min="10501" max="10503" width="0" style="141" hidden="1" customWidth="1"/>
    <col min="10504" max="10504" width="13.7109375" style="141" customWidth="1"/>
    <col min="10505" max="10505" width="11.42578125" style="141" customWidth="1"/>
    <col min="10506" max="10506" width="12.140625" style="141" customWidth="1"/>
    <col min="10507" max="10507" width="10.85546875" style="141" customWidth="1"/>
    <col min="10508" max="10508" width="8.140625" style="141" customWidth="1"/>
    <col min="10509" max="10509" width="11.42578125" style="141" customWidth="1"/>
    <col min="10510" max="10511" width="0" style="141" hidden="1" customWidth="1"/>
    <col min="10512" max="10512" width="10.7109375" style="141" customWidth="1"/>
    <col min="10513" max="10513" width="9.5703125" style="141" customWidth="1"/>
    <col min="10514" max="10514" width="13.85546875" style="141" customWidth="1"/>
    <col min="10515" max="10515" width="12.5703125" style="141" customWidth="1"/>
    <col min="10516" max="10516" width="10.5703125" style="141" customWidth="1"/>
    <col min="10517" max="10517" width="9.28515625" style="141" customWidth="1"/>
    <col min="10518" max="10518" width="5.7109375" style="141" customWidth="1"/>
    <col min="10519" max="10519" width="9.42578125" style="141" customWidth="1"/>
    <col min="10520" max="10520" width="8.7109375" style="141" customWidth="1"/>
    <col min="10521" max="10521" width="8.28515625" style="141" customWidth="1"/>
    <col min="10522" max="10522" width="7" style="141" customWidth="1"/>
    <col min="10523" max="10523" width="9" style="141" customWidth="1"/>
    <col min="10524" max="10524" width="8.85546875" style="141" customWidth="1"/>
    <col min="10525" max="10525" width="9.140625" style="141" customWidth="1"/>
    <col min="10526" max="10526" width="8.85546875" style="141" customWidth="1"/>
    <col min="10527" max="10527" width="8" style="141" customWidth="1"/>
    <col min="10528" max="10528" width="0" style="141" hidden="1" customWidth="1"/>
    <col min="10529" max="10529" width="11.5703125" style="141" customWidth="1"/>
    <col min="10530" max="10530" width="13.42578125" style="141" customWidth="1"/>
    <col min="10531" max="10531" width="10.28515625" style="141" customWidth="1"/>
    <col min="10532" max="10562" width="9.140625" style="141" customWidth="1"/>
    <col min="10563" max="10563" width="40.140625" style="141" customWidth="1"/>
    <col min="10564" max="10704" width="9.140625" style="141" customWidth="1"/>
    <col min="10705" max="10752" width="9.140625" style="141"/>
    <col min="10753" max="10753" width="3.5703125" style="141" customWidth="1"/>
    <col min="10754" max="10754" width="5" style="141" customWidth="1"/>
    <col min="10755" max="10755" width="9.85546875" style="141" customWidth="1"/>
    <col min="10756" max="10756" width="28.28515625" style="141" customWidth="1"/>
    <col min="10757" max="10759" width="0" style="141" hidden="1" customWidth="1"/>
    <col min="10760" max="10760" width="13.7109375" style="141" customWidth="1"/>
    <col min="10761" max="10761" width="11.42578125" style="141" customWidth="1"/>
    <col min="10762" max="10762" width="12.140625" style="141" customWidth="1"/>
    <col min="10763" max="10763" width="10.85546875" style="141" customWidth="1"/>
    <col min="10764" max="10764" width="8.140625" style="141" customWidth="1"/>
    <col min="10765" max="10765" width="11.42578125" style="141" customWidth="1"/>
    <col min="10766" max="10767" width="0" style="141" hidden="1" customWidth="1"/>
    <col min="10768" max="10768" width="10.7109375" style="141" customWidth="1"/>
    <col min="10769" max="10769" width="9.5703125" style="141" customWidth="1"/>
    <col min="10770" max="10770" width="13.85546875" style="141" customWidth="1"/>
    <col min="10771" max="10771" width="12.5703125" style="141" customWidth="1"/>
    <col min="10772" max="10772" width="10.5703125" style="141" customWidth="1"/>
    <col min="10773" max="10773" width="9.28515625" style="141" customWidth="1"/>
    <col min="10774" max="10774" width="5.7109375" style="141" customWidth="1"/>
    <col min="10775" max="10775" width="9.42578125" style="141" customWidth="1"/>
    <col min="10776" max="10776" width="8.7109375" style="141" customWidth="1"/>
    <col min="10777" max="10777" width="8.28515625" style="141" customWidth="1"/>
    <col min="10778" max="10778" width="7" style="141" customWidth="1"/>
    <col min="10779" max="10779" width="9" style="141" customWidth="1"/>
    <col min="10780" max="10780" width="8.85546875" style="141" customWidth="1"/>
    <col min="10781" max="10781" width="9.140625" style="141" customWidth="1"/>
    <col min="10782" max="10782" width="8.85546875" style="141" customWidth="1"/>
    <col min="10783" max="10783" width="8" style="141" customWidth="1"/>
    <col min="10784" max="10784" width="0" style="141" hidden="1" customWidth="1"/>
    <col min="10785" max="10785" width="11.5703125" style="141" customWidth="1"/>
    <col min="10786" max="10786" width="13.42578125" style="141" customWidth="1"/>
    <col min="10787" max="10787" width="10.28515625" style="141" customWidth="1"/>
    <col min="10788" max="10818" width="9.140625" style="141" customWidth="1"/>
    <col min="10819" max="10819" width="40.140625" style="141" customWidth="1"/>
    <col min="10820" max="10960" width="9.140625" style="141" customWidth="1"/>
    <col min="10961" max="11008" width="9.140625" style="141"/>
    <col min="11009" max="11009" width="3.5703125" style="141" customWidth="1"/>
    <col min="11010" max="11010" width="5" style="141" customWidth="1"/>
    <col min="11011" max="11011" width="9.85546875" style="141" customWidth="1"/>
    <col min="11012" max="11012" width="28.28515625" style="141" customWidth="1"/>
    <col min="11013" max="11015" width="0" style="141" hidden="1" customWidth="1"/>
    <col min="11016" max="11016" width="13.7109375" style="141" customWidth="1"/>
    <col min="11017" max="11017" width="11.42578125" style="141" customWidth="1"/>
    <col min="11018" max="11018" width="12.140625" style="141" customWidth="1"/>
    <col min="11019" max="11019" width="10.85546875" style="141" customWidth="1"/>
    <col min="11020" max="11020" width="8.140625" style="141" customWidth="1"/>
    <col min="11021" max="11021" width="11.42578125" style="141" customWidth="1"/>
    <col min="11022" max="11023" width="0" style="141" hidden="1" customWidth="1"/>
    <col min="11024" max="11024" width="10.7109375" style="141" customWidth="1"/>
    <col min="11025" max="11025" width="9.5703125" style="141" customWidth="1"/>
    <col min="11026" max="11026" width="13.85546875" style="141" customWidth="1"/>
    <col min="11027" max="11027" width="12.5703125" style="141" customWidth="1"/>
    <col min="11028" max="11028" width="10.5703125" style="141" customWidth="1"/>
    <col min="11029" max="11029" width="9.28515625" style="141" customWidth="1"/>
    <col min="11030" max="11030" width="5.7109375" style="141" customWidth="1"/>
    <col min="11031" max="11031" width="9.42578125" style="141" customWidth="1"/>
    <col min="11032" max="11032" width="8.7109375" style="141" customWidth="1"/>
    <col min="11033" max="11033" width="8.28515625" style="141" customWidth="1"/>
    <col min="11034" max="11034" width="7" style="141" customWidth="1"/>
    <col min="11035" max="11035" width="9" style="141" customWidth="1"/>
    <col min="11036" max="11036" width="8.85546875" style="141" customWidth="1"/>
    <col min="11037" max="11037" width="9.140625" style="141" customWidth="1"/>
    <col min="11038" max="11038" width="8.85546875" style="141" customWidth="1"/>
    <col min="11039" max="11039" width="8" style="141" customWidth="1"/>
    <col min="11040" max="11040" width="0" style="141" hidden="1" customWidth="1"/>
    <col min="11041" max="11041" width="11.5703125" style="141" customWidth="1"/>
    <col min="11042" max="11042" width="13.42578125" style="141" customWidth="1"/>
    <col min="11043" max="11043" width="10.28515625" style="141" customWidth="1"/>
    <col min="11044" max="11074" width="9.140625" style="141" customWidth="1"/>
    <col min="11075" max="11075" width="40.140625" style="141" customWidth="1"/>
    <col min="11076" max="11216" width="9.140625" style="141" customWidth="1"/>
    <col min="11217" max="11264" width="9.140625" style="141"/>
    <col min="11265" max="11265" width="3.5703125" style="141" customWidth="1"/>
    <col min="11266" max="11266" width="5" style="141" customWidth="1"/>
    <col min="11267" max="11267" width="9.85546875" style="141" customWidth="1"/>
    <col min="11268" max="11268" width="28.28515625" style="141" customWidth="1"/>
    <col min="11269" max="11271" width="0" style="141" hidden="1" customWidth="1"/>
    <col min="11272" max="11272" width="13.7109375" style="141" customWidth="1"/>
    <col min="11273" max="11273" width="11.42578125" style="141" customWidth="1"/>
    <col min="11274" max="11274" width="12.140625" style="141" customWidth="1"/>
    <col min="11275" max="11275" width="10.85546875" style="141" customWidth="1"/>
    <col min="11276" max="11276" width="8.140625" style="141" customWidth="1"/>
    <col min="11277" max="11277" width="11.42578125" style="141" customWidth="1"/>
    <col min="11278" max="11279" width="0" style="141" hidden="1" customWidth="1"/>
    <col min="11280" max="11280" width="10.7109375" style="141" customWidth="1"/>
    <col min="11281" max="11281" width="9.5703125" style="141" customWidth="1"/>
    <col min="11282" max="11282" width="13.85546875" style="141" customWidth="1"/>
    <col min="11283" max="11283" width="12.5703125" style="141" customWidth="1"/>
    <col min="11284" max="11284" width="10.5703125" style="141" customWidth="1"/>
    <col min="11285" max="11285" width="9.28515625" style="141" customWidth="1"/>
    <col min="11286" max="11286" width="5.7109375" style="141" customWidth="1"/>
    <col min="11287" max="11287" width="9.42578125" style="141" customWidth="1"/>
    <col min="11288" max="11288" width="8.7109375" style="141" customWidth="1"/>
    <col min="11289" max="11289" width="8.28515625" style="141" customWidth="1"/>
    <col min="11290" max="11290" width="7" style="141" customWidth="1"/>
    <col min="11291" max="11291" width="9" style="141" customWidth="1"/>
    <col min="11292" max="11292" width="8.85546875" style="141" customWidth="1"/>
    <col min="11293" max="11293" width="9.140625" style="141" customWidth="1"/>
    <col min="11294" max="11294" width="8.85546875" style="141" customWidth="1"/>
    <col min="11295" max="11295" width="8" style="141" customWidth="1"/>
    <col min="11296" max="11296" width="0" style="141" hidden="1" customWidth="1"/>
    <col min="11297" max="11297" width="11.5703125" style="141" customWidth="1"/>
    <col min="11298" max="11298" width="13.42578125" style="141" customWidth="1"/>
    <col min="11299" max="11299" width="10.28515625" style="141" customWidth="1"/>
    <col min="11300" max="11330" width="9.140625" style="141" customWidth="1"/>
    <col min="11331" max="11331" width="40.140625" style="141" customWidth="1"/>
    <col min="11332" max="11472" width="9.140625" style="141" customWidth="1"/>
    <col min="11473" max="11520" width="9.140625" style="141"/>
    <col min="11521" max="11521" width="3.5703125" style="141" customWidth="1"/>
    <col min="11522" max="11522" width="5" style="141" customWidth="1"/>
    <col min="11523" max="11523" width="9.85546875" style="141" customWidth="1"/>
    <col min="11524" max="11524" width="28.28515625" style="141" customWidth="1"/>
    <col min="11525" max="11527" width="0" style="141" hidden="1" customWidth="1"/>
    <col min="11528" max="11528" width="13.7109375" style="141" customWidth="1"/>
    <col min="11529" max="11529" width="11.42578125" style="141" customWidth="1"/>
    <col min="11530" max="11530" width="12.140625" style="141" customWidth="1"/>
    <col min="11531" max="11531" width="10.85546875" style="141" customWidth="1"/>
    <col min="11532" max="11532" width="8.140625" style="141" customWidth="1"/>
    <col min="11533" max="11533" width="11.42578125" style="141" customWidth="1"/>
    <col min="11534" max="11535" width="0" style="141" hidden="1" customWidth="1"/>
    <col min="11536" max="11536" width="10.7109375" style="141" customWidth="1"/>
    <col min="11537" max="11537" width="9.5703125" style="141" customWidth="1"/>
    <col min="11538" max="11538" width="13.85546875" style="141" customWidth="1"/>
    <col min="11539" max="11539" width="12.5703125" style="141" customWidth="1"/>
    <col min="11540" max="11540" width="10.5703125" style="141" customWidth="1"/>
    <col min="11541" max="11541" width="9.28515625" style="141" customWidth="1"/>
    <col min="11542" max="11542" width="5.7109375" style="141" customWidth="1"/>
    <col min="11543" max="11543" width="9.42578125" style="141" customWidth="1"/>
    <col min="11544" max="11544" width="8.7109375" style="141" customWidth="1"/>
    <col min="11545" max="11545" width="8.28515625" style="141" customWidth="1"/>
    <col min="11546" max="11546" width="7" style="141" customWidth="1"/>
    <col min="11547" max="11547" width="9" style="141" customWidth="1"/>
    <col min="11548" max="11548" width="8.85546875" style="141" customWidth="1"/>
    <col min="11549" max="11549" width="9.140625" style="141" customWidth="1"/>
    <col min="11550" max="11550" width="8.85546875" style="141" customWidth="1"/>
    <col min="11551" max="11551" width="8" style="141" customWidth="1"/>
    <col min="11552" max="11552" width="0" style="141" hidden="1" customWidth="1"/>
    <col min="11553" max="11553" width="11.5703125" style="141" customWidth="1"/>
    <col min="11554" max="11554" width="13.42578125" style="141" customWidth="1"/>
    <col min="11555" max="11555" width="10.28515625" style="141" customWidth="1"/>
    <col min="11556" max="11586" width="9.140625" style="141" customWidth="1"/>
    <col min="11587" max="11587" width="40.140625" style="141" customWidth="1"/>
    <col min="11588" max="11728" width="9.140625" style="141" customWidth="1"/>
    <col min="11729" max="11776" width="9.140625" style="141"/>
    <col min="11777" max="11777" width="3.5703125" style="141" customWidth="1"/>
    <col min="11778" max="11778" width="5" style="141" customWidth="1"/>
    <col min="11779" max="11779" width="9.85546875" style="141" customWidth="1"/>
    <col min="11780" max="11780" width="28.28515625" style="141" customWidth="1"/>
    <col min="11781" max="11783" width="0" style="141" hidden="1" customWidth="1"/>
    <col min="11784" max="11784" width="13.7109375" style="141" customWidth="1"/>
    <col min="11785" max="11785" width="11.42578125" style="141" customWidth="1"/>
    <col min="11786" max="11786" width="12.140625" style="141" customWidth="1"/>
    <col min="11787" max="11787" width="10.85546875" style="141" customWidth="1"/>
    <col min="11788" max="11788" width="8.140625" style="141" customWidth="1"/>
    <col min="11789" max="11789" width="11.42578125" style="141" customWidth="1"/>
    <col min="11790" max="11791" width="0" style="141" hidden="1" customWidth="1"/>
    <col min="11792" max="11792" width="10.7109375" style="141" customWidth="1"/>
    <col min="11793" max="11793" width="9.5703125" style="141" customWidth="1"/>
    <col min="11794" max="11794" width="13.85546875" style="141" customWidth="1"/>
    <col min="11795" max="11795" width="12.5703125" style="141" customWidth="1"/>
    <col min="11796" max="11796" width="10.5703125" style="141" customWidth="1"/>
    <col min="11797" max="11797" width="9.28515625" style="141" customWidth="1"/>
    <col min="11798" max="11798" width="5.7109375" style="141" customWidth="1"/>
    <col min="11799" max="11799" width="9.42578125" style="141" customWidth="1"/>
    <col min="11800" max="11800" width="8.7109375" style="141" customWidth="1"/>
    <col min="11801" max="11801" width="8.28515625" style="141" customWidth="1"/>
    <col min="11802" max="11802" width="7" style="141" customWidth="1"/>
    <col min="11803" max="11803" width="9" style="141" customWidth="1"/>
    <col min="11804" max="11804" width="8.85546875" style="141" customWidth="1"/>
    <col min="11805" max="11805" width="9.140625" style="141" customWidth="1"/>
    <col min="11806" max="11806" width="8.85546875" style="141" customWidth="1"/>
    <col min="11807" max="11807" width="8" style="141" customWidth="1"/>
    <col min="11808" max="11808" width="0" style="141" hidden="1" customWidth="1"/>
    <col min="11809" max="11809" width="11.5703125" style="141" customWidth="1"/>
    <col min="11810" max="11810" width="13.42578125" style="141" customWidth="1"/>
    <col min="11811" max="11811" width="10.28515625" style="141" customWidth="1"/>
    <col min="11812" max="11842" width="9.140625" style="141" customWidth="1"/>
    <col min="11843" max="11843" width="40.140625" style="141" customWidth="1"/>
    <col min="11844" max="11984" width="9.140625" style="141" customWidth="1"/>
    <col min="11985" max="12032" width="9.140625" style="141"/>
    <col min="12033" max="12033" width="3.5703125" style="141" customWidth="1"/>
    <col min="12034" max="12034" width="5" style="141" customWidth="1"/>
    <col min="12035" max="12035" width="9.85546875" style="141" customWidth="1"/>
    <col min="12036" max="12036" width="28.28515625" style="141" customWidth="1"/>
    <col min="12037" max="12039" width="0" style="141" hidden="1" customWidth="1"/>
    <col min="12040" max="12040" width="13.7109375" style="141" customWidth="1"/>
    <col min="12041" max="12041" width="11.42578125" style="141" customWidth="1"/>
    <col min="12042" max="12042" width="12.140625" style="141" customWidth="1"/>
    <col min="12043" max="12043" width="10.85546875" style="141" customWidth="1"/>
    <col min="12044" max="12044" width="8.140625" style="141" customWidth="1"/>
    <col min="12045" max="12045" width="11.42578125" style="141" customWidth="1"/>
    <col min="12046" max="12047" width="0" style="141" hidden="1" customWidth="1"/>
    <col min="12048" max="12048" width="10.7109375" style="141" customWidth="1"/>
    <col min="12049" max="12049" width="9.5703125" style="141" customWidth="1"/>
    <col min="12050" max="12050" width="13.85546875" style="141" customWidth="1"/>
    <col min="12051" max="12051" width="12.5703125" style="141" customWidth="1"/>
    <col min="12052" max="12052" width="10.5703125" style="141" customWidth="1"/>
    <col min="12053" max="12053" width="9.28515625" style="141" customWidth="1"/>
    <col min="12054" max="12054" width="5.7109375" style="141" customWidth="1"/>
    <col min="12055" max="12055" width="9.42578125" style="141" customWidth="1"/>
    <col min="12056" max="12056" width="8.7109375" style="141" customWidth="1"/>
    <col min="12057" max="12057" width="8.28515625" style="141" customWidth="1"/>
    <col min="12058" max="12058" width="7" style="141" customWidth="1"/>
    <col min="12059" max="12059" width="9" style="141" customWidth="1"/>
    <col min="12060" max="12060" width="8.85546875" style="141" customWidth="1"/>
    <col min="12061" max="12061" width="9.140625" style="141" customWidth="1"/>
    <col min="12062" max="12062" width="8.85546875" style="141" customWidth="1"/>
    <col min="12063" max="12063" width="8" style="141" customWidth="1"/>
    <col min="12064" max="12064" width="0" style="141" hidden="1" customWidth="1"/>
    <col min="12065" max="12065" width="11.5703125" style="141" customWidth="1"/>
    <col min="12066" max="12066" width="13.42578125" style="141" customWidth="1"/>
    <col min="12067" max="12067" width="10.28515625" style="141" customWidth="1"/>
    <col min="12068" max="12098" width="9.140625" style="141" customWidth="1"/>
    <col min="12099" max="12099" width="40.140625" style="141" customWidth="1"/>
    <col min="12100" max="12240" width="9.140625" style="141" customWidth="1"/>
    <col min="12241" max="12288" width="9.140625" style="141"/>
    <col min="12289" max="12289" width="3.5703125" style="141" customWidth="1"/>
    <col min="12290" max="12290" width="5" style="141" customWidth="1"/>
    <col min="12291" max="12291" width="9.85546875" style="141" customWidth="1"/>
    <col min="12292" max="12292" width="28.28515625" style="141" customWidth="1"/>
    <col min="12293" max="12295" width="0" style="141" hidden="1" customWidth="1"/>
    <col min="12296" max="12296" width="13.7109375" style="141" customWidth="1"/>
    <col min="12297" max="12297" width="11.42578125" style="141" customWidth="1"/>
    <col min="12298" max="12298" width="12.140625" style="141" customWidth="1"/>
    <col min="12299" max="12299" width="10.85546875" style="141" customWidth="1"/>
    <col min="12300" max="12300" width="8.140625" style="141" customWidth="1"/>
    <col min="12301" max="12301" width="11.42578125" style="141" customWidth="1"/>
    <col min="12302" max="12303" width="0" style="141" hidden="1" customWidth="1"/>
    <col min="12304" max="12304" width="10.7109375" style="141" customWidth="1"/>
    <col min="12305" max="12305" width="9.5703125" style="141" customWidth="1"/>
    <col min="12306" max="12306" width="13.85546875" style="141" customWidth="1"/>
    <col min="12307" max="12307" width="12.5703125" style="141" customWidth="1"/>
    <col min="12308" max="12308" width="10.5703125" style="141" customWidth="1"/>
    <col min="12309" max="12309" width="9.28515625" style="141" customWidth="1"/>
    <col min="12310" max="12310" width="5.7109375" style="141" customWidth="1"/>
    <col min="12311" max="12311" width="9.42578125" style="141" customWidth="1"/>
    <col min="12312" max="12312" width="8.7109375" style="141" customWidth="1"/>
    <col min="12313" max="12313" width="8.28515625" style="141" customWidth="1"/>
    <col min="12314" max="12314" width="7" style="141" customWidth="1"/>
    <col min="12315" max="12315" width="9" style="141" customWidth="1"/>
    <col min="12316" max="12316" width="8.85546875" style="141" customWidth="1"/>
    <col min="12317" max="12317" width="9.140625" style="141" customWidth="1"/>
    <col min="12318" max="12318" width="8.85546875" style="141" customWidth="1"/>
    <col min="12319" max="12319" width="8" style="141" customWidth="1"/>
    <col min="12320" max="12320" width="0" style="141" hidden="1" customWidth="1"/>
    <col min="12321" max="12321" width="11.5703125" style="141" customWidth="1"/>
    <col min="12322" max="12322" width="13.42578125" style="141" customWidth="1"/>
    <col min="12323" max="12323" width="10.28515625" style="141" customWidth="1"/>
    <col min="12324" max="12354" width="9.140625" style="141" customWidth="1"/>
    <col min="12355" max="12355" width="40.140625" style="141" customWidth="1"/>
    <col min="12356" max="12496" width="9.140625" style="141" customWidth="1"/>
    <col min="12497" max="12544" width="9.140625" style="141"/>
    <col min="12545" max="12545" width="3.5703125" style="141" customWidth="1"/>
    <col min="12546" max="12546" width="5" style="141" customWidth="1"/>
    <col min="12547" max="12547" width="9.85546875" style="141" customWidth="1"/>
    <col min="12548" max="12548" width="28.28515625" style="141" customWidth="1"/>
    <col min="12549" max="12551" width="0" style="141" hidden="1" customWidth="1"/>
    <col min="12552" max="12552" width="13.7109375" style="141" customWidth="1"/>
    <col min="12553" max="12553" width="11.42578125" style="141" customWidth="1"/>
    <col min="12554" max="12554" width="12.140625" style="141" customWidth="1"/>
    <col min="12555" max="12555" width="10.85546875" style="141" customWidth="1"/>
    <col min="12556" max="12556" width="8.140625" style="141" customWidth="1"/>
    <col min="12557" max="12557" width="11.42578125" style="141" customWidth="1"/>
    <col min="12558" max="12559" width="0" style="141" hidden="1" customWidth="1"/>
    <col min="12560" max="12560" width="10.7109375" style="141" customWidth="1"/>
    <col min="12561" max="12561" width="9.5703125" style="141" customWidth="1"/>
    <col min="12562" max="12562" width="13.85546875" style="141" customWidth="1"/>
    <col min="12563" max="12563" width="12.5703125" style="141" customWidth="1"/>
    <col min="12564" max="12564" width="10.5703125" style="141" customWidth="1"/>
    <col min="12565" max="12565" width="9.28515625" style="141" customWidth="1"/>
    <col min="12566" max="12566" width="5.7109375" style="141" customWidth="1"/>
    <col min="12567" max="12567" width="9.42578125" style="141" customWidth="1"/>
    <col min="12568" max="12568" width="8.7109375" style="141" customWidth="1"/>
    <col min="12569" max="12569" width="8.28515625" style="141" customWidth="1"/>
    <col min="12570" max="12570" width="7" style="141" customWidth="1"/>
    <col min="12571" max="12571" width="9" style="141" customWidth="1"/>
    <col min="12572" max="12572" width="8.85546875" style="141" customWidth="1"/>
    <col min="12573" max="12573" width="9.140625" style="141" customWidth="1"/>
    <col min="12574" max="12574" width="8.85546875" style="141" customWidth="1"/>
    <col min="12575" max="12575" width="8" style="141" customWidth="1"/>
    <col min="12576" max="12576" width="0" style="141" hidden="1" customWidth="1"/>
    <col min="12577" max="12577" width="11.5703125" style="141" customWidth="1"/>
    <col min="12578" max="12578" width="13.42578125" style="141" customWidth="1"/>
    <col min="12579" max="12579" width="10.28515625" style="141" customWidth="1"/>
    <col min="12580" max="12610" width="9.140625" style="141" customWidth="1"/>
    <col min="12611" max="12611" width="40.140625" style="141" customWidth="1"/>
    <col min="12612" max="12752" width="9.140625" style="141" customWidth="1"/>
    <col min="12753" max="12800" width="9.140625" style="141"/>
    <col min="12801" max="12801" width="3.5703125" style="141" customWidth="1"/>
    <col min="12802" max="12802" width="5" style="141" customWidth="1"/>
    <col min="12803" max="12803" width="9.85546875" style="141" customWidth="1"/>
    <col min="12804" max="12804" width="28.28515625" style="141" customWidth="1"/>
    <col min="12805" max="12807" width="0" style="141" hidden="1" customWidth="1"/>
    <col min="12808" max="12808" width="13.7109375" style="141" customWidth="1"/>
    <col min="12809" max="12809" width="11.42578125" style="141" customWidth="1"/>
    <col min="12810" max="12810" width="12.140625" style="141" customWidth="1"/>
    <col min="12811" max="12811" width="10.85546875" style="141" customWidth="1"/>
    <col min="12812" max="12812" width="8.140625" style="141" customWidth="1"/>
    <col min="12813" max="12813" width="11.42578125" style="141" customWidth="1"/>
    <col min="12814" max="12815" width="0" style="141" hidden="1" customWidth="1"/>
    <col min="12816" max="12816" width="10.7109375" style="141" customWidth="1"/>
    <col min="12817" max="12817" width="9.5703125" style="141" customWidth="1"/>
    <col min="12818" max="12818" width="13.85546875" style="141" customWidth="1"/>
    <col min="12819" max="12819" width="12.5703125" style="141" customWidth="1"/>
    <col min="12820" max="12820" width="10.5703125" style="141" customWidth="1"/>
    <col min="12821" max="12821" width="9.28515625" style="141" customWidth="1"/>
    <col min="12822" max="12822" width="5.7109375" style="141" customWidth="1"/>
    <col min="12823" max="12823" width="9.42578125" style="141" customWidth="1"/>
    <col min="12824" max="12824" width="8.7109375" style="141" customWidth="1"/>
    <col min="12825" max="12825" width="8.28515625" style="141" customWidth="1"/>
    <col min="12826" max="12826" width="7" style="141" customWidth="1"/>
    <col min="12827" max="12827" width="9" style="141" customWidth="1"/>
    <col min="12828" max="12828" width="8.85546875" style="141" customWidth="1"/>
    <col min="12829" max="12829" width="9.140625" style="141" customWidth="1"/>
    <col min="12830" max="12830" width="8.85546875" style="141" customWidth="1"/>
    <col min="12831" max="12831" width="8" style="141" customWidth="1"/>
    <col min="12832" max="12832" width="0" style="141" hidden="1" customWidth="1"/>
    <col min="12833" max="12833" width="11.5703125" style="141" customWidth="1"/>
    <col min="12834" max="12834" width="13.42578125" style="141" customWidth="1"/>
    <col min="12835" max="12835" width="10.28515625" style="141" customWidth="1"/>
    <col min="12836" max="12866" width="9.140625" style="141" customWidth="1"/>
    <col min="12867" max="12867" width="40.140625" style="141" customWidth="1"/>
    <col min="12868" max="13008" width="9.140625" style="141" customWidth="1"/>
    <col min="13009" max="13056" width="9.140625" style="141"/>
    <col min="13057" max="13057" width="3.5703125" style="141" customWidth="1"/>
    <col min="13058" max="13058" width="5" style="141" customWidth="1"/>
    <col min="13059" max="13059" width="9.85546875" style="141" customWidth="1"/>
    <col min="13060" max="13060" width="28.28515625" style="141" customWidth="1"/>
    <col min="13061" max="13063" width="0" style="141" hidden="1" customWidth="1"/>
    <col min="13064" max="13064" width="13.7109375" style="141" customWidth="1"/>
    <col min="13065" max="13065" width="11.42578125" style="141" customWidth="1"/>
    <col min="13066" max="13066" width="12.140625" style="141" customWidth="1"/>
    <col min="13067" max="13067" width="10.85546875" style="141" customWidth="1"/>
    <col min="13068" max="13068" width="8.140625" style="141" customWidth="1"/>
    <col min="13069" max="13069" width="11.42578125" style="141" customWidth="1"/>
    <col min="13070" max="13071" width="0" style="141" hidden="1" customWidth="1"/>
    <col min="13072" max="13072" width="10.7109375" style="141" customWidth="1"/>
    <col min="13073" max="13073" width="9.5703125" style="141" customWidth="1"/>
    <col min="13074" max="13074" width="13.85546875" style="141" customWidth="1"/>
    <col min="13075" max="13075" width="12.5703125" style="141" customWidth="1"/>
    <col min="13076" max="13076" width="10.5703125" style="141" customWidth="1"/>
    <col min="13077" max="13077" width="9.28515625" style="141" customWidth="1"/>
    <col min="13078" max="13078" width="5.7109375" style="141" customWidth="1"/>
    <col min="13079" max="13079" width="9.42578125" style="141" customWidth="1"/>
    <col min="13080" max="13080" width="8.7109375" style="141" customWidth="1"/>
    <col min="13081" max="13081" width="8.28515625" style="141" customWidth="1"/>
    <col min="13082" max="13082" width="7" style="141" customWidth="1"/>
    <col min="13083" max="13083" width="9" style="141" customWidth="1"/>
    <col min="13084" max="13084" width="8.85546875" style="141" customWidth="1"/>
    <col min="13085" max="13085" width="9.140625" style="141" customWidth="1"/>
    <col min="13086" max="13086" width="8.85546875" style="141" customWidth="1"/>
    <col min="13087" max="13087" width="8" style="141" customWidth="1"/>
    <col min="13088" max="13088" width="0" style="141" hidden="1" customWidth="1"/>
    <col min="13089" max="13089" width="11.5703125" style="141" customWidth="1"/>
    <col min="13090" max="13090" width="13.42578125" style="141" customWidth="1"/>
    <col min="13091" max="13091" width="10.28515625" style="141" customWidth="1"/>
    <col min="13092" max="13122" width="9.140625" style="141" customWidth="1"/>
    <col min="13123" max="13123" width="40.140625" style="141" customWidth="1"/>
    <col min="13124" max="13264" width="9.140625" style="141" customWidth="1"/>
    <col min="13265" max="13312" width="9.140625" style="141"/>
    <col min="13313" max="13313" width="3.5703125" style="141" customWidth="1"/>
    <col min="13314" max="13314" width="5" style="141" customWidth="1"/>
    <col min="13315" max="13315" width="9.85546875" style="141" customWidth="1"/>
    <col min="13316" max="13316" width="28.28515625" style="141" customWidth="1"/>
    <col min="13317" max="13319" width="0" style="141" hidden="1" customWidth="1"/>
    <col min="13320" max="13320" width="13.7109375" style="141" customWidth="1"/>
    <col min="13321" max="13321" width="11.42578125" style="141" customWidth="1"/>
    <col min="13322" max="13322" width="12.140625" style="141" customWidth="1"/>
    <col min="13323" max="13323" width="10.85546875" style="141" customWidth="1"/>
    <col min="13324" max="13324" width="8.140625" style="141" customWidth="1"/>
    <col min="13325" max="13325" width="11.42578125" style="141" customWidth="1"/>
    <col min="13326" max="13327" width="0" style="141" hidden="1" customWidth="1"/>
    <col min="13328" max="13328" width="10.7109375" style="141" customWidth="1"/>
    <col min="13329" max="13329" width="9.5703125" style="141" customWidth="1"/>
    <col min="13330" max="13330" width="13.85546875" style="141" customWidth="1"/>
    <col min="13331" max="13331" width="12.5703125" style="141" customWidth="1"/>
    <col min="13332" max="13332" width="10.5703125" style="141" customWidth="1"/>
    <col min="13333" max="13333" width="9.28515625" style="141" customWidth="1"/>
    <col min="13334" max="13334" width="5.7109375" style="141" customWidth="1"/>
    <col min="13335" max="13335" width="9.42578125" style="141" customWidth="1"/>
    <col min="13336" max="13336" width="8.7109375" style="141" customWidth="1"/>
    <col min="13337" max="13337" width="8.28515625" style="141" customWidth="1"/>
    <col min="13338" max="13338" width="7" style="141" customWidth="1"/>
    <col min="13339" max="13339" width="9" style="141" customWidth="1"/>
    <col min="13340" max="13340" width="8.85546875" style="141" customWidth="1"/>
    <col min="13341" max="13341" width="9.140625" style="141" customWidth="1"/>
    <col min="13342" max="13342" width="8.85546875" style="141" customWidth="1"/>
    <col min="13343" max="13343" width="8" style="141" customWidth="1"/>
    <col min="13344" max="13344" width="0" style="141" hidden="1" customWidth="1"/>
    <col min="13345" max="13345" width="11.5703125" style="141" customWidth="1"/>
    <col min="13346" max="13346" width="13.42578125" style="141" customWidth="1"/>
    <col min="13347" max="13347" width="10.28515625" style="141" customWidth="1"/>
    <col min="13348" max="13378" width="9.140625" style="141" customWidth="1"/>
    <col min="13379" max="13379" width="40.140625" style="141" customWidth="1"/>
    <col min="13380" max="13520" width="9.140625" style="141" customWidth="1"/>
    <col min="13521" max="13568" width="9.140625" style="141"/>
    <col min="13569" max="13569" width="3.5703125" style="141" customWidth="1"/>
    <col min="13570" max="13570" width="5" style="141" customWidth="1"/>
    <col min="13571" max="13571" width="9.85546875" style="141" customWidth="1"/>
    <col min="13572" max="13572" width="28.28515625" style="141" customWidth="1"/>
    <col min="13573" max="13575" width="0" style="141" hidden="1" customWidth="1"/>
    <col min="13576" max="13576" width="13.7109375" style="141" customWidth="1"/>
    <col min="13577" max="13577" width="11.42578125" style="141" customWidth="1"/>
    <col min="13578" max="13578" width="12.140625" style="141" customWidth="1"/>
    <col min="13579" max="13579" width="10.85546875" style="141" customWidth="1"/>
    <col min="13580" max="13580" width="8.140625" style="141" customWidth="1"/>
    <col min="13581" max="13581" width="11.42578125" style="141" customWidth="1"/>
    <col min="13582" max="13583" width="0" style="141" hidden="1" customWidth="1"/>
    <col min="13584" max="13584" width="10.7109375" style="141" customWidth="1"/>
    <col min="13585" max="13585" width="9.5703125" style="141" customWidth="1"/>
    <col min="13586" max="13586" width="13.85546875" style="141" customWidth="1"/>
    <col min="13587" max="13587" width="12.5703125" style="141" customWidth="1"/>
    <col min="13588" max="13588" width="10.5703125" style="141" customWidth="1"/>
    <col min="13589" max="13589" width="9.28515625" style="141" customWidth="1"/>
    <col min="13590" max="13590" width="5.7109375" style="141" customWidth="1"/>
    <col min="13591" max="13591" width="9.42578125" style="141" customWidth="1"/>
    <col min="13592" max="13592" width="8.7109375" style="141" customWidth="1"/>
    <col min="13593" max="13593" width="8.28515625" style="141" customWidth="1"/>
    <col min="13594" max="13594" width="7" style="141" customWidth="1"/>
    <col min="13595" max="13595" width="9" style="141" customWidth="1"/>
    <col min="13596" max="13596" width="8.85546875" style="141" customWidth="1"/>
    <col min="13597" max="13597" width="9.140625" style="141" customWidth="1"/>
    <col min="13598" max="13598" width="8.85546875" style="141" customWidth="1"/>
    <col min="13599" max="13599" width="8" style="141" customWidth="1"/>
    <col min="13600" max="13600" width="0" style="141" hidden="1" customWidth="1"/>
    <col min="13601" max="13601" width="11.5703125" style="141" customWidth="1"/>
    <col min="13602" max="13602" width="13.42578125" style="141" customWidth="1"/>
    <col min="13603" max="13603" width="10.28515625" style="141" customWidth="1"/>
    <col min="13604" max="13634" width="9.140625" style="141" customWidth="1"/>
    <col min="13635" max="13635" width="40.140625" style="141" customWidth="1"/>
    <col min="13636" max="13776" width="9.140625" style="141" customWidth="1"/>
    <col min="13777" max="13824" width="9.140625" style="141"/>
    <col min="13825" max="13825" width="3.5703125" style="141" customWidth="1"/>
    <col min="13826" max="13826" width="5" style="141" customWidth="1"/>
    <col min="13827" max="13827" width="9.85546875" style="141" customWidth="1"/>
    <col min="13828" max="13828" width="28.28515625" style="141" customWidth="1"/>
    <col min="13829" max="13831" width="0" style="141" hidden="1" customWidth="1"/>
    <col min="13832" max="13832" width="13.7109375" style="141" customWidth="1"/>
    <col min="13833" max="13833" width="11.42578125" style="141" customWidth="1"/>
    <col min="13834" max="13834" width="12.140625" style="141" customWidth="1"/>
    <col min="13835" max="13835" width="10.85546875" style="141" customWidth="1"/>
    <col min="13836" max="13836" width="8.140625" style="141" customWidth="1"/>
    <col min="13837" max="13837" width="11.42578125" style="141" customWidth="1"/>
    <col min="13838" max="13839" width="0" style="141" hidden="1" customWidth="1"/>
    <col min="13840" max="13840" width="10.7109375" style="141" customWidth="1"/>
    <col min="13841" max="13841" width="9.5703125" style="141" customWidth="1"/>
    <col min="13842" max="13842" width="13.85546875" style="141" customWidth="1"/>
    <col min="13843" max="13843" width="12.5703125" style="141" customWidth="1"/>
    <col min="13844" max="13844" width="10.5703125" style="141" customWidth="1"/>
    <col min="13845" max="13845" width="9.28515625" style="141" customWidth="1"/>
    <col min="13846" max="13846" width="5.7109375" style="141" customWidth="1"/>
    <col min="13847" max="13847" width="9.42578125" style="141" customWidth="1"/>
    <col min="13848" max="13848" width="8.7109375" style="141" customWidth="1"/>
    <col min="13849" max="13849" width="8.28515625" style="141" customWidth="1"/>
    <col min="13850" max="13850" width="7" style="141" customWidth="1"/>
    <col min="13851" max="13851" width="9" style="141" customWidth="1"/>
    <col min="13852" max="13852" width="8.85546875" style="141" customWidth="1"/>
    <col min="13853" max="13853" width="9.140625" style="141" customWidth="1"/>
    <col min="13854" max="13854" width="8.85546875" style="141" customWidth="1"/>
    <col min="13855" max="13855" width="8" style="141" customWidth="1"/>
    <col min="13856" max="13856" width="0" style="141" hidden="1" customWidth="1"/>
    <col min="13857" max="13857" width="11.5703125" style="141" customWidth="1"/>
    <col min="13858" max="13858" width="13.42578125" style="141" customWidth="1"/>
    <col min="13859" max="13859" width="10.28515625" style="141" customWidth="1"/>
    <col min="13860" max="13890" width="9.140625" style="141" customWidth="1"/>
    <col min="13891" max="13891" width="40.140625" style="141" customWidth="1"/>
    <col min="13892" max="14032" width="9.140625" style="141" customWidth="1"/>
    <col min="14033" max="14080" width="9.140625" style="141"/>
    <col min="14081" max="14081" width="3.5703125" style="141" customWidth="1"/>
    <col min="14082" max="14082" width="5" style="141" customWidth="1"/>
    <col min="14083" max="14083" width="9.85546875" style="141" customWidth="1"/>
    <col min="14084" max="14084" width="28.28515625" style="141" customWidth="1"/>
    <col min="14085" max="14087" width="0" style="141" hidden="1" customWidth="1"/>
    <col min="14088" max="14088" width="13.7109375" style="141" customWidth="1"/>
    <col min="14089" max="14089" width="11.42578125" style="141" customWidth="1"/>
    <col min="14090" max="14090" width="12.140625" style="141" customWidth="1"/>
    <col min="14091" max="14091" width="10.85546875" style="141" customWidth="1"/>
    <col min="14092" max="14092" width="8.140625" style="141" customWidth="1"/>
    <col min="14093" max="14093" width="11.42578125" style="141" customWidth="1"/>
    <col min="14094" max="14095" width="0" style="141" hidden="1" customWidth="1"/>
    <col min="14096" max="14096" width="10.7109375" style="141" customWidth="1"/>
    <col min="14097" max="14097" width="9.5703125" style="141" customWidth="1"/>
    <col min="14098" max="14098" width="13.85546875" style="141" customWidth="1"/>
    <col min="14099" max="14099" width="12.5703125" style="141" customWidth="1"/>
    <col min="14100" max="14100" width="10.5703125" style="141" customWidth="1"/>
    <col min="14101" max="14101" width="9.28515625" style="141" customWidth="1"/>
    <col min="14102" max="14102" width="5.7109375" style="141" customWidth="1"/>
    <col min="14103" max="14103" width="9.42578125" style="141" customWidth="1"/>
    <col min="14104" max="14104" width="8.7109375" style="141" customWidth="1"/>
    <col min="14105" max="14105" width="8.28515625" style="141" customWidth="1"/>
    <col min="14106" max="14106" width="7" style="141" customWidth="1"/>
    <col min="14107" max="14107" width="9" style="141" customWidth="1"/>
    <col min="14108" max="14108" width="8.85546875" style="141" customWidth="1"/>
    <col min="14109" max="14109" width="9.140625" style="141" customWidth="1"/>
    <col min="14110" max="14110" width="8.85546875" style="141" customWidth="1"/>
    <col min="14111" max="14111" width="8" style="141" customWidth="1"/>
    <col min="14112" max="14112" width="0" style="141" hidden="1" customWidth="1"/>
    <col min="14113" max="14113" width="11.5703125" style="141" customWidth="1"/>
    <col min="14114" max="14114" width="13.42578125" style="141" customWidth="1"/>
    <col min="14115" max="14115" width="10.28515625" style="141" customWidth="1"/>
    <col min="14116" max="14146" width="9.140625" style="141" customWidth="1"/>
    <col min="14147" max="14147" width="40.140625" style="141" customWidth="1"/>
    <col min="14148" max="14288" width="9.140625" style="141" customWidth="1"/>
    <col min="14289" max="14336" width="9.140625" style="141"/>
    <col min="14337" max="14337" width="3.5703125" style="141" customWidth="1"/>
    <col min="14338" max="14338" width="5" style="141" customWidth="1"/>
    <col min="14339" max="14339" width="9.85546875" style="141" customWidth="1"/>
    <col min="14340" max="14340" width="28.28515625" style="141" customWidth="1"/>
    <col min="14341" max="14343" width="0" style="141" hidden="1" customWidth="1"/>
    <col min="14344" max="14344" width="13.7109375" style="141" customWidth="1"/>
    <col min="14345" max="14345" width="11.42578125" style="141" customWidth="1"/>
    <col min="14346" max="14346" width="12.140625" style="141" customWidth="1"/>
    <col min="14347" max="14347" width="10.85546875" style="141" customWidth="1"/>
    <col min="14348" max="14348" width="8.140625" style="141" customWidth="1"/>
    <col min="14349" max="14349" width="11.42578125" style="141" customWidth="1"/>
    <col min="14350" max="14351" width="0" style="141" hidden="1" customWidth="1"/>
    <col min="14352" max="14352" width="10.7109375" style="141" customWidth="1"/>
    <col min="14353" max="14353" width="9.5703125" style="141" customWidth="1"/>
    <col min="14354" max="14354" width="13.85546875" style="141" customWidth="1"/>
    <col min="14355" max="14355" width="12.5703125" style="141" customWidth="1"/>
    <col min="14356" max="14356" width="10.5703125" style="141" customWidth="1"/>
    <col min="14357" max="14357" width="9.28515625" style="141" customWidth="1"/>
    <col min="14358" max="14358" width="5.7109375" style="141" customWidth="1"/>
    <col min="14359" max="14359" width="9.42578125" style="141" customWidth="1"/>
    <col min="14360" max="14360" width="8.7109375" style="141" customWidth="1"/>
    <col min="14361" max="14361" width="8.28515625" style="141" customWidth="1"/>
    <col min="14362" max="14362" width="7" style="141" customWidth="1"/>
    <col min="14363" max="14363" width="9" style="141" customWidth="1"/>
    <col min="14364" max="14364" width="8.85546875" style="141" customWidth="1"/>
    <col min="14365" max="14365" width="9.140625" style="141" customWidth="1"/>
    <col min="14366" max="14366" width="8.85546875" style="141" customWidth="1"/>
    <col min="14367" max="14367" width="8" style="141" customWidth="1"/>
    <col min="14368" max="14368" width="0" style="141" hidden="1" customWidth="1"/>
    <col min="14369" max="14369" width="11.5703125" style="141" customWidth="1"/>
    <col min="14370" max="14370" width="13.42578125" style="141" customWidth="1"/>
    <col min="14371" max="14371" width="10.28515625" style="141" customWidth="1"/>
    <col min="14372" max="14402" width="9.140625" style="141" customWidth="1"/>
    <col min="14403" max="14403" width="40.140625" style="141" customWidth="1"/>
    <col min="14404" max="14544" width="9.140625" style="141" customWidth="1"/>
    <col min="14545" max="14592" width="9.140625" style="141"/>
    <col min="14593" max="14593" width="3.5703125" style="141" customWidth="1"/>
    <col min="14594" max="14594" width="5" style="141" customWidth="1"/>
    <col min="14595" max="14595" width="9.85546875" style="141" customWidth="1"/>
    <col min="14596" max="14596" width="28.28515625" style="141" customWidth="1"/>
    <col min="14597" max="14599" width="0" style="141" hidden="1" customWidth="1"/>
    <col min="14600" max="14600" width="13.7109375" style="141" customWidth="1"/>
    <col min="14601" max="14601" width="11.42578125" style="141" customWidth="1"/>
    <col min="14602" max="14602" width="12.140625" style="141" customWidth="1"/>
    <col min="14603" max="14603" width="10.85546875" style="141" customWidth="1"/>
    <col min="14604" max="14604" width="8.140625" style="141" customWidth="1"/>
    <col min="14605" max="14605" width="11.42578125" style="141" customWidth="1"/>
    <col min="14606" max="14607" width="0" style="141" hidden="1" customWidth="1"/>
    <col min="14608" max="14608" width="10.7109375" style="141" customWidth="1"/>
    <col min="14609" max="14609" width="9.5703125" style="141" customWidth="1"/>
    <col min="14610" max="14610" width="13.85546875" style="141" customWidth="1"/>
    <col min="14611" max="14611" width="12.5703125" style="141" customWidth="1"/>
    <col min="14612" max="14612" width="10.5703125" style="141" customWidth="1"/>
    <col min="14613" max="14613" width="9.28515625" style="141" customWidth="1"/>
    <col min="14614" max="14614" width="5.7109375" style="141" customWidth="1"/>
    <col min="14615" max="14615" width="9.42578125" style="141" customWidth="1"/>
    <col min="14616" max="14616" width="8.7109375" style="141" customWidth="1"/>
    <col min="14617" max="14617" width="8.28515625" style="141" customWidth="1"/>
    <col min="14618" max="14618" width="7" style="141" customWidth="1"/>
    <col min="14619" max="14619" width="9" style="141" customWidth="1"/>
    <col min="14620" max="14620" width="8.85546875" style="141" customWidth="1"/>
    <col min="14621" max="14621" width="9.140625" style="141" customWidth="1"/>
    <col min="14622" max="14622" width="8.85546875" style="141" customWidth="1"/>
    <col min="14623" max="14623" width="8" style="141" customWidth="1"/>
    <col min="14624" max="14624" width="0" style="141" hidden="1" customWidth="1"/>
    <col min="14625" max="14625" width="11.5703125" style="141" customWidth="1"/>
    <col min="14626" max="14626" width="13.42578125" style="141" customWidth="1"/>
    <col min="14627" max="14627" width="10.28515625" style="141" customWidth="1"/>
    <col min="14628" max="14658" width="9.140625" style="141" customWidth="1"/>
    <col min="14659" max="14659" width="40.140625" style="141" customWidth="1"/>
    <col min="14660" max="14800" width="9.140625" style="141" customWidth="1"/>
    <col min="14801" max="14848" width="9.140625" style="141"/>
    <col min="14849" max="14849" width="3.5703125" style="141" customWidth="1"/>
    <col min="14850" max="14850" width="5" style="141" customWidth="1"/>
    <col min="14851" max="14851" width="9.85546875" style="141" customWidth="1"/>
    <col min="14852" max="14852" width="28.28515625" style="141" customWidth="1"/>
    <col min="14853" max="14855" width="0" style="141" hidden="1" customWidth="1"/>
    <col min="14856" max="14856" width="13.7109375" style="141" customWidth="1"/>
    <col min="14857" max="14857" width="11.42578125" style="141" customWidth="1"/>
    <col min="14858" max="14858" width="12.140625" style="141" customWidth="1"/>
    <col min="14859" max="14859" width="10.85546875" style="141" customWidth="1"/>
    <col min="14860" max="14860" width="8.140625" style="141" customWidth="1"/>
    <col min="14861" max="14861" width="11.42578125" style="141" customWidth="1"/>
    <col min="14862" max="14863" width="0" style="141" hidden="1" customWidth="1"/>
    <col min="14864" max="14864" width="10.7109375" style="141" customWidth="1"/>
    <col min="14865" max="14865" width="9.5703125" style="141" customWidth="1"/>
    <col min="14866" max="14866" width="13.85546875" style="141" customWidth="1"/>
    <col min="14867" max="14867" width="12.5703125" style="141" customWidth="1"/>
    <col min="14868" max="14868" width="10.5703125" style="141" customWidth="1"/>
    <col min="14869" max="14869" width="9.28515625" style="141" customWidth="1"/>
    <col min="14870" max="14870" width="5.7109375" style="141" customWidth="1"/>
    <col min="14871" max="14871" width="9.42578125" style="141" customWidth="1"/>
    <col min="14872" max="14872" width="8.7109375" style="141" customWidth="1"/>
    <col min="14873" max="14873" width="8.28515625" style="141" customWidth="1"/>
    <col min="14874" max="14874" width="7" style="141" customWidth="1"/>
    <col min="14875" max="14875" width="9" style="141" customWidth="1"/>
    <col min="14876" max="14876" width="8.85546875" style="141" customWidth="1"/>
    <col min="14877" max="14877" width="9.140625" style="141" customWidth="1"/>
    <col min="14878" max="14878" width="8.85546875" style="141" customWidth="1"/>
    <col min="14879" max="14879" width="8" style="141" customWidth="1"/>
    <col min="14880" max="14880" width="0" style="141" hidden="1" customWidth="1"/>
    <col min="14881" max="14881" width="11.5703125" style="141" customWidth="1"/>
    <col min="14882" max="14882" width="13.42578125" style="141" customWidth="1"/>
    <col min="14883" max="14883" width="10.28515625" style="141" customWidth="1"/>
    <col min="14884" max="14914" width="9.140625" style="141" customWidth="1"/>
    <col min="14915" max="14915" width="40.140625" style="141" customWidth="1"/>
    <col min="14916" max="15056" width="9.140625" style="141" customWidth="1"/>
    <col min="15057" max="15104" width="9.140625" style="141"/>
    <col min="15105" max="15105" width="3.5703125" style="141" customWidth="1"/>
    <col min="15106" max="15106" width="5" style="141" customWidth="1"/>
    <col min="15107" max="15107" width="9.85546875" style="141" customWidth="1"/>
    <col min="15108" max="15108" width="28.28515625" style="141" customWidth="1"/>
    <col min="15109" max="15111" width="0" style="141" hidden="1" customWidth="1"/>
    <col min="15112" max="15112" width="13.7109375" style="141" customWidth="1"/>
    <col min="15113" max="15113" width="11.42578125" style="141" customWidth="1"/>
    <col min="15114" max="15114" width="12.140625" style="141" customWidth="1"/>
    <col min="15115" max="15115" width="10.85546875" style="141" customWidth="1"/>
    <col min="15116" max="15116" width="8.140625" style="141" customWidth="1"/>
    <col min="15117" max="15117" width="11.42578125" style="141" customWidth="1"/>
    <col min="15118" max="15119" width="0" style="141" hidden="1" customWidth="1"/>
    <col min="15120" max="15120" width="10.7109375" style="141" customWidth="1"/>
    <col min="15121" max="15121" width="9.5703125" style="141" customWidth="1"/>
    <col min="15122" max="15122" width="13.85546875" style="141" customWidth="1"/>
    <col min="15123" max="15123" width="12.5703125" style="141" customWidth="1"/>
    <col min="15124" max="15124" width="10.5703125" style="141" customWidth="1"/>
    <col min="15125" max="15125" width="9.28515625" style="141" customWidth="1"/>
    <col min="15126" max="15126" width="5.7109375" style="141" customWidth="1"/>
    <col min="15127" max="15127" width="9.42578125" style="141" customWidth="1"/>
    <col min="15128" max="15128" width="8.7109375" style="141" customWidth="1"/>
    <col min="15129" max="15129" width="8.28515625" style="141" customWidth="1"/>
    <col min="15130" max="15130" width="7" style="141" customWidth="1"/>
    <col min="15131" max="15131" width="9" style="141" customWidth="1"/>
    <col min="15132" max="15132" width="8.85546875" style="141" customWidth="1"/>
    <col min="15133" max="15133" width="9.140625" style="141" customWidth="1"/>
    <col min="15134" max="15134" width="8.85546875" style="141" customWidth="1"/>
    <col min="15135" max="15135" width="8" style="141" customWidth="1"/>
    <col min="15136" max="15136" width="0" style="141" hidden="1" customWidth="1"/>
    <col min="15137" max="15137" width="11.5703125" style="141" customWidth="1"/>
    <col min="15138" max="15138" width="13.42578125" style="141" customWidth="1"/>
    <col min="15139" max="15139" width="10.28515625" style="141" customWidth="1"/>
    <col min="15140" max="15170" width="9.140625" style="141" customWidth="1"/>
    <col min="15171" max="15171" width="40.140625" style="141" customWidth="1"/>
    <col min="15172" max="15312" width="9.140625" style="141" customWidth="1"/>
    <col min="15313" max="15360" width="9.140625" style="141"/>
    <col min="15361" max="15361" width="3.5703125" style="141" customWidth="1"/>
    <col min="15362" max="15362" width="5" style="141" customWidth="1"/>
    <col min="15363" max="15363" width="9.85546875" style="141" customWidth="1"/>
    <col min="15364" max="15364" width="28.28515625" style="141" customWidth="1"/>
    <col min="15365" max="15367" width="0" style="141" hidden="1" customWidth="1"/>
    <col min="15368" max="15368" width="13.7109375" style="141" customWidth="1"/>
    <col min="15369" max="15369" width="11.42578125" style="141" customWidth="1"/>
    <col min="15370" max="15370" width="12.140625" style="141" customWidth="1"/>
    <col min="15371" max="15371" width="10.85546875" style="141" customWidth="1"/>
    <col min="15372" max="15372" width="8.140625" style="141" customWidth="1"/>
    <col min="15373" max="15373" width="11.42578125" style="141" customWidth="1"/>
    <col min="15374" max="15375" width="0" style="141" hidden="1" customWidth="1"/>
    <col min="15376" max="15376" width="10.7109375" style="141" customWidth="1"/>
    <col min="15377" max="15377" width="9.5703125" style="141" customWidth="1"/>
    <col min="15378" max="15378" width="13.85546875" style="141" customWidth="1"/>
    <col min="15379" max="15379" width="12.5703125" style="141" customWidth="1"/>
    <col min="15380" max="15380" width="10.5703125" style="141" customWidth="1"/>
    <col min="15381" max="15381" width="9.28515625" style="141" customWidth="1"/>
    <col min="15382" max="15382" width="5.7109375" style="141" customWidth="1"/>
    <col min="15383" max="15383" width="9.42578125" style="141" customWidth="1"/>
    <col min="15384" max="15384" width="8.7109375" style="141" customWidth="1"/>
    <col min="15385" max="15385" width="8.28515625" style="141" customWidth="1"/>
    <col min="15386" max="15386" width="7" style="141" customWidth="1"/>
    <col min="15387" max="15387" width="9" style="141" customWidth="1"/>
    <col min="15388" max="15388" width="8.85546875" style="141" customWidth="1"/>
    <col min="15389" max="15389" width="9.140625" style="141" customWidth="1"/>
    <col min="15390" max="15390" width="8.85546875" style="141" customWidth="1"/>
    <col min="15391" max="15391" width="8" style="141" customWidth="1"/>
    <col min="15392" max="15392" width="0" style="141" hidden="1" customWidth="1"/>
    <col min="15393" max="15393" width="11.5703125" style="141" customWidth="1"/>
    <col min="15394" max="15394" width="13.42578125" style="141" customWidth="1"/>
    <col min="15395" max="15395" width="10.28515625" style="141" customWidth="1"/>
    <col min="15396" max="15426" width="9.140625" style="141" customWidth="1"/>
    <col min="15427" max="15427" width="40.140625" style="141" customWidth="1"/>
    <col min="15428" max="15568" width="9.140625" style="141" customWidth="1"/>
    <col min="15569" max="15616" width="9.140625" style="141"/>
    <col min="15617" max="15617" width="3.5703125" style="141" customWidth="1"/>
    <col min="15618" max="15618" width="5" style="141" customWidth="1"/>
    <col min="15619" max="15619" width="9.85546875" style="141" customWidth="1"/>
    <col min="15620" max="15620" width="28.28515625" style="141" customWidth="1"/>
    <col min="15621" max="15623" width="0" style="141" hidden="1" customWidth="1"/>
    <col min="15624" max="15624" width="13.7109375" style="141" customWidth="1"/>
    <col min="15625" max="15625" width="11.42578125" style="141" customWidth="1"/>
    <col min="15626" max="15626" width="12.140625" style="141" customWidth="1"/>
    <col min="15627" max="15627" width="10.85546875" style="141" customWidth="1"/>
    <col min="15628" max="15628" width="8.140625" style="141" customWidth="1"/>
    <col min="15629" max="15629" width="11.42578125" style="141" customWidth="1"/>
    <col min="15630" max="15631" width="0" style="141" hidden="1" customWidth="1"/>
    <col min="15632" max="15632" width="10.7109375" style="141" customWidth="1"/>
    <col min="15633" max="15633" width="9.5703125" style="141" customWidth="1"/>
    <col min="15634" max="15634" width="13.85546875" style="141" customWidth="1"/>
    <col min="15635" max="15635" width="12.5703125" style="141" customWidth="1"/>
    <col min="15636" max="15636" width="10.5703125" style="141" customWidth="1"/>
    <col min="15637" max="15637" width="9.28515625" style="141" customWidth="1"/>
    <col min="15638" max="15638" width="5.7109375" style="141" customWidth="1"/>
    <col min="15639" max="15639" width="9.42578125" style="141" customWidth="1"/>
    <col min="15640" max="15640" width="8.7109375" style="141" customWidth="1"/>
    <col min="15641" max="15641" width="8.28515625" style="141" customWidth="1"/>
    <col min="15642" max="15642" width="7" style="141" customWidth="1"/>
    <col min="15643" max="15643" width="9" style="141" customWidth="1"/>
    <col min="15644" max="15644" width="8.85546875" style="141" customWidth="1"/>
    <col min="15645" max="15645" width="9.140625" style="141" customWidth="1"/>
    <col min="15646" max="15646" width="8.85546875" style="141" customWidth="1"/>
    <col min="15647" max="15647" width="8" style="141" customWidth="1"/>
    <col min="15648" max="15648" width="0" style="141" hidden="1" customWidth="1"/>
    <col min="15649" max="15649" width="11.5703125" style="141" customWidth="1"/>
    <col min="15650" max="15650" width="13.42578125" style="141" customWidth="1"/>
    <col min="15651" max="15651" width="10.28515625" style="141" customWidth="1"/>
    <col min="15652" max="15682" width="9.140625" style="141" customWidth="1"/>
    <col min="15683" max="15683" width="40.140625" style="141" customWidth="1"/>
    <col min="15684" max="15824" width="9.140625" style="141" customWidth="1"/>
    <col min="15825" max="15872" width="9.140625" style="141"/>
    <col min="15873" max="15873" width="3.5703125" style="141" customWidth="1"/>
    <col min="15874" max="15874" width="5" style="141" customWidth="1"/>
    <col min="15875" max="15875" width="9.85546875" style="141" customWidth="1"/>
    <col min="15876" max="15876" width="28.28515625" style="141" customWidth="1"/>
    <col min="15877" max="15879" width="0" style="141" hidden="1" customWidth="1"/>
    <col min="15880" max="15880" width="13.7109375" style="141" customWidth="1"/>
    <col min="15881" max="15881" width="11.42578125" style="141" customWidth="1"/>
    <col min="15882" max="15882" width="12.140625" style="141" customWidth="1"/>
    <col min="15883" max="15883" width="10.85546875" style="141" customWidth="1"/>
    <col min="15884" max="15884" width="8.140625" style="141" customWidth="1"/>
    <col min="15885" max="15885" width="11.42578125" style="141" customWidth="1"/>
    <col min="15886" max="15887" width="0" style="141" hidden="1" customWidth="1"/>
    <col min="15888" max="15888" width="10.7109375" style="141" customWidth="1"/>
    <col min="15889" max="15889" width="9.5703125" style="141" customWidth="1"/>
    <col min="15890" max="15890" width="13.85546875" style="141" customWidth="1"/>
    <col min="15891" max="15891" width="12.5703125" style="141" customWidth="1"/>
    <col min="15892" max="15892" width="10.5703125" style="141" customWidth="1"/>
    <col min="15893" max="15893" width="9.28515625" style="141" customWidth="1"/>
    <col min="15894" max="15894" width="5.7109375" style="141" customWidth="1"/>
    <col min="15895" max="15895" width="9.42578125" style="141" customWidth="1"/>
    <col min="15896" max="15896" width="8.7109375" style="141" customWidth="1"/>
    <col min="15897" max="15897" width="8.28515625" style="141" customWidth="1"/>
    <col min="15898" max="15898" width="7" style="141" customWidth="1"/>
    <col min="15899" max="15899" width="9" style="141" customWidth="1"/>
    <col min="15900" max="15900" width="8.85546875" style="141" customWidth="1"/>
    <col min="15901" max="15901" width="9.140625" style="141" customWidth="1"/>
    <col min="15902" max="15902" width="8.85546875" style="141" customWidth="1"/>
    <col min="15903" max="15903" width="8" style="141" customWidth="1"/>
    <col min="15904" max="15904" width="0" style="141" hidden="1" customWidth="1"/>
    <col min="15905" max="15905" width="11.5703125" style="141" customWidth="1"/>
    <col min="15906" max="15906" width="13.42578125" style="141" customWidth="1"/>
    <col min="15907" max="15907" width="10.28515625" style="141" customWidth="1"/>
    <col min="15908" max="15938" width="9.140625" style="141" customWidth="1"/>
    <col min="15939" max="15939" width="40.140625" style="141" customWidth="1"/>
    <col min="15940" max="16080" width="9.140625" style="141" customWidth="1"/>
    <col min="16081" max="16128" width="9.140625" style="141"/>
    <col min="16129" max="16129" width="3.5703125" style="141" customWidth="1"/>
    <col min="16130" max="16130" width="5" style="141" customWidth="1"/>
    <col min="16131" max="16131" width="9.85546875" style="141" customWidth="1"/>
    <col min="16132" max="16132" width="28.28515625" style="141" customWidth="1"/>
    <col min="16133" max="16135" width="0" style="141" hidden="1" customWidth="1"/>
    <col min="16136" max="16136" width="13.7109375" style="141" customWidth="1"/>
    <col min="16137" max="16137" width="11.42578125" style="141" customWidth="1"/>
    <col min="16138" max="16138" width="12.140625" style="141" customWidth="1"/>
    <col min="16139" max="16139" width="10.85546875" style="141" customWidth="1"/>
    <col min="16140" max="16140" width="8.140625" style="141" customWidth="1"/>
    <col min="16141" max="16141" width="11.42578125" style="141" customWidth="1"/>
    <col min="16142" max="16143" width="0" style="141" hidden="1" customWidth="1"/>
    <col min="16144" max="16144" width="10.7109375" style="141" customWidth="1"/>
    <col min="16145" max="16145" width="9.5703125" style="141" customWidth="1"/>
    <col min="16146" max="16146" width="13.85546875" style="141" customWidth="1"/>
    <col min="16147" max="16147" width="12.5703125" style="141" customWidth="1"/>
    <col min="16148" max="16148" width="10.5703125" style="141" customWidth="1"/>
    <col min="16149" max="16149" width="9.28515625" style="141" customWidth="1"/>
    <col min="16150" max="16150" width="5.7109375" style="141" customWidth="1"/>
    <col min="16151" max="16151" width="9.42578125" style="141" customWidth="1"/>
    <col min="16152" max="16152" width="8.7109375" style="141" customWidth="1"/>
    <col min="16153" max="16153" width="8.28515625" style="141" customWidth="1"/>
    <col min="16154" max="16154" width="7" style="141" customWidth="1"/>
    <col min="16155" max="16155" width="9" style="141" customWidth="1"/>
    <col min="16156" max="16156" width="8.85546875" style="141" customWidth="1"/>
    <col min="16157" max="16157" width="9.140625" style="141" customWidth="1"/>
    <col min="16158" max="16158" width="8.85546875" style="141" customWidth="1"/>
    <col min="16159" max="16159" width="8" style="141" customWidth="1"/>
    <col min="16160" max="16160" width="0" style="141" hidden="1" customWidth="1"/>
    <col min="16161" max="16161" width="11.5703125" style="141" customWidth="1"/>
    <col min="16162" max="16162" width="13.42578125" style="141" customWidth="1"/>
    <col min="16163" max="16163" width="10.28515625" style="141" customWidth="1"/>
    <col min="16164" max="16194" width="9.140625" style="141" customWidth="1"/>
    <col min="16195" max="16195" width="40.140625" style="141" customWidth="1"/>
    <col min="16196" max="16336" width="9.140625" style="141" customWidth="1"/>
    <col min="16337" max="16384" width="9.140625" style="141"/>
  </cols>
  <sheetData>
    <row r="1" spans="1:36" ht="24.75" customHeight="1" x14ac:dyDescent="0.35">
      <c r="A1" s="141" t="s">
        <v>486</v>
      </c>
      <c r="B1" s="487" t="s">
        <v>8</v>
      </c>
      <c r="C1" s="487"/>
      <c r="D1" s="487"/>
      <c r="E1" s="487"/>
      <c r="F1" s="487"/>
      <c r="G1" s="487"/>
      <c r="H1" s="487"/>
      <c r="I1" s="487"/>
      <c r="J1" s="487"/>
      <c r="K1" s="487"/>
      <c r="L1" s="487"/>
      <c r="M1" s="487"/>
      <c r="N1" s="487"/>
      <c r="O1" s="487"/>
      <c r="P1" s="487"/>
      <c r="Q1" s="487"/>
      <c r="R1" s="487"/>
      <c r="S1" s="487"/>
      <c r="T1" s="487"/>
      <c r="U1" s="487"/>
      <c r="V1" s="487"/>
      <c r="W1" s="487"/>
      <c r="X1" s="487"/>
      <c r="Y1" s="487"/>
      <c r="Z1" s="487"/>
      <c r="AA1" s="487"/>
      <c r="AB1" s="487"/>
      <c r="AC1" s="487"/>
      <c r="AD1" s="487"/>
      <c r="AE1" s="487"/>
      <c r="AF1" s="487"/>
      <c r="AG1" s="487"/>
      <c r="AH1" s="487"/>
      <c r="AI1" s="487"/>
    </row>
    <row r="2" spans="1:36" ht="23.25" customHeight="1" x14ac:dyDescent="0.35">
      <c r="B2" s="487" t="s">
        <v>9</v>
      </c>
      <c r="C2" s="487"/>
      <c r="D2" s="487"/>
      <c r="E2" s="487"/>
      <c r="F2" s="487"/>
      <c r="G2" s="487"/>
      <c r="H2" s="487"/>
      <c r="I2" s="487"/>
      <c r="J2" s="487"/>
      <c r="K2" s="487"/>
      <c r="L2" s="487"/>
      <c r="M2" s="487"/>
      <c r="N2" s="487"/>
      <c r="O2" s="487"/>
      <c r="P2" s="487"/>
      <c r="Q2" s="487"/>
      <c r="R2" s="487"/>
      <c r="S2" s="487"/>
      <c r="T2" s="487"/>
      <c r="U2" s="487"/>
      <c r="V2" s="487"/>
      <c r="W2" s="487"/>
      <c r="X2" s="487"/>
      <c r="Y2" s="487"/>
      <c r="Z2" s="487"/>
      <c r="AA2" s="487"/>
      <c r="AB2" s="487"/>
      <c r="AC2" s="487"/>
      <c r="AD2" s="487"/>
      <c r="AE2" s="487"/>
      <c r="AF2" s="487"/>
      <c r="AG2" s="487"/>
      <c r="AH2" s="487"/>
      <c r="AI2" s="487"/>
    </row>
    <row r="3" spans="1:36" ht="18" customHeight="1" x14ac:dyDescent="0.35">
      <c r="A3" s="141" t="s">
        <v>318</v>
      </c>
      <c r="B3" s="486" t="s">
        <v>487</v>
      </c>
      <c r="C3" s="486"/>
      <c r="D3" s="486"/>
      <c r="E3" s="486"/>
      <c r="F3" s="486"/>
      <c r="G3" s="486"/>
      <c r="H3" s="486"/>
      <c r="I3" s="486"/>
      <c r="J3" s="486"/>
      <c r="K3" s="486"/>
      <c r="L3" s="486"/>
      <c r="M3" s="486"/>
      <c r="N3" s="486"/>
      <c r="O3" s="486"/>
      <c r="P3" s="486"/>
      <c r="Q3" s="486"/>
      <c r="R3" s="486"/>
      <c r="S3" s="486"/>
      <c r="T3" s="486"/>
      <c r="U3" s="486"/>
      <c r="V3" s="486"/>
      <c r="W3" s="486"/>
      <c r="X3" s="486"/>
      <c r="Y3" s="486"/>
      <c r="Z3" s="486"/>
      <c r="AA3" s="486"/>
      <c r="AB3" s="486"/>
      <c r="AC3" s="486"/>
      <c r="AD3" s="486"/>
      <c r="AE3" s="486"/>
      <c r="AF3" s="486"/>
      <c r="AG3" s="486"/>
      <c r="AH3" s="486"/>
      <c r="AI3" s="486"/>
    </row>
    <row r="4" spans="1:36" ht="24" hidden="1" customHeight="1" x14ac:dyDescent="0.35">
      <c r="A4" s="487"/>
      <c r="B4" s="487"/>
      <c r="C4" s="487"/>
      <c r="D4" s="487"/>
      <c r="E4" s="487"/>
      <c r="F4" s="487"/>
      <c r="G4" s="487"/>
      <c r="H4" s="487"/>
      <c r="I4" s="487"/>
      <c r="J4" s="487"/>
      <c r="K4" s="487"/>
      <c r="L4" s="487"/>
      <c r="M4" s="487"/>
      <c r="N4" s="487"/>
      <c r="O4" s="487"/>
      <c r="P4" s="487"/>
      <c r="Q4" s="487"/>
      <c r="R4" s="487"/>
      <c r="S4" s="487"/>
      <c r="T4" s="487"/>
      <c r="U4" s="487"/>
      <c r="V4" s="487"/>
      <c r="W4" s="487"/>
      <c r="X4" s="487"/>
      <c r="Y4" s="487"/>
      <c r="Z4" s="487"/>
      <c r="AA4" s="487"/>
      <c r="AB4" s="487"/>
      <c r="AC4" s="487"/>
      <c r="AD4" s="487"/>
      <c r="AE4" s="487"/>
      <c r="AF4" s="487"/>
      <c r="AG4" s="143"/>
      <c r="AH4" s="143"/>
      <c r="AI4" s="144"/>
    </row>
    <row r="5" spans="1:36" ht="17.25" hidden="1" x14ac:dyDescent="0.35">
      <c r="A5" s="487"/>
      <c r="B5" s="487"/>
      <c r="C5" s="487"/>
      <c r="D5" s="487"/>
      <c r="E5" s="487"/>
      <c r="F5" s="487"/>
      <c r="G5" s="487"/>
      <c r="H5" s="487"/>
      <c r="I5" s="487"/>
      <c r="J5" s="487"/>
      <c r="K5" s="487"/>
      <c r="L5" s="487"/>
      <c r="M5" s="487"/>
      <c r="N5" s="487"/>
      <c r="O5" s="487"/>
      <c r="P5" s="487"/>
      <c r="Q5" s="487"/>
      <c r="R5" s="487"/>
      <c r="S5" s="487"/>
      <c r="T5" s="487"/>
      <c r="U5" s="487"/>
      <c r="V5" s="487"/>
      <c r="W5" s="487"/>
      <c r="X5" s="487"/>
      <c r="Y5" s="487"/>
      <c r="Z5" s="487"/>
      <c r="AA5" s="487"/>
      <c r="AB5" s="487"/>
      <c r="AC5" s="487"/>
      <c r="AD5" s="487"/>
      <c r="AE5" s="487"/>
      <c r="AF5" s="487"/>
      <c r="AG5" s="143"/>
      <c r="AH5" s="143"/>
      <c r="AI5" s="144"/>
    </row>
    <row r="6" spans="1:36" ht="12" hidden="1" customHeight="1" x14ac:dyDescent="0.35">
      <c r="A6" s="486"/>
      <c r="B6" s="486"/>
      <c r="C6" s="486"/>
      <c r="D6" s="486"/>
      <c r="E6" s="486"/>
      <c r="F6" s="486"/>
      <c r="G6" s="486"/>
      <c r="H6" s="486"/>
      <c r="I6" s="486"/>
      <c r="J6" s="486"/>
      <c r="K6" s="486"/>
      <c r="L6" s="486"/>
      <c r="M6" s="486"/>
      <c r="N6" s="486"/>
      <c r="O6" s="486"/>
      <c r="P6" s="486"/>
      <c r="Q6" s="486"/>
      <c r="R6" s="486"/>
      <c r="S6" s="486"/>
      <c r="T6" s="486"/>
      <c r="U6" s="486"/>
      <c r="V6" s="486"/>
      <c r="W6" s="486"/>
      <c r="X6" s="486"/>
      <c r="Y6" s="486"/>
      <c r="Z6" s="486"/>
      <c r="AA6" s="486"/>
      <c r="AB6" s="486"/>
      <c r="AC6" s="486"/>
      <c r="AD6" s="486"/>
      <c r="AE6" s="486"/>
      <c r="AF6" s="486"/>
      <c r="AG6" s="145"/>
      <c r="AH6" s="146"/>
      <c r="AI6" s="147"/>
    </row>
    <row r="7" spans="1:36" ht="15.75" customHeight="1" x14ac:dyDescent="0.35">
      <c r="B7" s="480" t="s">
        <v>488</v>
      </c>
      <c r="C7" s="148"/>
      <c r="D7" s="481" t="s">
        <v>489</v>
      </c>
      <c r="E7" s="149" t="s">
        <v>490</v>
      </c>
      <c r="F7" s="149"/>
      <c r="G7" s="150"/>
      <c r="H7" s="482" t="s">
        <v>491</v>
      </c>
      <c r="I7" s="482"/>
      <c r="J7" s="482"/>
      <c r="K7" s="482"/>
      <c r="L7" s="482"/>
      <c r="M7" s="482"/>
      <c r="N7" s="482"/>
      <c r="O7" s="482"/>
      <c r="P7" s="482"/>
      <c r="Q7" s="482"/>
      <c r="R7" s="482"/>
      <c r="S7" s="483" t="s">
        <v>492</v>
      </c>
      <c r="T7" s="483"/>
      <c r="U7" s="483"/>
      <c r="V7" s="483"/>
      <c r="W7" s="483"/>
      <c r="X7" s="483"/>
      <c r="Y7" s="483"/>
      <c r="Z7" s="483"/>
      <c r="AA7" s="483"/>
      <c r="AB7" s="483"/>
      <c r="AC7" s="483"/>
      <c r="AD7" s="483"/>
      <c r="AE7" s="483"/>
      <c r="AF7" s="483"/>
      <c r="AG7" s="483"/>
      <c r="AH7" s="476" t="s">
        <v>493</v>
      </c>
      <c r="AI7" s="479" t="s">
        <v>16</v>
      </c>
    </row>
    <row r="8" spans="1:36" ht="54.75" customHeight="1" x14ac:dyDescent="0.35">
      <c r="B8" s="480"/>
      <c r="C8" s="148"/>
      <c r="D8" s="481"/>
      <c r="E8" s="151" t="s">
        <v>2</v>
      </c>
      <c r="F8" s="152" t="s">
        <v>494</v>
      </c>
      <c r="G8" s="153" t="s">
        <v>495</v>
      </c>
      <c r="H8" s="476" t="s">
        <v>496</v>
      </c>
      <c r="I8" s="154" t="s">
        <v>19</v>
      </c>
      <c r="J8" s="476" t="s">
        <v>20</v>
      </c>
      <c r="K8" s="476" t="s">
        <v>497</v>
      </c>
      <c r="L8" s="475" t="s">
        <v>498</v>
      </c>
      <c r="M8" s="476" t="s">
        <v>499</v>
      </c>
      <c r="N8" s="155"/>
      <c r="O8" s="155"/>
      <c r="P8" s="475" t="s">
        <v>500</v>
      </c>
      <c r="Q8" s="475" t="s">
        <v>501</v>
      </c>
      <c r="R8" s="485" t="s">
        <v>502</v>
      </c>
      <c r="S8" s="475" t="s">
        <v>503</v>
      </c>
      <c r="T8" s="475"/>
      <c r="U8" s="476" t="s">
        <v>504</v>
      </c>
      <c r="V8" s="476" t="s">
        <v>505</v>
      </c>
      <c r="W8" s="475" t="s">
        <v>506</v>
      </c>
      <c r="X8" s="475" t="s">
        <v>507</v>
      </c>
      <c r="Y8" s="475" t="s">
        <v>508</v>
      </c>
      <c r="Z8" s="475" t="s">
        <v>509</v>
      </c>
      <c r="AA8" s="475" t="s">
        <v>510</v>
      </c>
      <c r="AB8" s="475" t="s">
        <v>511</v>
      </c>
      <c r="AC8" s="476" t="s">
        <v>37</v>
      </c>
      <c r="AD8" s="476" t="s">
        <v>512</v>
      </c>
      <c r="AE8" s="476" t="s">
        <v>513</v>
      </c>
      <c r="AF8" s="477" t="s">
        <v>514</v>
      </c>
      <c r="AG8" s="478" t="s">
        <v>515</v>
      </c>
      <c r="AH8" s="476"/>
      <c r="AI8" s="479"/>
    </row>
    <row r="9" spans="1:36" s="142" customFormat="1" ht="1.5" hidden="1" customHeight="1" x14ac:dyDescent="0.35">
      <c r="B9" s="156"/>
      <c r="C9" s="156"/>
      <c r="D9" s="481"/>
      <c r="E9" s="157"/>
      <c r="F9" s="157"/>
      <c r="G9" s="158"/>
      <c r="H9" s="476"/>
      <c r="I9" s="154"/>
      <c r="J9" s="476"/>
      <c r="K9" s="476"/>
      <c r="L9" s="475"/>
      <c r="M9" s="476"/>
      <c r="N9" s="155"/>
      <c r="O9" s="155"/>
      <c r="P9" s="475"/>
      <c r="Q9" s="475"/>
      <c r="R9" s="485"/>
      <c r="S9" s="159" t="s">
        <v>43</v>
      </c>
      <c r="T9" s="160" t="s">
        <v>516</v>
      </c>
      <c r="U9" s="478"/>
      <c r="V9" s="478"/>
      <c r="W9" s="475"/>
      <c r="X9" s="479"/>
      <c r="Y9" s="479"/>
      <c r="Z9" s="479"/>
      <c r="AA9" s="479"/>
      <c r="AB9" s="475"/>
      <c r="AC9" s="476"/>
      <c r="AD9" s="476"/>
      <c r="AE9" s="476"/>
      <c r="AF9" s="477"/>
      <c r="AG9" s="478"/>
      <c r="AH9" s="476"/>
      <c r="AI9" s="479"/>
    </row>
    <row r="10" spans="1:36" s="142" customFormat="1" ht="32.25" customHeight="1" x14ac:dyDescent="0.35">
      <c r="B10" s="156"/>
      <c r="C10" s="156" t="s">
        <v>42</v>
      </c>
      <c r="D10" s="161" t="s">
        <v>517</v>
      </c>
      <c r="E10" s="156"/>
      <c r="F10" s="156"/>
      <c r="G10" s="162"/>
      <c r="H10" s="163"/>
      <c r="I10" s="163"/>
      <c r="J10" s="155" t="s">
        <v>318</v>
      </c>
      <c r="K10" s="155"/>
      <c r="L10" s="160"/>
      <c r="M10" s="155"/>
      <c r="N10" s="155"/>
      <c r="O10" s="155"/>
      <c r="P10" s="160"/>
      <c r="Q10" s="160"/>
      <c r="R10" s="164"/>
      <c r="S10" s="159" t="s">
        <v>43</v>
      </c>
      <c r="T10" s="160" t="s">
        <v>516</v>
      </c>
      <c r="U10" s="165"/>
      <c r="V10" s="165"/>
      <c r="W10" s="160"/>
      <c r="X10" s="166"/>
      <c r="Y10" s="166"/>
      <c r="Z10" s="166"/>
      <c r="AA10" s="166"/>
      <c r="AB10" s="160"/>
      <c r="AC10" s="155"/>
      <c r="AD10" s="155"/>
      <c r="AE10" s="155"/>
      <c r="AF10" s="155"/>
      <c r="AG10" s="165"/>
      <c r="AH10" s="155"/>
      <c r="AI10" s="166"/>
    </row>
    <row r="11" spans="1:36" s="167" customFormat="1" ht="77.25" customHeight="1" x14ac:dyDescent="0.25">
      <c r="B11" s="161">
        <v>1</v>
      </c>
      <c r="C11" s="161">
        <v>100002</v>
      </c>
      <c r="D11" s="168" t="s">
        <v>518</v>
      </c>
      <c r="E11" s="160" t="s">
        <v>519</v>
      </c>
      <c r="F11" s="166" t="s">
        <v>520</v>
      </c>
      <c r="G11" s="162" t="s">
        <v>521</v>
      </c>
      <c r="H11" s="169">
        <v>78000</v>
      </c>
      <c r="I11" s="169">
        <f>ROUND((H11*10%),0)</f>
        <v>7800</v>
      </c>
      <c r="J11" s="169"/>
      <c r="K11" s="169">
        <v>1500</v>
      </c>
      <c r="L11" s="169"/>
      <c r="M11" s="169"/>
      <c r="N11" s="169"/>
      <c r="O11" s="169"/>
      <c r="P11" s="169">
        <v>4300</v>
      </c>
      <c r="Q11" s="169">
        <v>500</v>
      </c>
      <c r="R11" s="170">
        <f t="shared" ref="R11:R56" si="0">SUM(H11:Q11)</f>
        <v>92100</v>
      </c>
      <c r="S11" s="171">
        <f>ROUND((H11*10%),0)</f>
        <v>7800</v>
      </c>
      <c r="T11" s="169"/>
      <c r="U11" s="169">
        <f>ROUND((H11*1%),0)</f>
        <v>780</v>
      </c>
      <c r="V11" s="169"/>
      <c r="W11" s="169"/>
      <c r="X11" s="169"/>
      <c r="Y11" s="169"/>
      <c r="Z11" s="169"/>
      <c r="AA11" s="169"/>
      <c r="AB11" s="169">
        <v>800</v>
      </c>
      <c r="AC11" s="169">
        <v>2321</v>
      </c>
      <c r="AD11" s="172">
        <v>100</v>
      </c>
      <c r="AE11" s="169">
        <v>10</v>
      </c>
      <c r="AF11" s="169"/>
      <c r="AG11" s="169">
        <f>SUM(S11:AF11)</f>
        <v>11811</v>
      </c>
      <c r="AH11" s="169">
        <f>R11-AG11</f>
        <v>80289</v>
      </c>
      <c r="AI11" s="173" t="s">
        <v>522</v>
      </c>
      <c r="AJ11" s="174"/>
    </row>
    <row r="12" spans="1:36" s="167" customFormat="1" ht="68.25" customHeight="1" x14ac:dyDescent="0.25">
      <c r="B12" s="161">
        <v>2</v>
      </c>
      <c r="C12" s="161">
        <v>100004</v>
      </c>
      <c r="D12" s="175" t="s">
        <v>523</v>
      </c>
      <c r="E12" s="176" t="s">
        <v>524</v>
      </c>
      <c r="F12" s="177" t="s">
        <v>525</v>
      </c>
      <c r="G12" s="162" t="s">
        <v>526</v>
      </c>
      <c r="H12" s="169">
        <v>78000</v>
      </c>
      <c r="I12" s="169">
        <f t="shared" ref="I12:I75" si="1">ROUND((H12*10%),0)</f>
        <v>7800</v>
      </c>
      <c r="J12" s="169">
        <f>H12*50%</f>
        <v>39000</v>
      </c>
      <c r="K12" s="169">
        <v>1500</v>
      </c>
      <c r="L12" s="169"/>
      <c r="M12" s="169"/>
      <c r="N12" s="169"/>
      <c r="O12" s="169"/>
      <c r="P12" s="169">
        <v>4300</v>
      </c>
      <c r="Q12" s="178">
        <v>500</v>
      </c>
      <c r="R12" s="170">
        <f t="shared" si="0"/>
        <v>131100</v>
      </c>
      <c r="S12" s="171">
        <f>ROUND((H12*10%),0)</f>
        <v>7800</v>
      </c>
      <c r="T12" s="169"/>
      <c r="U12" s="169">
        <f>ROUND((H12*1%),0)</f>
        <v>780</v>
      </c>
      <c r="V12" s="169"/>
      <c r="W12" s="169"/>
      <c r="X12" s="169"/>
      <c r="Y12" s="169"/>
      <c r="Z12" s="169"/>
      <c r="AA12" s="169"/>
      <c r="AB12" s="169"/>
      <c r="AC12" s="169">
        <v>2321</v>
      </c>
      <c r="AD12" s="172">
        <v>100</v>
      </c>
      <c r="AE12" s="169">
        <v>10</v>
      </c>
      <c r="AF12" s="169"/>
      <c r="AG12" s="169">
        <f>SUM(S12:AF12)</f>
        <v>11011</v>
      </c>
      <c r="AH12" s="169">
        <f t="shared" ref="AH12:AH43" si="2">R12-AG12</f>
        <v>120089</v>
      </c>
      <c r="AI12" s="173"/>
    </row>
    <row r="13" spans="1:36" s="167" customFormat="1" ht="65.25" customHeight="1" x14ac:dyDescent="0.25">
      <c r="B13" s="161">
        <v>3</v>
      </c>
      <c r="C13" s="161">
        <v>100005</v>
      </c>
      <c r="D13" s="175" t="s">
        <v>527</v>
      </c>
      <c r="E13" s="176" t="s">
        <v>528</v>
      </c>
      <c r="F13" s="166" t="s">
        <v>525</v>
      </c>
      <c r="G13" s="162" t="s">
        <v>529</v>
      </c>
      <c r="H13" s="169">
        <v>78000</v>
      </c>
      <c r="I13" s="169">
        <f t="shared" si="1"/>
        <v>7800</v>
      </c>
      <c r="J13" s="169">
        <v>0</v>
      </c>
      <c r="K13" s="169">
        <v>1500</v>
      </c>
      <c r="L13" s="169"/>
      <c r="M13" s="169">
        <f t="shared" ref="M13:M26" si="3">ROUND((H13*12.5%),0)</f>
        <v>9750</v>
      </c>
      <c r="N13" s="169"/>
      <c r="O13" s="169"/>
      <c r="P13" s="169">
        <v>4300</v>
      </c>
      <c r="Q13" s="169"/>
      <c r="R13" s="170">
        <f t="shared" si="0"/>
        <v>101350</v>
      </c>
      <c r="S13" s="171">
        <f t="shared" ref="S13:S41" si="4">ROUND((H13*10%),0)</f>
        <v>7800</v>
      </c>
      <c r="T13" s="169"/>
      <c r="U13" s="169">
        <f t="shared" ref="U13:U41" si="5">ROUND((H13*1%),0)</f>
        <v>780</v>
      </c>
      <c r="V13" s="169"/>
      <c r="W13" s="169"/>
      <c r="X13" s="169">
        <v>1080</v>
      </c>
      <c r="Y13" s="169">
        <v>120</v>
      </c>
      <c r="Z13" s="169">
        <v>30</v>
      </c>
      <c r="AA13" s="169">
        <v>6395</v>
      </c>
      <c r="AB13" s="169"/>
      <c r="AC13" s="169">
        <v>2123</v>
      </c>
      <c r="AD13" s="172">
        <v>100</v>
      </c>
      <c r="AE13" s="169">
        <v>10</v>
      </c>
      <c r="AF13" s="169"/>
      <c r="AG13" s="169">
        <f t="shared" ref="AG13:AG76" si="6">SUM(S13:AF13)</f>
        <v>18438</v>
      </c>
      <c r="AH13" s="169">
        <f t="shared" si="2"/>
        <v>82912</v>
      </c>
      <c r="AI13" s="173"/>
    </row>
    <row r="14" spans="1:36" s="167" customFormat="1" ht="70.5" customHeight="1" x14ac:dyDescent="0.25">
      <c r="B14" s="161">
        <v>4</v>
      </c>
      <c r="C14" s="161">
        <v>100006</v>
      </c>
      <c r="D14" s="175" t="s">
        <v>530</v>
      </c>
      <c r="E14" s="176" t="s">
        <v>531</v>
      </c>
      <c r="F14" s="166" t="s">
        <v>525</v>
      </c>
      <c r="G14" s="162" t="s">
        <v>532</v>
      </c>
      <c r="H14" s="169">
        <v>78000</v>
      </c>
      <c r="I14" s="169">
        <f t="shared" si="1"/>
        <v>7800</v>
      </c>
      <c r="J14" s="169">
        <f>ROUND((H14*50%),0)</f>
        <v>39000</v>
      </c>
      <c r="K14" s="169">
        <v>1500</v>
      </c>
      <c r="L14" s="169"/>
      <c r="M14" s="169">
        <f>ROUND((H14*12.5%),0)</f>
        <v>9750</v>
      </c>
      <c r="N14" s="169"/>
      <c r="O14" s="169"/>
      <c r="P14" s="169">
        <v>4300</v>
      </c>
      <c r="Q14" s="169">
        <v>500</v>
      </c>
      <c r="R14" s="170">
        <f t="shared" si="0"/>
        <v>140850</v>
      </c>
      <c r="S14" s="171">
        <f t="shared" si="4"/>
        <v>7800</v>
      </c>
      <c r="T14" s="169">
        <v>0</v>
      </c>
      <c r="U14" s="169">
        <f t="shared" si="5"/>
        <v>780</v>
      </c>
      <c r="V14" s="169"/>
      <c r="W14" s="169"/>
      <c r="X14" s="169"/>
      <c r="Y14" s="169"/>
      <c r="Z14" s="169"/>
      <c r="AA14" s="169"/>
      <c r="AB14" s="169">
        <v>250</v>
      </c>
      <c r="AC14" s="169">
        <v>2123</v>
      </c>
      <c r="AD14" s="172">
        <v>100</v>
      </c>
      <c r="AE14" s="169">
        <v>10</v>
      </c>
      <c r="AF14" s="169"/>
      <c r="AG14" s="169">
        <f t="shared" si="6"/>
        <v>11063</v>
      </c>
      <c r="AH14" s="169">
        <f t="shared" si="2"/>
        <v>129787</v>
      </c>
      <c r="AI14" s="173"/>
    </row>
    <row r="15" spans="1:36" s="167" customFormat="1" ht="85.5" customHeight="1" x14ac:dyDescent="0.25">
      <c r="B15" s="161">
        <v>5</v>
      </c>
      <c r="C15" s="161">
        <v>100007</v>
      </c>
      <c r="D15" s="175" t="s">
        <v>533</v>
      </c>
      <c r="E15" s="176" t="s">
        <v>534</v>
      </c>
      <c r="F15" s="166" t="s">
        <v>525</v>
      </c>
      <c r="G15" s="162" t="s">
        <v>535</v>
      </c>
      <c r="H15" s="169">
        <v>76490</v>
      </c>
      <c r="I15" s="169">
        <f t="shared" si="1"/>
        <v>7649</v>
      </c>
      <c r="J15" s="169">
        <f>H15*50%</f>
        <v>38245</v>
      </c>
      <c r="K15" s="169">
        <v>1500</v>
      </c>
      <c r="L15" s="169"/>
      <c r="M15" s="169">
        <f t="shared" si="3"/>
        <v>9561</v>
      </c>
      <c r="N15" s="169"/>
      <c r="O15" s="169"/>
      <c r="P15" s="169">
        <v>4300</v>
      </c>
      <c r="Q15" s="169"/>
      <c r="R15" s="170">
        <f t="shared" si="0"/>
        <v>137745</v>
      </c>
      <c r="S15" s="171">
        <f t="shared" si="4"/>
        <v>7649</v>
      </c>
      <c r="T15" s="169"/>
      <c r="U15" s="169">
        <f t="shared" si="5"/>
        <v>765</v>
      </c>
      <c r="V15" s="169"/>
      <c r="W15" s="169"/>
      <c r="X15" s="169"/>
      <c r="Y15" s="169"/>
      <c r="Z15" s="169"/>
      <c r="AA15" s="169"/>
      <c r="AB15" s="169"/>
      <c r="AC15" s="169">
        <v>3581</v>
      </c>
      <c r="AD15" s="172">
        <v>100</v>
      </c>
      <c r="AE15" s="169">
        <v>10</v>
      </c>
      <c r="AF15" s="169"/>
      <c r="AG15" s="169">
        <f t="shared" si="6"/>
        <v>12105</v>
      </c>
      <c r="AH15" s="169">
        <f t="shared" si="2"/>
        <v>125640</v>
      </c>
      <c r="AI15" s="173"/>
    </row>
    <row r="16" spans="1:36" s="167" customFormat="1" ht="57.75" customHeight="1" x14ac:dyDescent="0.25">
      <c r="B16" s="161">
        <v>6</v>
      </c>
      <c r="C16" s="161">
        <v>100008</v>
      </c>
      <c r="D16" s="175" t="s">
        <v>536</v>
      </c>
      <c r="E16" s="176" t="s">
        <v>537</v>
      </c>
      <c r="F16" s="166" t="s">
        <v>525</v>
      </c>
      <c r="G16" s="162" t="s">
        <v>538</v>
      </c>
      <c r="H16" s="169">
        <v>78000</v>
      </c>
      <c r="I16" s="169">
        <f t="shared" si="1"/>
        <v>7800</v>
      </c>
      <c r="J16" s="169">
        <f>ROUND((H16*50%),0)</f>
        <v>39000</v>
      </c>
      <c r="K16" s="169">
        <v>1500</v>
      </c>
      <c r="M16" s="169">
        <f>ROUND((H16*12.5% /30*4),0)</f>
        <v>1300</v>
      </c>
      <c r="N16" s="169"/>
      <c r="O16" s="169"/>
      <c r="P16" s="169">
        <v>4300</v>
      </c>
      <c r="Q16" s="169">
        <v>1000</v>
      </c>
      <c r="R16" s="170">
        <f t="shared" si="0"/>
        <v>132900</v>
      </c>
      <c r="S16" s="171">
        <f t="shared" si="4"/>
        <v>7800</v>
      </c>
      <c r="T16" s="169">
        <v>0</v>
      </c>
      <c r="U16" s="169">
        <f t="shared" si="5"/>
        <v>780</v>
      </c>
      <c r="V16" s="169"/>
      <c r="W16" s="169"/>
      <c r="X16" s="169"/>
      <c r="Y16" s="169"/>
      <c r="Z16" s="169"/>
      <c r="AA16" s="169"/>
      <c r="AB16" s="169">
        <v>0</v>
      </c>
      <c r="AC16" s="169">
        <v>3581</v>
      </c>
      <c r="AD16" s="172">
        <v>100</v>
      </c>
      <c r="AE16" s="169">
        <v>10</v>
      </c>
      <c r="AF16" s="169"/>
      <c r="AG16" s="169">
        <f t="shared" si="6"/>
        <v>12271</v>
      </c>
      <c r="AH16" s="169">
        <f t="shared" si="2"/>
        <v>120629</v>
      </c>
      <c r="AI16" s="170"/>
      <c r="AJ16" s="167" t="s">
        <v>539</v>
      </c>
    </row>
    <row r="17" spans="1:54" s="167" customFormat="1" ht="68.25" customHeight="1" x14ac:dyDescent="0.25">
      <c r="B17" s="161">
        <v>7</v>
      </c>
      <c r="C17" s="161">
        <v>100009</v>
      </c>
      <c r="D17" s="175" t="s">
        <v>540</v>
      </c>
      <c r="E17" s="176" t="s">
        <v>541</v>
      </c>
      <c r="F17" s="166" t="s">
        <v>525</v>
      </c>
      <c r="G17" s="162" t="s">
        <v>542</v>
      </c>
      <c r="H17" s="169">
        <v>78000</v>
      </c>
      <c r="I17" s="169">
        <f t="shared" si="1"/>
        <v>7800</v>
      </c>
      <c r="J17" s="169"/>
      <c r="K17" s="169">
        <v>1500</v>
      </c>
      <c r="L17" s="169"/>
      <c r="M17" s="169">
        <f>ROUND((H17*12.5%),0)</f>
        <v>9750</v>
      </c>
      <c r="N17" s="169"/>
      <c r="O17" s="169"/>
      <c r="P17" s="169">
        <v>4300</v>
      </c>
      <c r="Q17" s="169">
        <v>1000</v>
      </c>
      <c r="R17" s="170">
        <f t="shared" si="0"/>
        <v>102350</v>
      </c>
      <c r="S17" s="171">
        <f t="shared" si="4"/>
        <v>7800</v>
      </c>
      <c r="T17" s="169">
        <v>0</v>
      </c>
      <c r="U17" s="169">
        <f t="shared" si="5"/>
        <v>780</v>
      </c>
      <c r="V17" s="169"/>
      <c r="W17" s="169"/>
      <c r="X17" s="169">
        <v>1080</v>
      </c>
      <c r="Y17" s="169">
        <v>120</v>
      </c>
      <c r="Z17" s="169">
        <v>30</v>
      </c>
      <c r="AA17" s="169">
        <v>1906</v>
      </c>
      <c r="AB17" s="169"/>
      <c r="AC17" s="169">
        <v>4206</v>
      </c>
      <c r="AD17" s="172">
        <v>100</v>
      </c>
      <c r="AE17" s="169">
        <v>10</v>
      </c>
      <c r="AF17" s="169"/>
      <c r="AG17" s="169">
        <f t="shared" si="6"/>
        <v>16032</v>
      </c>
      <c r="AH17" s="169">
        <f t="shared" si="2"/>
        <v>86318</v>
      </c>
      <c r="AI17" s="170"/>
    </row>
    <row r="18" spans="1:54" s="167" customFormat="1" ht="80.25" customHeight="1" x14ac:dyDescent="0.25">
      <c r="B18" s="161">
        <v>8</v>
      </c>
      <c r="C18" s="161">
        <v>100024</v>
      </c>
      <c r="D18" s="175" t="s">
        <v>543</v>
      </c>
      <c r="E18" s="176" t="s">
        <v>544</v>
      </c>
      <c r="F18" s="166" t="s">
        <v>525</v>
      </c>
      <c r="G18" s="162" t="s">
        <v>545</v>
      </c>
      <c r="H18" s="169">
        <v>76490</v>
      </c>
      <c r="I18" s="169">
        <f t="shared" si="1"/>
        <v>7649</v>
      </c>
      <c r="J18" s="169">
        <f>ROUND((H18*50%),0)</f>
        <v>38245</v>
      </c>
      <c r="K18" s="169">
        <v>1500</v>
      </c>
      <c r="L18" s="169"/>
      <c r="M18" s="169">
        <f t="shared" si="3"/>
        <v>9561</v>
      </c>
      <c r="N18" s="169"/>
      <c r="O18" s="169"/>
      <c r="P18" s="169">
        <v>4300</v>
      </c>
      <c r="Q18" s="169">
        <v>1000</v>
      </c>
      <c r="R18" s="170">
        <f t="shared" si="0"/>
        <v>138745</v>
      </c>
      <c r="S18" s="171">
        <f t="shared" si="4"/>
        <v>7649</v>
      </c>
      <c r="T18" s="169">
        <v>23000</v>
      </c>
      <c r="U18" s="169">
        <f t="shared" si="5"/>
        <v>765</v>
      </c>
      <c r="V18" s="169"/>
      <c r="W18" s="169"/>
      <c r="X18" s="169"/>
      <c r="Y18" s="169"/>
      <c r="Z18" s="169"/>
      <c r="AA18" s="169"/>
      <c r="AB18" s="169">
        <v>250</v>
      </c>
      <c r="AC18" s="169">
        <v>1760</v>
      </c>
      <c r="AD18" s="172">
        <v>100</v>
      </c>
      <c r="AE18" s="169">
        <v>10</v>
      </c>
      <c r="AF18" s="169"/>
      <c r="AG18" s="169">
        <f t="shared" si="6"/>
        <v>33534</v>
      </c>
      <c r="AH18" s="169">
        <f t="shared" si="2"/>
        <v>105211</v>
      </c>
      <c r="AI18" s="173" t="s">
        <v>546</v>
      </c>
    </row>
    <row r="19" spans="1:54" s="167" customFormat="1" ht="63" customHeight="1" x14ac:dyDescent="0.25">
      <c r="B19" s="161">
        <v>9</v>
      </c>
      <c r="C19" s="161">
        <v>100019</v>
      </c>
      <c r="D19" s="175" t="s">
        <v>547</v>
      </c>
      <c r="E19" s="176" t="s">
        <v>548</v>
      </c>
      <c r="F19" s="166" t="s">
        <v>525</v>
      </c>
      <c r="G19" s="162" t="s">
        <v>549</v>
      </c>
      <c r="H19" s="169">
        <v>76490</v>
      </c>
      <c r="I19" s="169">
        <f t="shared" si="1"/>
        <v>7649</v>
      </c>
      <c r="J19" s="169">
        <f>ROUND((H19*50%),0)</f>
        <v>38245</v>
      </c>
      <c r="K19" s="169">
        <v>1500</v>
      </c>
      <c r="L19" s="169"/>
      <c r="M19" s="169">
        <f t="shared" si="3"/>
        <v>9561</v>
      </c>
      <c r="N19" s="169"/>
      <c r="O19" s="169"/>
      <c r="P19" s="169">
        <v>4300</v>
      </c>
      <c r="Q19" s="169">
        <v>0</v>
      </c>
      <c r="R19" s="170">
        <f t="shared" si="0"/>
        <v>137745</v>
      </c>
      <c r="S19" s="171">
        <f t="shared" si="4"/>
        <v>7649</v>
      </c>
      <c r="T19" s="169">
        <v>25000</v>
      </c>
      <c r="U19" s="169">
        <f t="shared" si="5"/>
        <v>765</v>
      </c>
      <c r="V19" s="169"/>
      <c r="W19" s="169"/>
      <c r="X19" s="169">
        <v>0</v>
      </c>
      <c r="Y19" s="169">
        <v>0</v>
      </c>
      <c r="Z19" s="169">
        <v>0</v>
      </c>
      <c r="AA19" s="169"/>
      <c r="AB19" s="169">
        <v>0</v>
      </c>
      <c r="AC19" s="169">
        <v>1135</v>
      </c>
      <c r="AD19" s="172">
        <v>100</v>
      </c>
      <c r="AE19" s="169">
        <v>10</v>
      </c>
      <c r="AF19" s="169"/>
      <c r="AG19" s="169">
        <f t="shared" si="6"/>
        <v>34659</v>
      </c>
      <c r="AH19" s="169">
        <f t="shared" si="2"/>
        <v>103086</v>
      </c>
      <c r="AI19" s="173" t="s">
        <v>550</v>
      </c>
    </row>
    <row r="20" spans="1:54" s="167" customFormat="1" ht="48.75" customHeight="1" x14ac:dyDescent="0.25">
      <c r="B20" s="161">
        <v>10</v>
      </c>
      <c r="C20" s="161">
        <v>100018</v>
      </c>
      <c r="D20" s="175" t="s">
        <v>551</v>
      </c>
      <c r="E20" s="176" t="s">
        <v>552</v>
      </c>
      <c r="F20" s="166" t="s">
        <v>525</v>
      </c>
      <c r="G20" s="162" t="s">
        <v>553</v>
      </c>
      <c r="H20" s="169">
        <v>76490</v>
      </c>
      <c r="I20" s="169">
        <f t="shared" si="1"/>
        <v>7649</v>
      </c>
      <c r="J20" s="169">
        <f>ROUND((H20*50%),0)</f>
        <v>38245</v>
      </c>
      <c r="K20" s="169">
        <v>1500</v>
      </c>
      <c r="L20" s="169"/>
      <c r="M20" s="169">
        <f t="shared" si="3"/>
        <v>9561</v>
      </c>
      <c r="N20" s="169"/>
      <c r="O20" s="169"/>
      <c r="P20" s="169">
        <v>4300</v>
      </c>
      <c r="Q20" s="169">
        <v>0</v>
      </c>
      <c r="R20" s="170">
        <f t="shared" si="0"/>
        <v>137745</v>
      </c>
      <c r="S20" s="171">
        <f t="shared" si="4"/>
        <v>7649</v>
      </c>
      <c r="T20" s="169">
        <v>0</v>
      </c>
      <c r="U20" s="169">
        <f t="shared" si="5"/>
        <v>765</v>
      </c>
      <c r="V20" s="169"/>
      <c r="W20" s="169"/>
      <c r="X20" s="169"/>
      <c r="Y20" s="169"/>
      <c r="Z20" s="169"/>
      <c r="AA20" s="169"/>
      <c r="AB20" s="169">
        <v>0</v>
      </c>
      <c r="AC20" s="169"/>
      <c r="AD20" s="172">
        <v>100</v>
      </c>
      <c r="AE20" s="169">
        <v>10</v>
      </c>
      <c r="AF20" s="169"/>
      <c r="AG20" s="169">
        <f t="shared" si="6"/>
        <v>8524</v>
      </c>
      <c r="AH20" s="169">
        <f t="shared" si="2"/>
        <v>129221</v>
      </c>
      <c r="AI20" s="170"/>
    </row>
    <row r="21" spans="1:54" s="167" customFormat="1" ht="69" x14ac:dyDescent="0.25">
      <c r="B21" s="161">
        <v>11</v>
      </c>
      <c r="C21" s="161">
        <v>100103</v>
      </c>
      <c r="D21" s="175" t="s">
        <v>554</v>
      </c>
      <c r="E21" s="176" t="s">
        <v>555</v>
      </c>
      <c r="F21" s="166" t="s">
        <v>525</v>
      </c>
      <c r="G21" s="162" t="s">
        <v>556</v>
      </c>
      <c r="H21" s="169">
        <v>76490</v>
      </c>
      <c r="I21" s="169">
        <f t="shared" si="1"/>
        <v>7649</v>
      </c>
      <c r="J21" s="169">
        <f>ROUND((H21*50%),0)</f>
        <v>38245</v>
      </c>
      <c r="K21" s="169">
        <v>1500</v>
      </c>
      <c r="M21" s="169">
        <f t="shared" si="3"/>
        <v>9561</v>
      </c>
      <c r="N21" s="169"/>
      <c r="O21" s="169"/>
      <c r="P21" s="169">
        <v>4300</v>
      </c>
      <c r="Q21" s="169">
        <v>1000</v>
      </c>
      <c r="R21" s="170">
        <f t="shared" si="0"/>
        <v>138745</v>
      </c>
      <c r="S21" s="171">
        <f t="shared" si="4"/>
        <v>7649</v>
      </c>
      <c r="T21" s="169"/>
      <c r="U21" s="169">
        <f t="shared" si="5"/>
        <v>765</v>
      </c>
      <c r="V21" s="169"/>
      <c r="W21" s="169"/>
      <c r="X21" s="169"/>
      <c r="Y21" s="169"/>
      <c r="Z21" s="169"/>
      <c r="AA21" s="161"/>
      <c r="AB21" s="169">
        <v>250</v>
      </c>
      <c r="AC21" s="169">
        <v>2189</v>
      </c>
      <c r="AD21" s="172">
        <v>100</v>
      </c>
      <c r="AE21" s="169">
        <v>10</v>
      </c>
      <c r="AF21" s="169"/>
      <c r="AG21" s="169">
        <f t="shared" si="6"/>
        <v>10963</v>
      </c>
      <c r="AH21" s="169">
        <f t="shared" si="2"/>
        <v>127782</v>
      </c>
      <c r="AI21" s="179"/>
    </row>
    <row r="22" spans="1:54" s="167" customFormat="1" ht="70.5" customHeight="1" x14ac:dyDescent="0.25">
      <c r="B22" s="161">
        <v>12</v>
      </c>
      <c r="C22" s="161">
        <v>100023</v>
      </c>
      <c r="D22" s="175" t="s">
        <v>557</v>
      </c>
      <c r="E22" s="176" t="s">
        <v>558</v>
      </c>
      <c r="F22" s="166" t="s">
        <v>559</v>
      </c>
      <c r="G22" s="162" t="s">
        <v>560</v>
      </c>
      <c r="H22" s="169">
        <v>68770</v>
      </c>
      <c r="I22" s="169">
        <f t="shared" si="1"/>
        <v>6877</v>
      </c>
      <c r="J22" s="169">
        <f>ROUND((H22*50%),0)</f>
        <v>34385</v>
      </c>
      <c r="K22" s="169">
        <v>1500</v>
      </c>
      <c r="L22" s="169">
        <v>600</v>
      </c>
      <c r="M22" s="169">
        <f t="shared" si="3"/>
        <v>8596</v>
      </c>
      <c r="N22" s="169"/>
      <c r="O22" s="169"/>
      <c r="P22" s="169">
        <v>4300</v>
      </c>
      <c r="Q22" s="169">
        <v>1000</v>
      </c>
      <c r="R22" s="170">
        <f t="shared" si="0"/>
        <v>126028</v>
      </c>
      <c r="S22" s="171">
        <f t="shared" si="4"/>
        <v>6877</v>
      </c>
      <c r="T22" s="169">
        <v>21300</v>
      </c>
      <c r="U22" s="169">
        <f t="shared" si="5"/>
        <v>688</v>
      </c>
      <c r="V22" s="169"/>
      <c r="W22" s="169"/>
      <c r="X22" s="169"/>
      <c r="Y22" s="169"/>
      <c r="Z22" s="169"/>
      <c r="AA22" s="169"/>
      <c r="AB22" s="169"/>
      <c r="AC22" s="169">
        <v>1879</v>
      </c>
      <c r="AD22" s="172">
        <v>100</v>
      </c>
      <c r="AE22" s="169">
        <v>10</v>
      </c>
      <c r="AF22" s="169"/>
      <c r="AG22" s="169">
        <f t="shared" si="6"/>
        <v>30854</v>
      </c>
      <c r="AH22" s="169">
        <f t="shared" si="2"/>
        <v>95174</v>
      </c>
      <c r="AI22" s="180" t="s">
        <v>561</v>
      </c>
    </row>
    <row r="23" spans="1:54" s="167" customFormat="1" ht="67.5" customHeight="1" x14ac:dyDescent="0.25">
      <c r="B23" s="161">
        <v>13</v>
      </c>
      <c r="C23" s="161">
        <v>100106</v>
      </c>
      <c r="D23" s="175" t="s">
        <v>562</v>
      </c>
      <c r="E23" s="181" t="s">
        <v>563</v>
      </c>
      <c r="F23" s="166" t="s">
        <v>559</v>
      </c>
      <c r="G23" s="182" t="s">
        <v>564</v>
      </c>
      <c r="H23" s="169">
        <v>68770</v>
      </c>
      <c r="I23" s="169">
        <f t="shared" si="1"/>
        <v>6877</v>
      </c>
      <c r="J23" s="169"/>
      <c r="K23" s="169">
        <v>1500</v>
      </c>
      <c r="L23" s="169">
        <f>600/30*4</f>
        <v>80</v>
      </c>
      <c r="M23" s="169">
        <f>ROUND((H23*12.5%/30*4),0)</f>
        <v>1146</v>
      </c>
      <c r="N23" s="169"/>
      <c r="O23" s="169"/>
      <c r="P23" s="169">
        <v>4300</v>
      </c>
      <c r="Q23" s="169"/>
      <c r="R23" s="170">
        <f t="shared" si="0"/>
        <v>82673</v>
      </c>
      <c r="S23" s="171">
        <f t="shared" si="4"/>
        <v>6877</v>
      </c>
      <c r="T23" s="183"/>
      <c r="U23" s="169">
        <f t="shared" si="5"/>
        <v>688</v>
      </c>
      <c r="V23" s="169"/>
      <c r="W23" s="169"/>
      <c r="X23" s="169">
        <v>1080</v>
      </c>
      <c r="Y23" s="169">
        <v>120</v>
      </c>
      <c r="Z23" s="169">
        <v>30</v>
      </c>
      <c r="AA23" s="178">
        <v>1694</v>
      </c>
      <c r="AB23" s="169"/>
      <c r="AC23" s="169">
        <v>1879</v>
      </c>
      <c r="AD23" s="172">
        <v>100</v>
      </c>
      <c r="AE23" s="169">
        <v>10</v>
      </c>
      <c r="AF23" s="169"/>
      <c r="AG23" s="169">
        <f t="shared" si="6"/>
        <v>12478</v>
      </c>
      <c r="AH23" s="169">
        <f t="shared" si="2"/>
        <v>70195</v>
      </c>
      <c r="AI23" s="179"/>
      <c r="AJ23" s="167" t="s">
        <v>565</v>
      </c>
    </row>
    <row r="24" spans="1:54" s="167" customFormat="1" ht="57" customHeight="1" x14ac:dyDescent="0.25">
      <c r="B24" s="161">
        <v>14</v>
      </c>
      <c r="C24" s="161">
        <v>100079</v>
      </c>
      <c r="D24" s="175" t="s">
        <v>566</v>
      </c>
      <c r="E24" s="176" t="s">
        <v>567</v>
      </c>
      <c r="F24" s="166" t="s">
        <v>559</v>
      </c>
      <c r="G24" s="162" t="s">
        <v>568</v>
      </c>
      <c r="H24" s="169">
        <v>68770</v>
      </c>
      <c r="I24" s="169">
        <f t="shared" si="1"/>
        <v>6877</v>
      </c>
      <c r="J24" s="169">
        <f>ROUND((H24*50%),0)</f>
        <v>34385</v>
      </c>
      <c r="K24" s="169">
        <v>1500</v>
      </c>
      <c r="L24" s="169"/>
      <c r="M24" s="169">
        <f t="shared" si="3"/>
        <v>8596</v>
      </c>
      <c r="N24" s="169"/>
      <c r="O24" s="169"/>
      <c r="P24" s="169">
        <v>4300</v>
      </c>
      <c r="Q24" s="169">
        <v>1000</v>
      </c>
      <c r="R24" s="170">
        <f t="shared" si="0"/>
        <v>125428</v>
      </c>
      <c r="S24" s="171">
        <f t="shared" si="4"/>
        <v>6877</v>
      </c>
      <c r="T24" s="169">
        <v>14500</v>
      </c>
      <c r="U24" s="169">
        <f t="shared" si="5"/>
        <v>688</v>
      </c>
      <c r="V24" s="169"/>
      <c r="W24" s="169"/>
      <c r="X24" s="169"/>
      <c r="Y24" s="169"/>
      <c r="Z24" s="170"/>
      <c r="AA24" s="169">
        <v>0</v>
      </c>
      <c r="AB24" s="169">
        <v>250</v>
      </c>
      <c r="AC24" s="172">
        <v>640</v>
      </c>
      <c r="AD24" s="169">
        <v>100</v>
      </c>
      <c r="AE24" s="169">
        <v>10</v>
      </c>
      <c r="AF24" s="169"/>
      <c r="AG24" s="169">
        <f t="shared" si="6"/>
        <v>23065</v>
      </c>
      <c r="AH24" s="169">
        <f t="shared" si="2"/>
        <v>102363</v>
      </c>
      <c r="AI24" s="173" t="s">
        <v>569</v>
      </c>
    </row>
    <row r="25" spans="1:54" s="167" customFormat="1" ht="68.25" customHeight="1" x14ac:dyDescent="0.25">
      <c r="B25" s="161">
        <v>15</v>
      </c>
      <c r="C25" s="161">
        <v>100012</v>
      </c>
      <c r="D25" s="175" t="s">
        <v>570</v>
      </c>
      <c r="E25" s="176" t="s">
        <v>571</v>
      </c>
      <c r="F25" s="166" t="s">
        <v>559</v>
      </c>
      <c r="G25" s="162" t="s">
        <v>572</v>
      </c>
      <c r="H25" s="169">
        <v>68770</v>
      </c>
      <c r="I25" s="169">
        <f t="shared" si="1"/>
        <v>6877</v>
      </c>
      <c r="J25" s="169">
        <f>ROUND((H25*50%),0)</f>
        <v>34385</v>
      </c>
      <c r="K25" s="169">
        <v>1500</v>
      </c>
      <c r="L25" s="169">
        <v>600</v>
      </c>
      <c r="M25" s="169">
        <f t="shared" si="3"/>
        <v>8596</v>
      </c>
      <c r="N25" s="169"/>
      <c r="O25" s="169"/>
      <c r="P25" s="169">
        <v>4300</v>
      </c>
      <c r="Q25" s="169">
        <v>500</v>
      </c>
      <c r="R25" s="170">
        <f t="shared" si="0"/>
        <v>125528</v>
      </c>
      <c r="S25" s="171">
        <f t="shared" si="4"/>
        <v>6877</v>
      </c>
      <c r="T25" s="169"/>
      <c r="U25" s="169">
        <f t="shared" si="5"/>
        <v>688</v>
      </c>
      <c r="V25" s="169"/>
      <c r="W25" s="169"/>
      <c r="X25" s="169"/>
      <c r="Y25" s="169">
        <v>0</v>
      </c>
      <c r="Z25" s="169">
        <v>0</v>
      </c>
      <c r="AA25" s="169">
        <v>0</v>
      </c>
      <c r="AB25" s="169"/>
      <c r="AC25" s="169">
        <v>389</v>
      </c>
      <c r="AD25" s="172">
        <v>100</v>
      </c>
      <c r="AE25" s="169">
        <v>10</v>
      </c>
      <c r="AF25" s="169"/>
      <c r="AG25" s="169">
        <f t="shared" si="6"/>
        <v>8064</v>
      </c>
      <c r="AH25" s="169">
        <f t="shared" si="2"/>
        <v>117464</v>
      </c>
      <c r="AI25" s="173"/>
    </row>
    <row r="26" spans="1:54" s="167" customFormat="1" ht="51.75" customHeight="1" x14ac:dyDescent="0.25">
      <c r="B26" s="161">
        <v>16</v>
      </c>
      <c r="C26" s="161">
        <v>100022</v>
      </c>
      <c r="D26" s="175" t="s">
        <v>573</v>
      </c>
      <c r="E26" s="176" t="s">
        <v>574</v>
      </c>
      <c r="F26" s="166" t="s">
        <v>559</v>
      </c>
      <c r="G26" s="162" t="s">
        <v>575</v>
      </c>
      <c r="H26" s="169">
        <v>66120</v>
      </c>
      <c r="I26" s="169">
        <f t="shared" si="1"/>
        <v>6612</v>
      </c>
      <c r="J26" s="169">
        <v>0</v>
      </c>
      <c r="K26" s="169">
        <v>1500</v>
      </c>
      <c r="L26" s="169">
        <f>600/30*26</f>
        <v>520</v>
      </c>
      <c r="M26" s="169">
        <f t="shared" si="3"/>
        <v>8265</v>
      </c>
      <c r="N26" s="169"/>
      <c r="O26" s="169"/>
      <c r="P26" s="169">
        <v>4300</v>
      </c>
      <c r="Q26" s="169">
        <v>1000</v>
      </c>
      <c r="R26" s="170">
        <f t="shared" si="0"/>
        <v>88317</v>
      </c>
      <c r="S26" s="171">
        <f t="shared" si="4"/>
        <v>6612</v>
      </c>
      <c r="T26" s="169"/>
      <c r="U26" s="169">
        <f t="shared" si="5"/>
        <v>661</v>
      </c>
      <c r="V26" s="169"/>
      <c r="W26" s="169"/>
      <c r="X26" s="169">
        <v>1080</v>
      </c>
      <c r="Y26" s="169">
        <v>120</v>
      </c>
      <c r="Z26" s="169">
        <v>30</v>
      </c>
      <c r="AA26" s="169">
        <v>6886</v>
      </c>
      <c r="AB26" s="169"/>
      <c r="AC26" s="169"/>
      <c r="AD26" s="172">
        <v>100</v>
      </c>
      <c r="AE26" s="169">
        <v>10</v>
      </c>
      <c r="AF26" s="169"/>
      <c r="AG26" s="169">
        <f t="shared" si="6"/>
        <v>15499</v>
      </c>
      <c r="AH26" s="169">
        <f t="shared" si="2"/>
        <v>72818</v>
      </c>
      <c r="AI26" s="173"/>
      <c r="AJ26" s="167" t="s">
        <v>576</v>
      </c>
    </row>
    <row r="27" spans="1:54" s="186" customFormat="1" ht="51" customHeight="1" x14ac:dyDescent="0.25">
      <c r="A27" s="167"/>
      <c r="B27" s="161">
        <v>17</v>
      </c>
      <c r="C27" s="161">
        <v>100039</v>
      </c>
      <c r="D27" s="184" t="s">
        <v>577</v>
      </c>
      <c r="E27" s="176" t="s">
        <v>578</v>
      </c>
      <c r="F27" s="166" t="s">
        <v>559</v>
      </c>
      <c r="G27" s="162" t="s">
        <v>579</v>
      </c>
      <c r="H27" s="169">
        <v>66120</v>
      </c>
      <c r="I27" s="169">
        <f t="shared" si="1"/>
        <v>6612</v>
      </c>
      <c r="J27" s="169">
        <v>0</v>
      </c>
      <c r="K27" s="169">
        <v>1500</v>
      </c>
      <c r="L27" s="169">
        <v>0</v>
      </c>
      <c r="M27" s="169"/>
      <c r="N27" s="169"/>
      <c r="O27" s="169"/>
      <c r="P27" s="169">
        <v>4300</v>
      </c>
      <c r="Q27" s="169">
        <v>500</v>
      </c>
      <c r="R27" s="170">
        <f t="shared" si="0"/>
        <v>79032</v>
      </c>
      <c r="S27" s="171">
        <f t="shared" si="4"/>
        <v>6612</v>
      </c>
      <c r="T27" s="169">
        <v>0</v>
      </c>
      <c r="U27" s="169">
        <f t="shared" si="5"/>
        <v>661</v>
      </c>
      <c r="V27" s="169"/>
      <c r="W27" s="169"/>
      <c r="X27" s="169">
        <v>1080</v>
      </c>
      <c r="Y27" s="169">
        <v>80</v>
      </c>
      <c r="Z27" s="169">
        <v>30</v>
      </c>
      <c r="AA27" s="178">
        <v>3202</v>
      </c>
      <c r="AB27" s="169">
        <v>0</v>
      </c>
      <c r="AC27" s="169">
        <v>1265</v>
      </c>
      <c r="AD27" s="172">
        <v>100</v>
      </c>
      <c r="AE27" s="169">
        <v>10</v>
      </c>
      <c r="AF27" s="169"/>
      <c r="AG27" s="169">
        <f t="shared" si="6"/>
        <v>13040</v>
      </c>
      <c r="AH27" s="169">
        <f t="shared" si="2"/>
        <v>65992</v>
      </c>
      <c r="AI27" s="185"/>
      <c r="AJ27" s="167"/>
      <c r="AK27" s="167"/>
      <c r="AL27" s="167"/>
      <c r="AM27" s="167"/>
      <c r="AN27" s="167"/>
      <c r="AO27" s="167"/>
      <c r="AP27" s="167"/>
      <c r="AQ27" s="167"/>
      <c r="AR27" s="167"/>
      <c r="AS27" s="167"/>
      <c r="AT27" s="167"/>
      <c r="AU27" s="167"/>
      <c r="AV27" s="167"/>
      <c r="AW27" s="167"/>
      <c r="AX27" s="167"/>
      <c r="AY27" s="167"/>
      <c r="AZ27" s="167"/>
      <c r="BA27" s="167"/>
      <c r="BB27" s="167"/>
    </row>
    <row r="28" spans="1:54" s="167" customFormat="1" ht="53.25" customHeight="1" x14ac:dyDescent="0.25">
      <c r="B28" s="161">
        <v>18</v>
      </c>
      <c r="C28" s="161">
        <v>100020</v>
      </c>
      <c r="D28" s="175" t="s">
        <v>580</v>
      </c>
      <c r="E28" s="176" t="s">
        <v>581</v>
      </c>
      <c r="F28" s="166" t="s">
        <v>517</v>
      </c>
      <c r="G28" s="162" t="s">
        <v>582</v>
      </c>
      <c r="H28" s="169">
        <v>74400</v>
      </c>
      <c r="I28" s="169">
        <f t="shared" si="1"/>
        <v>7440</v>
      </c>
      <c r="J28" s="169">
        <f>ROUND((H28*50%),0)</f>
        <v>37200</v>
      </c>
      <c r="K28" s="169">
        <v>1500</v>
      </c>
      <c r="L28" s="169"/>
      <c r="M28" s="169"/>
      <c r="N28" s="169"/>
      <c r="O28" s="169"/>
      <c r="P28" s="169">
        <v>4300</v>
      </c>
      <c r="Q28" s="169">
        <v>0</v>
      </c>
      <c r="R28" s="170">
        <f t="shared" si="0"/>
        <v>124840</v>
      </c>
      <c r="S28" s="171">
        <f t="shared" si="4"/>
        <v>7440</v>
      </c>
      <c r="T28" s="169">
        <v>0</v>
      </c>
      <c r="U28" s="169">
        <f t="shared" si="5"/>
        <v>744</v>
      </c>
      <c r="V28" s="169"/>
      <c r="W28" s="169"/>
      <c r="X28" s="169">
        <v>0</v>
      </c>
      <c r="Y28" s="169">
        <v>0</v>
      </c>
      <c r="Z28" s="169">
        <v>0</v>
      </c>
      <c r="AA28" s="169">
        <v>0</v>
      </c>
      <c r="AB28" s="169"/>
      <c r="AC28" s="169">
        <v>1527</v>
      </c>
      <c r="AD28" s="172">
        <v>100</v>
      </c>
      <c r="AE28" s="169">
        <v>10</v>
      </c>
      <c r="AF28" s="169"/>
      <c r="AG28" s="169">
        <f t="shared" si="6"/>
        <v>9821</v>
      </c>
      <c r="AH28" s="169">
        <f t="shared" si="2"/>
        <v>115019</v>
      </c>
      <c r="AI28" s="170"/>
    </row>
    <row r="29" spans="1:54" s="167" customFormat="1" ht="66" customHeight="1" x14ac:dyDescent="0.35">
      <c r="B29" s="161">
        <v>19</v>
      </c>
      <c r="C29" s="161">
        <v>100015</v>
      </c>
      <c r="D29" s="175" t="s">
        <v>583</v>
      </c>
      <c r="E29" s="176" t="s">
        <v>584</v>
      </c>
      <c r="F29" s="166" t="s">
        <v>517</v>
      </c>
      <c r="G29" s="162" t="s">
        <v>585</v>
      </c>
      <c r="H29" s="169">
        <v>74400</v>
      </c>
      <c r="I29" s="169">
        <f t="shared" si="1"/>
        <v>7440</v>
      </c>
      <c r="J29" s="169">
        <f>ROUND((H29*50%),0)</f>
        <v>37200</v>
      </c>
      <c r="K29" s="169">
        <v>1500</v>
      </c>
      <c r="L29" s="169">
        <v>600</v>
      </c>
      <c r="M29" s="169">
        <f>ROUND((H29*12.5%),0)</f>
        <v>9300</v>
      </c>
      <c r="N29" s="169"/>
      <c r="O29" s="169"/>
      <c r="P29" s="169">
        <v>4300</v>
      </c>
      <c r="Q29" s="169">
        <v>1000</v>
      </c>
      <c r="R29" s="170">
        <f t="shared" si="0"/>
        <v>135740</v>
      </c>
      <c r="S29" s="171">
        <f t="shared" si="4"/>
        <v>7440</v>
      </c>
      <c r="T29" s="169">
        <v>25000</v>
      </c>
      <c r="U29" s="169">
        <f t="shared" si="5"/>
        <v>744</v>
      </c>
      <c r="V29" s="169"/>
      <c r="W29" s="169"/>
      <c r="X29" s="169"/>
      <c r="Y29" s="169"/>
      <c r="Z29" s="169"/>
      <c r="AA29" s="169"/>
      <c r="AB29" s="169">
        <v>800</v>
      </c>
      <c r="AC29" s="172">
        <v>1527</v>
      </c>
      <c r="AD29" s="169">
        <v>100</v>
      </c>
      <c r="AE29" s="169">
        <v>10</v>
      </c>
      <c r="AF29" s="169"/>
      <c r="AG29" s="169">
        <f t="shared" si="6"/>
        <v>35621</v>
      </c>
      <c r="AH29" s="169">
        <f t="shared" si="2"/>
        <v>100119</v>
      </c>
      <c r="AI29" s="187" t="s">
        <v>586</v>
      </c>
    </row>
    <row r="30" spans="1:54" s="186" customFormat="1" ht="53.25" customHeight="1" x14ac:dyDescent="0.25">
      <c r="A30" s="167"/>
      <c r="B30" s="161">
        <v>20</v>
      </c>
      <c r="C30" s="161">
        <v>100026</v>
      </c>
      <c r="D30" s="175" t="s">
        <v>587</v>
      </c>
      <c r="E30" s="176" t="s">
        <v>588</v>
      </c>
      <c r="F30" s="166" t="s">
        <v>517</v>
      </c>
      <c r="G30" s="162" t="s">
        <v>589</v>
      </c>
      <c r="H30" s="169">
        <v>74400</v>
      </c>
      <c r="I30" s="169">
        <f t="shared" si="1"/>
        <v>7440</v>
      </c>
      <c r="J30" s="169">
        <f>ROUND((H30*50%),0)</f>
        <v>37200</v>
      </c>
      <c r="K30" s="169">
        <v>1500</v>
      </c>
      <c r="L30" s="169">
        <v>0</v>
      </c>
      <c r="M30" s="169"/>
      <c r="N30" s="169"/>
      <c r="O30" s="169"/>
      <c r="P30" s="169">
        <v>4300</v>
      </c>
      <c r="Q30" s="169">
        <v>1000</v>
      </c>
      <c r="R30" s="170">
        <f t="shared" si="0"/>
        <v>125840</v>
      </c>
      <c r="S30" s="171">
        <f t="shared" si="4"/>
        <v>7440</v>
      </c>
      <c r="T30" s="169">
        <v>19700</v>
      </c>
      <c r="U30" s="169">
        <f t="shared" si="5"/>
        <v>744</v>
      </c>
      <c r="V30" s="169"/>
      <c r="W30" s="169"/>
      <c r="X30" s="169">
        <v>0</v>
      </c>
      <c r="Y30" s="169">
        <v>0</v>
      </c>
      <c r="Z30" s="169">
        <v>0</v>
      </c>
      <c r="AA30" s="169">
        <v>0</v>
      </c>
      <c r="AB30" s="169">
        <v>250</v>
      </c>
      <c r="AC30" s="169">
        <v>1845</v>
      </c>
      <c r="AD30" s="172">
        <v>100</v>
      </c>
      <c r="AE30" s="169">
        <v>10</v>
      </c>
      <c r="AF30" s="169"/>
      <c r="AG30" s="169">
        <f t="shared" si="6"/>
        <v>30089</v>
      </c>
      <c r="AH30" s="169">
        <f t="shared" si="2"/>
        <v>95751</v>
      </c>
      <c r="AI30" s="188" t="s">
        <v>590</v>
      </c>
      <c r="AJ30" s="167"/>
      <c r="AK30" s="167"/>
      <c r="AL30" s="167"/>
      <c r="AM30" s="167"/>
      <c r="AN30" s="167"/>
      <c r="AO30" s="167"/>
      <c r="AP30" s="167"/>
      <c r="AQ30" s="167"/>
      <c r="AR30" s="167"/>
      <c r="AS30" s="167"/>
      <c r="AT30" s="167"/>
      <c r="AU30" s="167"/>
      <c r="AV30" s="167"/>
      <c r="AW30" s="167"/>
      <c r="AX30" s="167"/>
      <c r="AY30" s="167"/>
      <c r="AZ30" s="167"/>
      <c r="BA30" s="167"/>
      <c r="BB30" s="167"/>
    </row>
    <row r="31" spans="1:54" s="186" customFormat="1" ht="53.25" customHeight="1" x14ac:dyDescent="0.25">
      <c r="A31" s="167"/>
      <c r="B31" s="161">
        <v>21</v>
      </c>
      <c r="C31" s="161">
        <v>100027</v>
      </c>
      <c r="D31" s="175" t="s">
        <v>591</v>
      </c>
      <c r="E31" s="176" t="s">
        <v>592</v>
      </c>
      <c r="F31" s="166" t="s">
        <v>517</v>
      </c>
      <c r="G31" s="162" t="s">
        <v>593</v>
      </c>
      <c r="H31" s="169">
        <v>74400</v>
      </c>
      <c r="I31" s="169">
        <f t="shared" si="1"/>
        <v>7440</v>
      </c>
      <c r="J31" s="169"/>
      <c r="K31" s="169">
        <v>1500</v>
      </c>
      <c r="L31" s="169">
        <v>0</v>
      </c>
      <c r="M31" s="169">
        <f t="shared" ref="M31:M36" si="7">ROUND((H31*12.5%),0)</f>
        <v>9300</v>
      </c>
      <c r="N31" s="169"/>
      <c r="O31" s="169"/>
      <c r="P31" s="169">
        <v>4300</v>
      </c>
      <c r="Q31" s="169">
        <v>1000</v>
      </c>
      <c r="R31" s="170">
        <f t="shared" si="0"/>
        <v>97940</v>
      </c>
      <c r="S31" s="171">
        <f t="shared" si="4"/>
        <v>7440</v>
      </c>
      <c r="T31" s="169">
        <v>24000</v>
      </c>
      <c r="U31" s="169">
        <f t="shared" si="5"/>
        <v>744</v>
      </c>
      <c r="V31" s="169"/>
      <c r="W31" s="169"/>
      <c r="X31" s="169">
        <v>1080</v>
      </c>
      <c r="Y31" s="169">
        <v>120</v>
      </c>
      <c r="Z31" s="169">
        <v>30</v>
      </c>
      <c r="AA31" s="169">
        <v>492</v>
      </c>
      <c r="AB31" s="169"/>
      <c r="AC31" s="169">
        <v>1845</v>
      </c>
      <c r="AD31" s="172">
        <v>100</v>
      </c>
      <c r="AE31" s="169">
        <v>10</v>
      </c>
      <c r="AF31" s="169"/>
      <c r="AG31" s="169">
        <f t="shared" si="6"/>
        <v>35861</v>
      </c>
      <c r="AH31" s="169">
        <f t="shared" si="2"/>
        <v>62079</v>
      </c>
      <c r="AI31" s="173" t="s">
        <v>594</v>
      </c>
      <c r="AJ31" s="167"/>
      <c r="AK31" s="167"/>
      <c r="AL31" s="167"/>
      <c r="AM31" s="167"/>
      <c r="AN31" s="167"/>
      <c r="AO31" s="167"/>
      <c r="AP31" s="167"/>
      <c r="AQ31" s="167"/>
      <c r="AR31" s="167"/>
      <c r="AS31" s="167"/>
      <c r="AT31" s="167"/>
      <c r="AU31" s="167"/>
      <c r="AV31" s="167"/>
      <c r="AW31" s="167"/>
      <c r="AX31" s="167"/>
      <c r="AY31" s="167"/>
      <c r="AZ31" s="167"/>
      <c r="BA31" s="167"/>
      <c r="BB31" s="167"/>
    </row>
    <row r="32" spans="1:54" s="186" customFormat="1" ht="69.75" customHeight="1" x14ac:dyDescent="0.25">
      <c r="A32" s="167"/>
      <c r="B32" s="161">
        <v>22</v>
      </c>
      <c r="C32" s="161">
        <v>100041</v>
      </c>
      <c r="D32" s="175" t="s">
        <v>595</v>
      </c>
      <c r="E32" s="176" t="s">
        <v>596</v>
      </c>
      <c r="F32" s="166" t="s">
        <v>517</v>
      </c>
      <c r="G32" s="162" t="s">
        <v>597</v>
      </c>
      <c r="H32" s="169">
        <v>66120</v>
      </c>
      <c r="I32" s="169">
        <f t="shared" si="1"/>
        <v>6612</v>
      </c>
      <c r="J32" s="169">
        <f>ROUND((H32*50%),0)</f>
        <v>33060</v>
      </c>
      <c r="K32" s="169">
        <v>1500</v>
      </c>
      <c r="L32" s="169">
        <v>0</v>
      </c>
      <c r="M32" s="169">
        <f t="shared" si="7"/>
        <v>8265</v>
      </c>
      <c r="N32" s="169"/>
      <c r="O32" s="169"/>
      <c r="P32" s="169">
        <v>4300</v>
      </c>
      <c r="Q32" s="169">
        <v>1000</v>
      </c>
      <c r="R32" s="170">
        <f t="shared" si="0"/>
        <v>120857</v>
      </c>
      <c r="S32" s="171">
        <f t="shared" si="4"/>
        <v>6612</v>
      </c>
      <c r="T32" s="169">
        <v>0</v>
      </c>
      <c r="U32" s="169">
        <f t="shared" si="5"/>
        <v>661</v>
      </c>
      <c r="V32" s="169"/>
      <c r="W32" s="169"/>
      <c r="X32" s="169">
        <v>0</v>
      </c>
      <c r="Y32" s="169">
        <v>0</v>
      </c>
      <c r="Z32" s="169">
        <v>0</v>
      </c>
      <c r="AA32" s="169"/>
      <c r="AB32" s="169">
        <v>0</v>
      </c>
      <c r="AC32" s="169">
        <v>640</v>
      </c>
      <c r="AD32" s="172">
        <v>100</v>
      </c>
      <c r="AE32" s="169">
        <v>10</v>
      </c>
      <c r="AF32" s="169"/>
      <c r="AG32" s="169">
        <f t="shared" si="6"/>
        <v>8023</v>
      </c>
      <c r="AH32" s="169">
        <f t="shared" si="2"/>
        <v>112834</v>
      </c>
      <c r="AI32" s="173"/>
      <c r="AJ32" s="167"/>
      <c r="AK32" s="167"/>
      <c r="AL32" s="167"/>
      <c r="AM32" s="167"/>
      <c r="AN32" s="167"/>
      <c r="AO32" s="167"/>
      <c r="AP32" s="167"/>
      <c r="AQ32" s="167"/>
      <c r="AR32" s="167"/>
      <c r="AS32" s="167"/>
      <c r="AT32" s="167"/>
      <c r="AU32" s="167"/>
      <c r="AV32" s="167"/>
      <c r="AW32" s="167"/>
      <c r="AX32" s="167"/>
      <c r="AY32" s="167"/>
      <c r="AZ32" s="167"/>
      <c r="BA32" s="167"/>
      <c r="BB32" s="167"/>
    </row>
    <row r="33" spans="1:107" s="167" customFormat="1" ht="52.5" customHeight="1" x14ac:dyDescent="0.25">
      <c r="B33" s="161">
        <v>23</v>
      </c>
      <c r="C33" s="161">
        <v>100035</v>
      </c>
      <c r="D33" s="175" t="s">
        <v>598</v>
      </c>
      <c r="E33" s="176" t="s">
        <v>599</v>
      </c>
      <c r="F33" s="166" t="s">
        <v>517</v>
      </c>
      <c r="G33" s="189" t="s">
        <v>600</v>
      </c>
      <c r="H33" s="169">
        <v>66120</v>
      </c>
      <c r="I33" s="169">
        <f t="shared" si="1"/>
        <v>6612</v>
      </c>
      <c r="J33" s="169">
        <f>ROUND((H33*50%),0)</f>
        <v>33060</v>
      </c>
      <c r="K33" s="169">
        <v>1500</v>
      </c>
      <c r="L33" s="169">
        <v>600</v>
      </c>
      <c r="M33" s="169">
        <f t="shared" si="7"/>
        <v>8265</v>
      </c>
      <c r="N33" s="169"/>
      <c r="O33" s="169"/>
      <c r="P33" s="169">
        <v>4300</v>
      </c>
      <c r="Q33" s="169"/>
      <c r="R33" s="170">
        <f t="shared" si="0"/>
        <v>120457</v>
      </c>
      <c r="S33" s="171">
        <f t="shared" si="4"/>
        <v>6612</v>
      </c>
      <c r="T33" s="169"/>
      <c r="U33" s="169">
        <f t="shared" si="5"/>
        <v>661</v>
      </c>
      <c r="V33" s="169"/>
      <c r="W33" s="169"/>
      <c r="X33" s="169"/>
      <c r="Y33" s="169"/>
      <c r="Z33" s="169"/>
      <c r="AA33" s="169"/>
      <c r="AB33" s="169"/>
      <c r="AC33" s="169">
        <v>640</v>
      </c>
      <c r="AD33" s="172">
        <v>100</v>
      </c>
      <c r="AE33" s="169">
        <v>10</v>
      </c>
      <c r="AF33" s="169"/>
      <c r="AG33" s="169">
        <f t="shared" si="6"/>
        <v>8023</v>
      </c>
      <c r="AH33" s="169">
        <f t="shared" si="2"/>
        <v>112434</v>
      </c>
      <c r="AI33" s="179"/>
    </row>
    <row r="34" spans="1:107" s="186" customFormat="1" ht="69" customHeight="1" x14ac:dyDescent="0.25">
      <c r="A34" s="167"/>
      <c r="B34" s="161">
        <v>24</v>
      </c>
      <c r="C34" s="161">
        <v>100037</v>
      </c>
      <c r="D34" s="175" t="s">
        <v>601</v>
      </c>
      <c r="E34" s="176" t="s">
        <v>602</v>
      </c>
      <c r="F34" s="166" t="s">
        <v>517</v>
      </c>
      <c r="G34" s="162" t="s">
        <v>603</v>
      </c>
      <c r="H34" s="169">
        <v>66120</v>
      </c>
      <c r="I34" s="169">
        <f t="shared" si="1"/>
        <v>6612</v>
      </c>
      <c r="J34" s="169"/>
      <c r="K34" s="169">
        <v>1500</v>
      </c>
      <c r="L34" s="169">
        <v>0</v>
      </c>
      <c r="M34" s="169">
        <f t="shared" si="7"/>
        <v>8265</v>
      </c>
      <c r="N34" s="169"/>
      <c r="O34" s="169"/>
      <c r="P34" s="169">
        <v>4300</v>
      </c>
      <c r="Q34" s="169">
        <v>500</v>
      </c>
      <c r="R34" s="170">
        <f t="shared" si="0"/>
        <v>87297</v>
      </c>
      <c r="S34" s="171">
        <f t="shared" si="4"/>
        <v>6612</v>
      </c>
      <c r="T34" s="169">
        <v>0</v>
      </c>
      <c r="U34" s="169">
        <f t="shared" si="5"/>
        <v>661</v>
      </c>
      <c r="V34" s="169"/>
      <c r="W34" s="169"/>
      <c r="X34" s="169">
        <v>1080</v>
      </c>
      <c r="Y34" s="169">
        <v>80</v>
      </c>
      <c r="Z34" s="169">
        <v>20</v>
      </c>
      <c r="AA34" s="169">
        <v>117</v>
      </c>
      <c r="AB34" s="169">
        <v>0</v>
      </c>
      <c r="AC34" s="169">
        <v>1265</v>
      </c>
      <c r="AD34" s="172">
        <v>100</v>
      </c>
      <c r="AE34" s="169">
        <v>10</v>
      </c>
      <c r="AF34" s="169"/>
      <c r="AG34" s="169">
        <f t="shared" si="6"/>
        <v>9945</v>
      </c>
      <c r="AH34" s="169">
        <f t="shared" si="2"/>
        <v>77352</v>
      </c>
      <c r="AI34" s="185"/>
      <c r="AJ34" s="167"/>
      <c r="AK34" s="167"/>
      <c r="AL34" s="167"/>
      <c r="AM34" s="167"/>
      <c r="AN34" s="167"/>
      <c r="AO34" s="167"/>
      <c r="AP34" s="167"/>
      <c r="AQ34" s="167"/>
      <c r="AR34" s="167"/>
      <c r="AS34" s="167"/>
      <c r="AT34" s="167"/>
      <c r="AU34" s="167"/>
      <c r="AV34" s="167"/>
      <c r="AW34" s="167"/>
      <c r="AX34" s="167"/>
      <c r="AY34" s="167"/>
      <c r="AZ34" s="167"/>
      <c r="BA34" s="167"/>
      <c r="BB34" s="167"/>
    </row>
    <row r="35" spans="1:107" s="167" customFormat="1" ht="72.75" customHeight="1" x14ac:dyDescent="0.25">
      <c r="B35" s="161">
        <v>25</v>
      </c>
      <c r="C35" s="161">
        <v>100033</v>
      </c>
      <c r="D35" s="175" t="s">
        <v>604</v>
      </c>
      <c r="E35" s="176" t="s">
        <v>605</v>
      </c>
      <c r="F35" s="166" t="s">
        <v>517</v>
      </c>
      <c r="G35" s="162" t="s">
        <v>606</v>
      </c>
      <c r="H35" s="169">
        <v>66120</v>
      </c>
      <c r="I35" s="169">
        <f t="shared" si="1"/>
        <v>6612</v>
      </c>
      <c r="J35" s="169">
        <f>ROUND((H35*50%),0)</f>
        <v>33060</v>
      </c>
      <c r="K35" s="169">
        <v>1500</v>
      </c>
      <c r="L35" s="169">
        <v>0</v>
      </c>
      <c r="M35" s="169">
        <f t="shared" si="7"/>
        <v>8265</v>
      </c>
      <c r="N35" s="169"/>
      <c r="O35" s="169"/>
      <c r="P35" s="169">
        <v>4300</v>
      </c>
      <c r="Q35" s="169"/>
      <c r="R35" s="170">
        <f t="shared" si="0"/>
        <v>119857</v>
      </c>
      <c r="S35" s="171">
        <f t="shared" si="4"/>
        <v>6612</v>
      </c>
      <c r="T35" s="169"/>
      <c r="U35" s="169">
        <f t="shared" si="5"/>
        <v>661</v>
      </c>
      <c r="V35" s="169"/>
      <c r="W35" s="169"/>
      <c r="X35" s="169">
        <v>0</v>
      </c>
      <c r="Y35" s="169"/>
      <c r="Z35" s="169">
        <v>0</v>
      </c>
      <c r="AA35" s="169"/>
      <c r="AB35" s="190"/>
      <c r="AC35" s="178">
        <v>1549</v>
      </c>
      <c r="AD35" s="172">
        <v>100</v>
      </c>
      <c r="AE35" s="169">
        <v>10</v>
      </c>
      <c r="AF35" s="169"/>
      <c r="AG35" s="169">
        <f t="shared" si="6"/>
        <v>8932</v>
      </c>
      <c r="AH35" s="169">
        <f t="shared" si="2"/>
        <v>110925</v>
      </c>
      <c r="AI35" s="179"/>
    </row>
    <row r="36" spans="1:107" s="186" customFormat="1" ht="55.5" customHeight="1" x14ac:dyDescent="0.25">
      <c r="A36" s="167"/>
      <c r="B36" s="161">
        <v>26</v>
      </c>
      <c r="C36" s="161">
        <v>100013</v>
      </c>
      <c r="D36" s="191" t="s">
        <v>607</v>
      </c>
      <c r="E36" s="176" t="s">
        <v>608</v>
      </c>
      <c r="F36" s="166" t="s">
        <v>609</v>
      </c>
      <c r="G36" s="162" t="s">
        <v>610</v>
      </c>
      <c r="H36" s="169">
        <v>74400</v>
      </c>
      <c r="I36" s="169">
        <f t="shared" si="1"/>
        <v>7440</v>
      </c>
      <c r="J36" s="192"/>
      <c r="K36" s="169">
        <v>1500</v>
      </c>
      <c r="L36" s="169"/>
      <c r="M36" s="169">
        <f t="shared" si="7"/>
        <v>9300</v>
      </c>
      <c r="N36" s="169"/>
      <c r="O36" s="169"/>
      <c r="P36" s="169">
        <v>4300</v>
      </c>
      <c r="Q36" s="169"/>
      <c r="R36" s="170">
        <f t="shared" si="0"/>
        <v>96940</v>
      </c>
      <c r="S36" s="171">
        <f t="shared" si="4"/>
        <v>7440</v>
      </c>
      <c r="T36" s="169"/>
      <c r="U36" s="169">
        <f t="shared" si="5"/>
        <v>744</v>
      </c>
      <c r="V36" s="169"/>
      <c r="W36" s="169"/>
      <c r="X36" s="169">
        <v>1080</v>
      </c>
      <c r="Y36" s="169">
        <v>120</v>
      </c>
      <c r="Z36" s="169">
        <v>80</v>
      </c>
      <c r="AA36" s="193"/>
      <c r="AB36" s="169"/>
      <c r="AC36" s="169">
        <v>2152</v>
      </c>
      <c r="AD36" s="172">
        <v>100</v>
      </c>
      <c r="AE36" s="169">
        <v>10</v>
      </c>
      <c r="AF36" s="169"/>
      <c r="AG36" s="169">
        <f t="shared" si="6"/>
        <v>11726</v>
      </c>
      <c r="AH36" s="169">
        <f t="shared" si="2"/>
        <v>85214</v>
      </c>
      <c r="AI36" s="161"/>
      <c r="AJ36" s="167"/>
      <c r="AK36" s="167"/>
      <c r="AL36" s="167"/>
      <c r="AM36" s="167"/>
      <c r="AN36" s="167"/>
      <c r="AO36" s="167"/>
      <c r="AP36" s="167"/>
      <c r="AQ36" s="167"/>
      <c r="AR36" s="167"/>
      <c r="AS36" s="167"/>
      <c r="AT36" s="167"/>
      <c r="AU36" s="167"/>
      <c r="AV36" s="167"/>
      <c r="AW36" s="167"/>
      <c r="AX36" s="167"/>
      <c r="AY36" s="167"/>
      <c r="AZ36" s="167"/>
      <c r="BA36" s="167"/>
      <c r="BB36" s="167"/>
    </row>
    <row r="37" spans="1:107" s="194" customFormat="1" ht="58.5" customHeight="1" x14ac:dyDescent="0.25">
      <c r="B37" s="161">
        <v>27</v>
      </c>
      <c r="C37" s="161">
        <v>100031</v>
      </c>
      <c r="D37" s="191" t="s">
        <v>611</v>
      </c>
      <c r="E37" s="176" t="s">
        <v>612</v>
      </c>
      <c r="F37" s="166" t="s">
        <v>609</v>
      </c>
      <c r="G37" s="162" t="s">
        <v>613</v>
      </c>
      <c r="H37" s="178">
        <v>68770</v>
      </c>
      <c r="I37" s="169">
        <f t="shared" si="1"/>
        <v>6877</v>
      </c>
      <c r="J37" s="178">
        <v>0</v>
      </c>
      <c r="K37" s="178">
        <v>1500</v>
      </c>
      <c r="L37" s="178">
        <v>0</v>
      </c>
      <c r="M37" s="169">
        <f>ROUND((H37*12.5%/30*26),0)</f>
        <v>7450</v>
      </c>
      <c r="N37" s="178"/>
      <c r="O37" s="178"/>
      <c r="P37" s="169">
        <v>4300</v>
      </c>
      <c r="Q37" s="178">
        <v>1000</v>
      </c>
      <c r="R37" s="170">
        <f t="shared" si="0"/>
        <v>89897</v>
      </c>
      <c r="S37" s="195">
        <f t="shared" si="4"/>
        <v>6877</v>
      </c>
      <c r="T37" s="178">
        <v>0</v>
      </c>
      <c r="U37" s="178">
        <f t="shared" si="5"/>
        <v>688</v>
      </c>
      <c r="V37" s="178"/>
      <c r="W37" s="178"/>
      <c r="X37" s="178">
        <v>1080</v>
      </c>
      <c r="Y37" s="178">
        <v>80</v>
      </c>
      <c r="Z37" s="178">
        <v>30</v>
      </c>
      <c r="AA37" s="178">
        <v>5410</v>
      </c>
      <c r="AB37" s="178"/>
      <c r="AC37" s="169">
        <v>924</v>
      </c>
      <c r="AD37" s="196">
        <v>100</v>
      </c>
      <c r="AE37" s="178">
        <v>10</v>
      </c>
      <c r="AF37" s="169"/>
      <c r="AG37" s="169">
        <f t="shared" si="6"/>
        <v>15199</v>
      </c>
      <c r="AH37" s="169">
        <f t="shared" si="2"/>
        <v>74698</v>
      </c>
      <c r="AI37" s="197"/>
      <c r="AJ37" s="194" t="s">
        <v>614</v>
      </c>
    </row>
    <row r="38" spans="1:107" s="200" customFormat="1" ht="57" customHeight="1" x14ac:dyDescent="0.25">
      <c r="A38" s="167"/>
      <c r="B38" s="161">
        <v>28</v>
      </c>
      <c r="C38" s="161">
        <v>100043</v>
      </c>
      <c r="D38" s="175" t="s">
        <v>615</v>
      </c>
      <c r="E38" s="198" t="s">
        <v>616</v>
      </c>
      <c r="F38" s="166" t="s">
        <v>609</v>
      </c>
      <c r="G38" s="162" t="s">
        <v>617</v>
      </c>
      <c r="H38" s="169">
        <v>66120</v>
      </c>
      <c r="I38" s="169">
        <f>ROUND((H38*10%),0)</f>
        <v>6612</v>
      </c>
      <c r="J38" s="169"/>
      <c r="K38" s="169">
        <v>1500</v>
      </c>
      <c r="L38" s="169">
        <v>0</v>
      </c>
      <c r="M38" s="169"/>
      <c r="N38" s="169"/>
      <c r="O38" s="169"/>
      <c r="P38" s="169">
        <f>4300+4300</f>
        <v>8600</v>
      </c>
      <c r="Q38" s="169">
        <v>500</v>
      </c>
      <c r="R38" s="170">
        <f>SUM(H38:Q38)</f>
        <v>83332</v>
      </c>
      <c r="S38" s="171">
        <f t="shared" si="4"/>
        <v>6612</v>
      </c>
      <c r="T38" s="169">
        <v>11000</v>
      </c>
      <c r="U38" s="169">
        <f t="shared" si="5"/>
        <v>661</v>
      </c>
      <c r="V38" s="169"/>
      <c r="W38" s="169"/>
      <c r="X38" s="169">
        <v>1080</v>
      </c>
      <c r="Y38" s="169">
        <v>80</v>
      </c>
      <c r="Z38" s="169">
        <v>20</v>
      </c>
      <c r="AA38" s="169">
        <v>2192</v>
      </c>
      <c r="AB38" s="169">
        <v>0</v>
      </c>
      <c r="AC38" s="169">
        <v>1265</v>
      </c>
      <c r="AD38" s="172">
        <v>100</v>
      </c>
      <c r="AE38" s="169">
        <v>10</v>
      </c>
      <c r="AF38" s="169"/>
      <c r="AG38" s="169">
        <f t="shared" si="6"/>
        <v>23020</v>
      </c>
      <c r="AH38" s="169">
        <f t="shared" si="2"/>
        <v>60312</v>
      </c>
      <c r="AI38" s="199" t="s">
        <v>71</v>
      </c>
      <c r="AJ38" s="167" t="s">
        <v>618</v>
      </c>
      <c r="AK38" s="167"/>
      <c r="AL38" s="167"/>
      <c r="AM38" s="167"/>
      <c r="AN38" s="167"/>
      <c r="AO38" s="167"/>
      <c r="AP38" s="167"/>
      <c r="AQ38" s="167"/>
      <c r="AR38" s="167"/>
      <c r="AS38" s="167"/>
      <c r="AT38" s="167"/>
      <c r="AU38" s="167"/>
      <c r="AV38" s="167"/>
      <c r="AW38" s="167"/>
      <c r="AX38" s="167"/>
      <c r="AY38" s="167"/>
      <c r="AZ38" s="167"/>
      <c r="BA38" s="167"/>
      <c r="BB38" s="167"/>
      <c r="BC38" s="167"/>
      <c r="BD38" s="167"/>
      <c r="BE38" s="167"/>
      <c r="BF38" s="167"/>
      <c r="BG38" s="167"/>
      <c r="BH38" s="167"/>
      <c r="BI38" s="167"/>
      <c r="BJ38" s="167"/>
      <c r="BK38" s="167"/>
      <c r="BL38" s="167"/>
      <c r="BM38" s="167"/>
      <c r="BN38" s="167"/>
      <c r="BO38" s="167"/>
      <c r="BP38" s="167"/>
      <c r="BQ38" s="167"/>
      <c r="BR38" s="167"/>
      <c r="BS38" s="167"/>
      <c r="BT38" s="167"/>
      <c r="BU38" s="167"/>
      <c r="BV38" s="167"/>
      <c r="BW38" s="167"/>
      <c r="BX38" s="167"/>
      <c r="BY38" s="167"/>
      <c r="BZ38" s="167"/>
      <c r="CA38" s="167"/>
      <c r="CB38" s="167"/>
      <c r="CC38" s="167"/>
      <c r="CD38" s="167"/>
      <c r="CE38" s="167"/>
      <c r="CF38" s="167"/>
      <c r="CG38" s="167"/>
      <c r="CH38" s="167"/>
      <c r="CI38" s="167"/>
      <c r="CJ38" s="167"/>
      <c r="CK38" s="167"/>
      <c r="CL38" s="167"/>
      <c r="CM38" s="167"/>
      <c r="CN38" s="167"/>
      <c r="CO38" s="167"/>
      <c r="CP38" s="167"/>
      <c r="CQ38" s="167"/>
      <c r="CR38" s="167"/>
      <c r="CS38" s="167"/>
      <c r="CT38" s="167"/>
      <c r="CU38" s="167"/>
      <c r="CV38" s="167"/>
      <c r="CW38" s="167"/>
      <c r="CX38" s="167"/>
      <c r="CY38" s="167"/>
      <c r="CZ38" s="167"/>
      <c r="DA38" s="167"/>
      <c r="DB38" s="167"/>
      <c r="DC38" s="167"/>
    </row>
    <row r="39" spans="1:107" s="167" customFormat="1" ht="53.25" customHeight="1" x14ac:dyDescent="0.25">
      <c r="B39" s="161">
        <v>29</v>
      </c>
      <c r="C39" s="161">
        <v>100045</v>
      </c>
      <c r="D39" s="175" t="s">
        <v>619</v>
      </c>
      <c r="E39" s="176" t="s">
        <v>620</v>
      </c>
      <c r="F39" s="166" t="s">
        <v>609</v>
      </c>
      <c r="G39" s="189" t="s">
        <v>621</v>
      </c>
      <c r="H39" s="169">
        <v>61120</v>
      </c>
      <c r="I39" s="169">
        <f>ROUND((H39*10%),0)</f>
        <v>6112</v>
      </c>
      <c r="J39" s="169">
        <f>ROUND((H39*50%),0)</f>
        <v>30560</v>
      </c>
      <c r="K39" s="169">
        <v>1500</v>
      </c>
      <c r="L39" s="169"/>
      <c r="M39" s="169">
        <f>ROUND((H39*12.5%/30*26),0)</f>
        <v>6621</v>
      </c>
      <c r="N39" s="169"/>
      <c r="O39" s="169"/>
      <c r="P39" s="169">
        <v>4300</v>
      </c>
      <c r="Q39" s="169">
        <v>500</v>
      </c>
      <c r="R39" s="170">
        <f>SUM(H39:Q39)</f>
        <v>110713</v>
      </c>
      <c r="S39" s="171">
        <f t="shared" si="4"/>
        <v>6112</v>
      </c>
      <c r="T39" s="169"/>
      <c r="U39" s="169">
        <f t="shared" si="5"/>
        <v>611</v>
      </c>
      <c r="V39" s="169"/>
      <c r="W39" s="169"/>
      <c r="X39" s="169"/>
      <c r="Y39" s="169"/>
      <c r="Z39" s="169"/>
      <c r="AA39" s="169"/>
      <c r="AB39" s="169">
        <v>250</v>
      </c>
      <c r="AC39" s="169">
        <v>417</v>
      </c>
      <c r="AD39" s="172">
        <v>100</v>
      </c>
      <c r="AE39" s="169">
        <v>10</v>
      </c>
      <c r="AF39" s="169"/>
      <c r="AG39" s="169">
        <f t="shared" si="6"/>
        <v>7500</v>
      </c>
      <c r="AH39" s="169">
        <f t="shared" si="2"/>
        <v>103213</v>
      </c>
      <c r="AI39" s="188"/>
      <c r="AJ39" s="194" t="s">
        <v>614</v>
      </c>
      <c r="AK39" s="194"/>
      <c r="AL39" s="194"/>
    </row>
    <row r="40" spans="1:107" s="167" customFormat="1" ht="52.5" customHeight="1" x14ac:dyDescent="0.25">
      <c r="B40" s="161">
        <v>30</v>
      </c>
      <c r="C40" s="161">
        <v>100055</v>
      </c>
      <c r="D40" s="175" t="s">
        <v>622</v>
      </c>
      <c r="E40" s="176" t="s">
        <v>623</v>
      </c>
      <c r="F40" s="166" t="s">
        <v>609</v>
      </c>
      <c r="G40" s="201" t="s">
        <v>624</v>
      </c>
      <c r="H40" s="169">
        <v>61120</v>
      </c>
      <c r="I40" s="169">
        <f>ROUND((H40*10%),0)</f>
        <v>6112</v>
      </c>
      <c r="J40" s="169">
        <f>ROUND((H40*50%),0)</f>
        <v>30560</v>
      </c>
      <c r="K40" s="169">
        <v>1500</v>
      </c>
      <c r="L40" s="169"/>
      <c r="M40" s="169">
        <f>ROUND((H40*12.5%),0)</f>
        <v>7640</v>
      </c>
      <c r="N40" s="169"/>
      <c r="O40" s="169"/>
      <c r="P40" s="169">
        <v>4300</v>
      </c>
      <c r="Q40" s="169"/>
      <c r="R40" s="170">
        <f>SUM(H40:Q40)</f>
        <v>111232</v>
      </c>
      <c r="S40" s="171">
        <f t="shared" si="4"/>
        <v>6112</v>
      </c>
      <c r="T40" s="169"/>
      <c r="U40" s="169">
        <f t="shared" si="5"/>
        <v>611</v>
      </c>
      <c r="V40" s="169"/>
      <c r="W40" s="169"/>
      <c r="X40" s="169"/>
      <c r="Y40" s="169"/>
      <c r="Z40" s="169"/>
      <c r="AA40" s="169"/>
      <c r="AB40" s="169"/>
      <c r="AC40" s="169">
        <v>417</v>
      </c>
      <c r="AD40" s="172">
        <v>100</v>
      </c>
      <c r="AE40" s="169">
        <v>10</v>
      </c>
      <c r="AF40" s="169"/>
      <c r="AG40" s="169">
        <f t="shared" si="6"/>
        <v>7250</v>
      </c>
      <c r="AH40" s="169">
        <f t="shared" si="2"/>
        <v>103982</v>
      </c>
      <c r="AI40" s="173"/>
    </row>
    <row r="41" spans="1:107" s="167" customFormat="1" ht="54.75" customHeight="1" x14ac:dyDescent="0.25">
      <c r="B41" s="161">
        <v>31</v>
      </c>
      <c r="C41" s="161">
        <v>100105</v>
      </c>
      <c r="D41" s="175" t="s">
        <v>625</v>
      </c>
      <c r="E41" s="176" t="s">
        <v>626</v>
      </c>
      <c r="F41" s="166" t="s">
        <v>609</v>
      </c>
      <c r="G41" s="162" t="s">
        <v>627</v>
      </c>
      <c r="H41" s="169">
        <v>58760</v>
      </c>
      <c r="I41" s="169">
        <f>ROUND((H41*10%),0)</f>
        <v>5876</v>
      </c>
      <c r="J41" s="169">
        <f>ROUND((H41*50%),0)</f>
        <v>29380</v>
      </c>
      <c r="K41" s="169">
        <v>1500</v>
      </c>
      <c r="L41" s="169"/>
      <c r="M41" s="169"/>
      <c r="N41" s="169"/>
      <c r="O41" s="169"/>
      <c r="P41" s="169">
        <v>4300</v>
      </c>
      <c r="Q41" s="169">
        <v>1000</v>
      </c>
      <c r="R41" s="170">
        <f>SUM(H41:Q41)</f>
        <v>100816</v>
      </c>
      <c r="S41" s="171">
        <f t="shared" si="4"/>
        <v>5876</v>
      </c>
      <c r="T41" s="169"/>
      <c r="U41" s="169">
        <f t="shared" si="5"/>
        <v>588</v>
      </c>
      <c r="V41" s="169"/>
      <c r="W41" s="169"/>
      <c r="X41" s="169"/>
      <c r="Y41" s="169"/>
      <c r="Z41" s="169"/>
      <c r="AA41" s="169"/>
      <c r="AB41" s="169">
        <v>250</v>
      </c>
      <c r="AC41" s="169">
        <v>417</v>
      </c>
      <c r="AD41" s="172">
        <v>100</v>
      </c>
      <c r="AE41" s="169">
        <v>10</v>
      </c>
      <c r="AF41" s="169"/>
      <c r="AG41" s="169">
        <f t="shared" si="6"/>
        <v>7241</v>
      </c>
      <c r="AH41" s="169">
        <f t="shared" si="2"/>
        <v>93575</v>
      </c>
      <c r="AI41" s="170"/>
    </row>
    <row r="42" spans="1:107" s="167" customFormat="1" ht="24" customHeight="1" x14ac:dyDescent="0.25">
      <c r="B42" s="161"/>
      <c r="C42" s="161"/>
      <c r="D42" s="202" t="s">
        <v>609</v>
      </c>
      <c r="E42" s="160"/>
      <c r="F42" s="160"/>
      <c r="G42" s="203"/>
      <c r="H42" s="172"/>
      <c r="I42" s="169">
        <f t="shared" si="1"/>
        <v>0</v>
      </c>
      <c r="J42" s="169"/>
      <c r="K42" s="169"/>
      <c r="L42" s="169"/>
      <c r="M42" s="169"/>
      <c r="N42" s="169"/>
      <c r="O42" s="169"/>
      <c r="P42" s="169"/>
      <c r="Q42" s="169"/>
      <c r="R42" s="170">
        <f t="shared" si="0"/>
        <v>0</v>
      </c>
      <c r="S42" s="171"/>
      <c r="T42" s="169"/>
      <c r="U42" s="169"/>
      <c r="V42" s="169"/>
      <c r="W42" s="169"/>
      <c r="X42" s="169"/>
      <c r="Y42" s="169"/>
      <c r="Z42" s="169"/>
      <c r="AA42" s="169"/>
      <c r="AB42" s="169"/>
      <c r="AC42" s="169"/>
      <c r="AD42" s="172"/>
      <c r="AE42" s="169"/>
      <c r="AF42" s="169"/>
      <c r="AG42" s="169">
        <f t="shared" si="6"/>
        <v>0</v>
      </c>
      <c r="AH42" s="169">
        <f t="shared" si="2"/>
        <v>0</v>
      </c>
      <c r="AI42" s="170"/>
    </row>
    <row r="43" spans="1:107" s="167" customFormat="1" ht="63" customHeight="1" x14ac:dyDescent="0.25">
      <c r="B43" s="161">
        <v>32</v>
      </c>
      <c r="C43" s="161">
        <v>100014</v>
      </c>
      <c r="D43" s="175" t="s">
        <v>628</v>
      </c>
      <c r="E43" s="176" t="s">
        <v>629</v>
      </c>
      <c r="F43" s="166" t="s">
        <v>609</v>
      </c>
      <c r="G43" s="162" t="s">
        <v>630</v>
      </c>
      <c r="H43" s="169">
        <v>65820</v>
      </c>
      <c r="I43" s="169">
        <f t="shared" si="1"/>
        <v>6582</v>
      </c>
      <c r="J43" s="169">
        <f>ROUND((H43*50%),0)</f>
        <v>32910</v>
      </c>
      <c r="K43" s="169">
        <v>1500</v>
      </c>
      <c r="L43" s="169">
        <v>0</v>
      </c>
      <c r="M43" s="169" t="s">
        <v>318</v>
      </c>
      <c r="N43" s="169"/>
      <c r="O43" s="169"/>
      <c r="P43" s="169">
        <v>3000</v>
      </c>
      <c r="Q43" s="169">
        <v>0</v>
      </c>
      <c r="R43" s="170">
        <f t="shared" si="0"/>
        <v>109812</v>
      </c>
      <c r="S43" s="171">
        <f t="shared" ref="S43:S49" si="8">ROUND((H43*10%),0)</f>
        <v>6582</v>
      </c>
      <c r="T43" s="169">
        <v>0</v>
      </c>
      <c r="U43" s="169">
        <f t="shared" ref="U43:U49" si="9">ROUND((H43*1%),0)</f>
        <v>658</v>
      </c>
      <c r="V43" s="169"/>
      <c r="W43" s="169"/>
      <c r="X43" s="169">
        <v>0</v>
      </c>
      <c r="Y43" s="169">
        <v>0</v>
      </c>
      <c r="Z43" s="169">
        <v>0</v>
      </c>
      <c r="AA43" s="169">
        <v>0</v>
      </c>
      <c r="AB43" s="169">
        <v>0</v>
      </c>
      <c r="AC43" s="169">
        <v>1527</v>
      </c>
      <c r="AD43" s="172">
        <v>100</v>
      </c>
      <c r="AE43" s="169">
        <v>10</v>
      </c>
      <c r="AF43" s="169"/>
      <c r="AG43" s="169">
        <f t="shared" si="6"/>
        <v>8877</v>
      </c>
      <c r="AH43" s="169">
        <f t="shared" si="2"/>
        <v>100935</v>
      </c>
      <c r="AI43" s="170"/>
    </row>
    <row r="44" spans="1:107" s="167" customFormat="1" ht="52.5" customHeight="1" x14ac:dyDescent="0.25">
      <c r="B44" s="161">
        <v>33</v>
      </c>
      <c r="C44" s="161">
        <v>100095</v>
      </c>
      <c r="D44" s="175" t="s">
        <v>631</v>
      </c>
      <c r="E44" s="198" t="s">
        <v>632</v>
      </c>
      <c r="F44" s="166" t="s">
        <v>609</v>
      </c>
      <c r="G44" s="162" t="s">
        <v>633</v>
      </c>
      <c r="H44" s="169">
        <v>56250</v>
      </c>
      <c r="I44" s="169">
        <f t="shared" si="1"/>
        <v>5625</v>
      </c>
      <c r="J44" s="169">
        <f>ROUND((H44*50%),0)</f>
        <v>28125</v>
      </c>
      <c r="K44" s="169">
        <v>1500</v>
      </c>
      <c r="L44" s="169"/>
      <c r="M44" s="169"/>
      <c r="N44" s="169"/>
      <c r="O44" s="169"/>
      <c r="P44" s="169">
        <v>3000</v>
      </c>
      <c r="Q44" s="169">
        <v>500</v>
      </c>
      <c r="R44" s="170">
        <f t="shared" si="0"/>
        <v>95000</v>
      </c>
      <c r="S44" s="171">
        <f t="shared" si="8"/>
        <v>5625</v>
      </c>
      <c r="T44" s="169"/>
      <c r="U44" s="169">
        <f t="shared" si="9"/>
        <v>563</v>
      </c>
      <c r="V44" s="169"/>
      <c r="W44" s="169"/>
      <c r="X44" s="169"/>
      <c r="Y44" s="169"/>
      <c r="Z44" s="169"/>
      <c r="AA44" s="169"/>
      <c r="AB44" s="169">
        <v>250</v>
      </c>
      <c r="AC44" s="169">
        <v>992</v>
      </c>
      <c r="AD44" s="172">
        <v>100</v>
      </c>
      <c r="AE44" s="169">
        <v>10</v>
      </c>
      <c r="AF44" s="169"/>
      <c r="AG44" s="169">
        <f t="shared" si="6"/>
        <v>7540</v>
      </c>
      <c r="AH44" s="169">
        <f>R44-AG44</f>
        <v>87460</v>
      </c>
      <c r="AI44" s="199"/>
    </row>
    <row r="45" spans="1:107" s="186" customFormat="1" ht="51.75" customHeight="1" x14ac:dyDescent="0.25">
      <c r="A45" s="167"/>
      <c r="B45" s="161">
        <v>34</v>
      </c>
      <c r="C45" s="161">
        <v>100032</v>
      </c>
      <c r="D45" s="175" t="s">
        <v>634</v>
      </c>
      <c r="E45" s="176" t="s">
        <v>635</v>
      </c>
      <c r="F45" s="166" t="s">
        <v>609</v>
      </c>
      <c r="G45" s="162" t="s">
        <v>636</v>
      </c>
      <c r="H45" s="169">
        <v>65820</v>
      </c>
      <c r="I45" s="169">
        <f t="shared" si="1"/>
        <v>6582</v>
      </c>
      <c r="J45" s="169">
        <f>ROUND((H45*50%),0)</f>
        <v>32910</v>
      </c>
      <c r="K45" s="169">
        <v>1500</v>
      </c>
      <c r="L45" s="169">
        <v>0</v>
      </c>
      <c r="M45" s="169"/>
      <c r="N45" s="169"/>
      <c r="O45" s="169"/>
      <c r="P45" s="169">
        <v>3000</v>
      </c>
      <c r="Q45" s="169">
        <v>500</v>
      </c>
      <c r="R45" s="170">
        <f t="shared" si="0"/>
        <v>110312</v>
      </c>
      <c r="S45" s="171">
        <f t="shared" si="8"/>
        <v>6582</v>
      </c>
      <c r="T45" s="169">
        <v>9000</v>
      </c>
      <c r="U45" s="169">
        <f t="shared" si="9"/>
        <v>658</v>
      </c>
      <c r="V45" s="169"/>
      <c r="W45" s="169"/>
      <c r="X45" s="169"/>
      <c r="Y45" s="169"/>
      <c r="Z45" s="169"/>
      <c r="AA45" s="169"/>
      <c r="AB45" s="178"/>
      <c r="AC45" s="169">
        <v>992</v>
      </c>
      <c r="AD45" s="172">
        <v>100</v>
      </c>
      <c r="AE45" s="169">
        <v>10</v>
      </c>
      <c r="AF45" s="169"/>
      <c r="AG45" s="169">
        <f t="shared" si="6"/>
        <v>17342</v>
      </c>
      <c r="AH45" s="169">
        <f>R45-AG45</f>
        <v>92970</v>
      </c>
      <c r="AI45" s="199" t="s">
        <v>71</v>
      </c>
      <c r="AJ45" s="167"/>
      <c r="AK45" s="167"/>
      <c r="AL45" s="167"/>
      <c r="AM45" s="167"/>
      <c r="AN45" s="167"/>
      <c r="AO45" s="167"/>
      <c r="AP45" s="167"/>
      <c r="AQ45" s="167"/>
      <c r="AR45" s="167"/>
      <c r="AS45" s="167"/>
      <c r="AT45" s="167"/>
      <c r="AU45" s="167"/>
      <c r="AV45" s="167"/>
      <c r="AW45" s="167"/>
      <c r="AX45" s="167"/>
      <c r="AY45" s="167"/>
      <c r="AZ45" s="167"/>
      <c r="BA45" s="167"/>
      <c r="BB45" s="167"/>
    </row>
    <row r="46" spans="1:107" s="167" customFormat="1" ht="52.5" customHeight="1" x14ac:dyDescent="0.25">
      <c r="B46" s="161">
        <v>35</v>
      </c>
      <c r="C46" s="161">
        <v>100034</v>
      </c>
      <c r="D46" s="175" t="s">
        <v>637</v>
      </c>
      <c r="E46" s="160" t="s">
        <v>638</v>
      </c>
      <c r="F46" s="166" t="s">
        <v>609</v>
      </c>
      <c r="G46" s="162" t="s">
        <v>639</v>
      </c>
      <c r="H46" s="169">
        <v>63280</v>
      </c>
      <c r="I46" s="169">
        <f t="shared" si="1"/>
        <v>6328</v>
      </c>
      <c r="J46" s="169">
        <f>ROUND((H46*50%),0)</f>
        <v>31640</v>
      </c>
      <c r="K46" s="169">
        <v>1500</v>
      </c>
      <c r="L46" s="169"/>
      <c r="M46" s="169"/>
      <c r="N46" s="169"/>
      <c r="O46" s="169"/>
      <c r="P46" s="169">
        <v>3000</v>
      </c>
      <c r="Q46" s="169">
        <v>1000</v>
      </c>
      <c r="R46" s="170">
        <f t="shared" si="0"/>
        <v>106748</v>
      </c>
      <c r="S46" s="171">
        <f t="shared" si="8"/>
        <v>6328</v>
      </c>
      <c r="T46" s="169">
        <v>10625</v>
      </c>
      <c r="U46" s="169">
        <f t="shared" si="9"/>
        <v>633</v>
      </c>
      <c r="V46" s="169"/>
      <c r="W46" s="169"/>
      <c r="X46" s="169">
        <v>0</v>
      </c>
      <c r="Y46" s="169"/>
      <c r="Z46" s="169">
        <v>0</v>
      </c>
      <c r="AA46" s="169"/>
      <c r="AB46" s="178"/>
      <c r="AC46" s="178">
        <v>992</v>
      </c>
      <c r="AD46" s="172">
        <v>100</v>
      </c>
      <c r="AE46" s="169">
        <v>10</v>
      </c>
      <c r="AF46" s="169"/>
      <c r="AG46" s="169">
        <f t="shared" si="6"/>
        <v>18688</v>
      </c>
      <c r="AH46" s="169">
        <f>R46-AG46</f>
        <v>88060</v>
      </c>
      <c r="AI46" s="199" t="s">
        <v>640</v>
      </c>
    </row>
    <row r="47" spans="1:107" s="167" customFormat="1" ht="71.25" customHeight="1" x14ac:dyDescent="0.25">
      <c r="B47" s="161">
        <v>36</v>
      </c>
      <c r="C47" s="161">
        <v>100029</v>
      </c>
      <c r="D47" s="175" t="s">
        <v>641</v>
      </c>
      <c r="E47" s="176" t="s">
        <v>642</v>
      </c>
      <c r="F47" s="166" t="s">
        <v>609</v>
      </c>
      <c r="G47" s="162" t="s">
        <v>643</v>
      </c>
      <c r="H47" s="169">
        <v>71200</v>
      </c>
      <c r="I47" s="169">
        <f t="shared" si="1"/>
        <v>7120</v>
      </c>
      <c r="J47" s="169">
        <v>0</v>
      </c>
      <c r="K47" s="169">
        <v>1500</v>
      </c>
      <c r="L47" s="169">
        <v>0</v>
      </c>
      <c r="M47" s="169">
        <f>ROUND((H47*12.5%),0)</f>
        <v>8900</v>
      </c>
      <c r="N47" s="169"/>
      <c r="O47" s="169"/>
      <c r="P47" s="169">
        <v>3000</v>
      </c>
      <c r="Q47" s="169">
        <v>500</v>
      </c>
      <c r="R47" s="170">
        <f t="shared" si="0"/>
        <v>92220</v>
      </c>
      <c r="S47" s="171">
        <f t="shared" si="8"/>
        <v>7120</v>
      </c>
      <c r="T47" s="169">
        <v>0</v>
      </c>
      <c r="U47" s="169">
        <f t="shared" si="9"/>
        <v>712</v>
      </c>
      <c r="V47" s="169"/>
      <c r="W47" s="169"/>
      <c r="X47" s="169">
        <v>1080</v>
      </c>
      <c r="Y47" s="169">
        <v>80</v>
      </c>
      <c r="Z47" s="169">
        <v>30</v>
      </c>
      <c r="AA47" s="169">
        <v>1773</v>
      </c>
      <c r="AB47" s="169"/>
      <c r="AC47" s="169">
        <v>775</v>
      </c>
      <c r="AD47" s="172">
        <v>100</v>
      </c>
      <c r="AE47" s="169">
        <v>10</v>
      </c>
      <c r="AF47" s="169"/>
      <c r="AG47" s="169">
        <f t="shared" si="6"/>
        <v>11680</v>
      </c>
      <c r="AH47" s="169">
        <f>R47-AG47</f>
        <v>80540</v>
      </c>
      <c r="AI47" s="170" t="s">
        <v>318</v>
      </c>
    </row>
    <row r="48" spans="1:107" s="167" customFormat="1" ht="64.5" customHeight="1" x14ac:dyDescent="0.25">
      <c r="B48" s="161">
        <v>37</v>
      </c>
      <c r="C48" s="161">
        <v>100021</v>
      </c>
      <c r="D48" s="175" t="s">
        <v>644</v>
      </c>
      <c r="E48" s="176" t="s">
        <v>645</v>
      </c>
      <c r="F48" s="166" t="s">
        <v>609</v>
      </c>
      <c r="G48" s="162" t="s">
        <v>646</v>
      </c>
      <c r="H48" s="169">
        <v>71200</v>
      </c>
      <c r="I48" s="169">
        <f t="shared" si="1"/>
        <v>7120</v>
      </c>
      <c r="J48" s="169">
        <f t="shared" ref="J48:J55" si="10">ROUND((H48*50%),0)</f>
        <v>35600</v>
      </c>
      <c r="K48" s="169">
        <v>1500</v>
      </c>
      <c r="L48" s="169">
        <v>0</v>
      </c>
      <c r="M48" s="169">
        <f>ROUND((H48*12.5%),0)</f>
        <v>8900</v>
      </c>
      <c r="N48" s="169"/>
      <c r="O48" s="169"/>
      <c r="P48" s="169">
        <v>3000</v>
      </c>
      <c r="Q48" s="169">
        <v>500</v>
      </c>
      <c r="R48" s="170">
        <f t="shared" si="0"/>
        <v>127820</v>
      </c>
      <c r="S48" s="171">
        <f t="shared" si="8"/>
        <v>7120</v>
      </c>
      <c r="T48" s="169">
        <v>10000</v>
      </c>
      <c r="U48" s="169">
        <f t="shared" si="9"/>
        <v>712</v>
      </c>
      <c r="V48" s="169"/>
      <c r="W48" s="169"/>
      <c r="X48" s="169">
        <v>0</v>
      </c>
      <c r="Y48" s="169">
        <v>0</v>
      </c>
      <c r="Z48" s="169">
        <v>0</v>
      </c>
      <c r="AA48" s="169"/>
      <c r="AB48" s="169">
        <v>250</v>
      </c>
      <c r="AC48" s="169">
        <v>1762</v>
      </c>
      <c r="AD48" s="172">
        <v>100</v>
      </c>
      <c r="AE48" s="169">
        <v>10</v>
      </c>
      <c r="AF48" s="169"/>
      <c r="AG48" s="169">
        <f t="shared" si="6"/>
        <v>19954</v>
      </c>
      <c r="AH48" s="169">
        <f t="shared" ref="AH48:AH55" si="11">R48-AG48</f>
        <v>107866</v>
      </c>
      <c r="AI48" s="179" t="s">
        <v>647</v>
      </c>
    </row>
    <row r="49" spans="2:54" s="167" customFormat="1" ht="51.75" customHeight="1" x14ac:dyDescent="0.25">
      <c r="B49" s="161">
        <v>38</v>
      </c>
      <c r="C49" s="161">
        <v>100088</v>
      </c>
      <c r="D49" s="175" t="s">
        <v>648</v>
      </c>
      <c r="E49" s="198" t="s">
        <v>649</v>
      </c>
      <c r="F49" s="166" t="s">
        <v>609</v>
      </c>
      <c r="G49" s="204" t="s">
        <v>650</v>
      </c>
      <c r="H49" s="169">
        <v>56250</v>
      </c>
      <c r="I49" s="169">
        <f t="shared" si="1"/>
        <v>5625</v>
      </c>
      <c r="J49" s="169">
        <f t="shared" si="10"/>
        <v>28125</v>
      </c>
      <c r="K49" s="169">
        <v>1500</v>
      </c>
      <c r="L49" s="169"/>
      <c r="M49" s="169"/>
      <c r="N49" s="169"/>
      <c r="O49" s="169"/>
      <c r="P49" s="169">
        <v>3000</v>
      </c>
      <c r="Q49" s="169"/>
      <c r="R49" s="170">
        <f t="shared" si="0"/>
        <v>94500</v>
      </c>
      <c r="S49" s="171">
        <f t="shared" si="8"/>
        <v>5625</v>
      </c>
      <c r="T49" s="169"/>
      <c r="U49" s="169">
        <f t="shared" si="9"/>
        <v>563</v>
      </c>
      <c r="V49" s="169"/>
      <c r="W49" s="169"/>
      <c r="X49" s="169"/>
      <c r="Y49" s="169"/>
      <c r="Z49" s="169"/>
      <c r="AA49" s="169"/>
      <c r="AB49" s="169"/>
      <c r="AC49" s="169"/>
      <c r="AD49" s="205">
        <v>100</v>
      </c>
      <c r="AE49" s="206">
        <v>10</v>
      </c>
      <c r="AF49" s="169"/>
      <c r="AG49" s="169">
        <f t="shared" si="6"/>
        <v>6298</v>
      </c>
      <c r="AH49" s="169">
        <f t="shared" si="11"/>
        <v>88202</v>
      </c>
      <c r="AI49" s="173"/>
    </row>
    <row r="50" spans="2:54" s="167" customFormat="1" ht="52.5" customHeight="1" x14ac:dyDescent="0.25">
      <c r="B50" s="161">
        <v>39</v>
      </c>
      <c r="C50" s="161">
        <v>100076</v>
      </c>
      <c r="D50" s="207" t="s">
        <v>651</v>
      </c>
      <c r="E50" s="198" t="s">
        <v>652</v>
      </c>
      <c r="F50" s="166" t="s">
        <v>653</v>
      </c>
      <c r="G50" s="204" t="s">
        <v>654</v>
      </c>
      <c r="H50" s="169">
        <v>58500</v>
      </c>
      <c r="I50" s="169">
        <f t="shared" si="1"/>
        <v>5850</v>
      </c>
      <c r="J50" s="169">
        <f t="shared" si="10"/>
        <v>29250</v>
      </c>
      <c r="K50" s="169">
        <v>1500</v>
      </c>
      <c r="L50" s="169"/>
      <c r="M50" s="169"/>
      <c r="N50" s="169"/>
      <c r="O50" s="169"/>
      <c r="P50" s="169">
        <v>3000</v>
      </c>
      <c r="Q50" s="169"/>
      <c r="R50" s="170">
        <f t="shared" si="0"/>
        <v>98100</v>
      </c>
      <c r="S50" s="171">
        <f>ROUND((H50*10%),0)</f>
        <v>5850</v>
      </c>
      <c r="T50" s="169"/>
      <c r="U50" s="169">
        <f>ROUND((H50*1%),0)</f>
        <v>585</v>
      </c>
      <c r="V50" s="169"/>
      <c r="W50" s="169"/>
      <c r="X50" s="169"/>
      <c r="Y50" s="169"/>
      <c r="Z50" s="169"/>
      <c r="AA50" s="169"/>
      <c r="AB50" s="169"/>
      <c r="AC50" s="169">
        <v>417</v>
      </c>
      <c r="AD50" s="172">
        <v>100</v>
      </c>
      <c r="AE50" s="169">
        <v>10</v>
      </c>
      <c r="AF50" s="169"/>
      <c r="AG50" s="169">
        <f t="shared" si="6"/>
        <v>6962</v>
      </c>
      <c r="AH50" s="169">
        <f t="shared" si="11"/>
        <v>91138</v>
      </c>
      <c r="AI50" s="179"/>
    </row>
    <row r="51" spans="2:54" s="167" customFormat="1" ht="54" customHeight="1" x14ac:dyDescent="0.25">
      <c r="B51" s="161">
        <v>40</v>
      </c>
      <c r="C51" s="161">
        <v>100082</v>
      </c>
      <c r="D51" s="175" t="s">
        <v>655</v>
      </c>
      <c r="E51" s="198" t="s">
        <v>656</v>
      </c>
      <c r="F51" s="166" t="s">
        <v>657</v>
      </c>
      <c r="G51" s="162" t="s">
        <v>658</v>
      </c>
      <c r="H51" s="169">
        <v>60840</v>
      </c>
      <c r="I51" s="169">
        <f t="shared" si="1"/>
        <v>6084</v>
      </c>
      <c r="J51" s="169">
        <f t="shared" si="10"/>
        <v>30420</v>
      </c>
      <c r="K51" s="169">
        <v>1500</v>
      </c>
      <c r="L51" s="169"/>
      <c r="M51" s="169"/>
      <c r="N51" s="169"/>
      <c r="O51" s="169"/>
      <c r="P51" s="169">
        <v>3000</v>
      </c>
      <c r="Q51" s="169"/>
      <c r="R51" s="170">
        <f t="shared" si="0"/>
        <v>101844</v>
      </c>
      <c r="S51" s="171">
        <f>ROUND((H51*10%),0)</f>
        <v>6084</v>
      </c>
      <c r="T51" s="169"/>
      <c r="U51" s="169">
        <f>ROUND((H51*1%),0)</f>
        <v>608</v>
      </c>
      <c r="V51" s="169"/>
      <c r="W51" s="169"/>
      <c r="X51" s="169"/>
      <c r="Y51" s="169"/>
      <c r="Z51" s="169"/>
      <c r="AA51" s="169"/>
      <c r="AB51" s="169"/>
      <c r="AC51" s="169">
        <v>554</v>
      </c>
      <c r="AD51" s="172">
        <v>100</v>
      </c>
      <c r="AE51" s="169">
        <v>10</v>
      </c>
      <c r="AF51" s="169"/>
      <c r="AG51" s="169">
        <f t="shared" si="6"/>
        <v>7356</v>
      </c>
      <c r="AH51" s="169">
        <f t="shared" si="11"/>
        <v>94488</v>
      </c>
      <c r="AI51" s="170"/>
    </row>
    <row r="52" spans="2:54" s="167" customFormat="1" ht="56.25" customHeight="1" x14ac:dyDescent="0.25">
      <c r="B52" s="161">
        <v>41</v>
      </c>
      <c r="C52" s="208">
        <v>100134</v>
      </c>
      <c r="D52" s="175" t="s">
        <v>659</v>
      </c>
      <c r="E52" s="209" t="s">
        <v>660</v>
      </c>
      <c r="F52" s="166" t="s">
        <v>657</v>
      </c>
      <c r="G52" s="162" t="s">
        <v>661</v>
      </c>
      <c r="H52" s="169">
        <v>58500</v>
      </c>
      <c r="I52" s="169">
        <f t="shared" si="1"/>
        <v>5850</v>
      </c>
      <c r="J52" s="169">
        <f t="shared" si="10"/>
        <v>29250</v>
      </c>
      <c r="K52" s="169">
        <v>1500</v>
      </c>
      <c r="L52" s="169"/>
      <c r="M52" s="169"/>
      <c r="N52" s="169"/>
      <c r="O52" s="169"/>
      <c r="P52" s="169">
        <v>3000</v>
      </c>
      <c r="Q52" s="169">
        <v>1000</v>
      </c>
      <c r="R52" s="170">
        <f t="shared" si="0"/>
        <v>99100</v>
      </c>
      <c r="S52" s="171">
        <f>ROUND((H52*10%),0)</f>
        <v>5850</v>
      </c>
      <c r="T52" s="169"/>
      <c r="U52" s="169">
        <f>ROUND((H52*1%),0)</f>
        <v>585</v>
      </c>
      <c r="V52" s="169"/>
      <c r="W52" s="169"/>
      <c r="X52" s="169"/>
      <c r="Y52" s="169"/>
      <c r="Z52" s="169"/>
      <c r="AA52" s="169" t="s">
        <v>318</v>
      </c>
      <c r="AB52" s="169"/>
      <c r="AC52" s="169">
        <v>417</v>
      </c>
      <c r="AD52" s="172">
        <v>100</v>
      </c>
      <c r="AE52" s="169">
        <v>10</v>
      </c>
      <c r="AF52" s="169"/>
      <c r="AG52" s="169">
        <f t="shared" si="6"/>
        <v>6962</v>
      </c>
      <c r="AH52" s="169">
        <f t="shared" si="11"/>
        <v>92138</v>
      </c>
      <c r="AI52" s="170"/>
    </row>
    <row r="53" spans="2:54" s="167" customFormat="1" ht="69.75" customHeight="1" x14ac:dyDescent="0.25">
      <c r="B53" s="161">
        <v>42</v>
      </c>
      <c r="C53" s="161">
        <v>100090</v>
      </c>
      <c r="D53" s="175" t="s">
        <v>662</v>
      </c>
      <c r="E53" s="198" t="s">
        <v>663</v>
      </c>
      <c r="F53" s="166" t="s">
        <v>653</v>
      </c>
      <c r="G53" s="204" t="s">
        <v>664</v>
      </c>
      <c r="H53" s="169">
        <v>56250</v>
      </c>
      <c r="I53" s="169">
        <f t="shared" si="1"/>
        <v>5625</v>
      </c>
      <c r="J53" s="169">
        <f t="shared" si="10"/>
        <v>28125</v>
      </c>
      <c r="K53" s="169">
        <v>1500</v>
      </c>
      <c r="L53" s="169"/>
      <c r="M53" s="169"/>
      <c r="N53" s="169"/>
      <c r="O53" s="169"/>
      <c r="P53" s="169">
        <v>3000</v>
      </c>
      <c r="Q53" s="169">
        <v>1000</v>
      </c>
      <c r="R53" s="170">
        <f t="shared" si="0"/>
        <v>95500</v>
      </c>
      <c r="S53" s="171">
        <f>ROUND((H53*10%),0)</f>
        <v>5625</v>
      </c>
      <c r="T53" s="169"/>
      <c r="U53" s="169">
        <f>ROUND((H53*1%),0)</f>
        <v>563</v>
      </c>
      <c r="V53" s="169"/>
      <c r="W53" s="169"/>
      <c r="X53" s="169"/>
      <c r="Y53" s="169"/>
      <c r="Z53" s="169"/>
      <c r="AA53" s="169"/>
      <c r="AB53" s="169"/>
      <c r="AC53" s="169">
        <v>417</v>
      </c>
      <c r="AD53" s="205">
        <v>100</v>
      </c>
      <c r="AE53" s="206">
        <v>10</v>
      </c>
      <c r="AF53" s="169"/>
      <c r="AG53" s="169">
        <f t="shared" si="6"/>
        <v>6715</v>
      </c>
      <c r="AH53" s="169">
        <f t="shared" si="11"/>
        <v>88785</v>
      </c>
      <c r="AI53" s="179"/>
    </row>
    <row r="54" spans="2:54" s="167" customFormat="1" ht="19.5" customHeight="1" x14ac:dyDescent="0.25">
      <c r="B54" s="484" t="s">
        <v>665</v>
      </c>
      <c r="C54" s="484"/>
      <c r="D54" s="484"/>
      <c r="E54" s="210"/>
      <c r="F54" s="166"/>
      <c r="G54" s="162"/>
      <c r="H54" s="169"/>
      <c r="I54" s="169">
        <f t="shared" si="1"/>
        <v>0</v>
      </c>
      <c r="J54" s="169">
        <f t="shared" si="10"/>
        <v>0</v>
      </c>
      <c r="K54" s="169"/>
      <c r="L54" s="211"/>
      <c r="M54" s="169"/>
      <c r="N54" s="169"/>
      <c r="O54" s="169"/>
      <c r="P54" s="169"/>
      <c r="Q54" s="169"/>
      <c r="R54" s="170">
        <f t="shared" si="0"/>
        <v>0</v>
      </c>
      <c r="S54" s="171"/>
      <c r="T54" s="169"/>
      <c r="U54" s="169"/>
      <c r="V54" s="169"/>
      <c r="W54" s="169"/>
      <c r="X54" s="169"/>
      <c r="Y54" s="169"/>
      <c r="Z54" s="169"/>
      <c r="AA54" s="169"/>
      <c r="AB54" s="169"/>
      <c r="AC54" s="172"/>
      <c r="AD54" s="169"/>
      <c r="AE54" s="169"/>
      <c r="AF54" s="169"/>
      <c r="AG54" s="169">
        <f t="shared" si="6"/>
        <v>0</v>
      </c>
      <c r="AH54" s="169">
        <f t="shared" si="11"/>
        <v>0</v>
      </c>
      <c r="AI54" s="161"/>
    </row>
    <row r="55" spans="2:54" s="186" customFormat="1" ht="72" customHeight="1" x14ac:dyDescent="0.25">
      <c r="B55" s="161">
        <v>43</v>
      </c>
      <c r="C55" s="161">
        <v>100025</v>
      </c>
      <c r="D55" s="175" t="s">
        <v>666</v>
      </c>
      <c r="E55" s="176" t="s">
        <v>667</v>
      </c>
      <c r="F55" s="166" t="s">
        <v>517</v>
      </c>
      <c r="G55" s="162" t="s">
        <v>668</v>
      </c>
      <c r="H55" s="169">
        <v>71530</v>
      </c>
      <c r="I55" s="169">
        <f t="shared" si="1"/>
        <v>7153</v>
      </c>
      <c r="J55" s="169">
        <f t="shared" si="10"/>
        <v>35765</v>
      </c>
      <c r="K55" s="169">
        <v>1500</v>
      </c>
      <c r="L55" s="169"/>
      <c r="M55" s="169"/>
      <c r="N55" s="169"/>
      <c r="O55" s="169"/>
      <c r="P55" s="169"/>
      <c r="Q55" s="169"/>
      <c r="R55" s="170">
        <f t="shared" si="0"/>
        <v>115948</v>
      </c>
      <c r="S55" s="171">
        <f>ROUND((H55*10%),0)</f>
        <v>7153</v>
      </c>
      <c r="T55" s="169">
        <v>21000</v>
      </c>
      <c r="U55" s="169">
        <f>ROUND((H55*1%),0)</f>
        <v>715</v>
      </c>
      <c r="V55" s="169"/>
      <c r="W55" s="169"/>
      <c r="X55" s="169"/>
      <c r="Y55" s="169"/>
      <c r="Z55" s="169"/>
      <c r="AA55" s="169"/>
      <c r="AB55" s="169"/>
      <c r="AC55" s="169">
        <v>1220</v>
      </c>
      <c r="AD55" s="172">
        <v>100</v>
      </c>
      <c r="AE55" s="169">
        <v>10</v>
      </c>
      <c r="AF55" s="169"/>
      <c r="AG55" s="169">
        <f t="shared" si="6"/>
        <v>30198</v>
      </c>
      <c r="AH55" s="169">
        <f t="shared" si="11"/>
        <v>85750</v>
      </c>
      <c r="AI55" s="212" t="s">
        <v>338</v>
      </c>
      <c r="AJ55" s="213" t="s">
        <v>669</v>
      </c>
      <c r="AK55" s="167"/>
      <c r="AL55" s="167"/>
      <c r="AM55" s="167"/>
      <c r="AN55" s="167"/>
      <c r="AO55" s="167"/>
      <c r="AP55" s="167"/>
      <c r="AQ55" s="167"/>
      <c r="AR55" s="167"/>
      <c r="AS55" s="167"/>
      <c r="AT55" s="167"/>
      <c r="AU55" s="167"/>
      <c r="AV55" s="167"/>
      <c r="AW55" s="167"/>
      <c r="AX55" s="167"/>
      <c r="AY55" s="167"/>
      <c r="AZ55" s="167"/>
      <c r="BA55" s="167"/>
      <c r="BB55" s="167"/>
    </row>
    <row r="56" spans="2:54" s="167" customFormat="1" ht="72.75" customHeight="1" x14ac:dyDescent="0.25">
      <c r="B56" s="161">
        <v>44</v>
      </c>
      <c r="C56" s="161">
        <v>100017</v>
      </c>
      <c r="D56" s="175" t="s">
        <v>670</v>
      </c>
      <c r="E56" s="176" t="s">
        <v>671</v>
      </c>
      <c r="F56" s="166" t="s">
        <v>609</v>
      </c>
      <c r="G56" s="198" t="s">
        <v>672</v>
      </c>
      <c r="H56" s="169"/>
      <c r="I56" s="169">
        <f t="shared" si="1"/>
        <v>0</v>
      </c>
      <c r="J56" s="169">
        <f>ROUND((H56*50%),0)</f>
        <v>0</v>
      </c>
      <c r="K56" s="169"/>
      <c r="L56" s="169"/>
      <c r="M56" s="169"/>
      <c r="N56" s="169"/>
      <c r="O56" s="169"/>
      <c r="P56" s="169"/>
      <c r="Q56" s="169"/>
      <c r="R56" s="170">
        <f t="shared" si="0"/>
        <v>0</v>
      </c>
      <c r="S56" s="171">
        <f>ROUND((H56*10%),0)</f>
        <v>0</v>
      </c>
      <c r="T56" s="183"/>
      <c r="U56" s="169">
        <f>ROUND((H56*1%),0)</f>
        <v>0</v>
      </c>
      <c r="V56" s="169"/>
      <c r="W56" s="169"/>
      <c r="X56" s="169"/>
      <c r="Y56" s="169"/>
      <c r="Z56" s="169"/>
      <c r="AA56" s="169"/>
      <c r="AB56" s="169"/>
      <c r="AC56" s="169"/>
      <c r="AD56" s="172"/>
      <c r="AE56" s="169"/>
      <c r="AF56" s="169"/>
      <c r="AG56" s="169">
        <f t="shared" si="6"/>
        <v>0</v>
      </c>
      <c r="AH56" s="169">
        <f>R56-AG56</f>
        <v>0</v>
      </c>
      <c r="AI56" s="214" t="s">
        <v>673</v>
      </c>
    </row>
    <row r="57" spans="2:54" s="167" customFormat="1" ht="69" customHeight="1" x14ac:dyDescent="0.25">
      <c r="B57" s="161">
        <v>44</v>
      </c>
      <c r="C57" s="161"/>
      <c r="D57" s="175" t="s">
        <v>674</v>
      </c>
      <c r="E57" s="176"/>
      <c r="F57" s="166"/>
      <c r="G57" s="189"/>
      <c r="H57" s="169"/>
      <c r="I57" s="169">
        <f t="shared" si="1"/>
        <v>0</v>
      </c>
      <c r="J57" s="169"/>
      <c r="K57" s="169"/>
      <c r="L57" s="169"/>
      <c r="M57" s="169"/>
      <c r="N57" s="169"/>
      <c r="O57" s="169"/>
      <c r="P57" s="169"/>
      <c r="Q57" s="169"/>
      <c r="R57" s="170"/>
      <c r="S57" s="171"/>
      <c r="T57" s="169"/>
      <c r="U57" s="169"/>
      <c r="V57" s="169"/>
      <c r="W57" s="169"/>
      <c r="X57" s="169"/>
      <c r="Y57" s="169"/>
      <c r="Z57" s="169"/>
      <c r="AA57" s="169"/>
      <c r="AB57" s="169"/>
      <c r="AC57" s="169"/>
      <c r="AD57" s="172"/>
      <c r="AE57" s="169"/>
      <c r="AF57" s="169"/>
      <c r="AG57" s="169">
        <f t="shared" si="6"/>
        <v>0</v>
      </c>
      <c r="AH57" s="169"/>
      <c r="AI57" s="179" t="s">
        <v>675</v>
      </c>
    </row>
    <row r="58" spans="2:54" s="167" customFormat="1" ht="73.5" customHeight="1" x14ac:dyDescent="0.25">
      <c r="B58" s="161">
        <v>45</v>
      </c>
      <c r="C58" s="161">
        <v>100040</v>
      </c>
      <c r="D58" s="175" t="s">
        <v>676</v>
      </c>
      <c r="E58" s="176" t="s">
        <v>677</v>
      </c>
      <c r="F58" s="166" t="s">
        <v>653</v>
      </c>
      <c r="G58" s="201" t="s">
        <v>678</v>
      </c>
      <c r="H58" s="169"/>
      <c r="I58" s="169">
        <f t="shared" si="1"/>
        <v>0</v>
      </c>
      <c r="J58" s="169"/>
      <c r="K58" s="169"/>
      <c r="L58" s="169"/>
      <c r="M58" s="169"/>
      <c r="N58" s="169"/>
      <c r="O58" s="169"/>
      <c r="P58" s="169"/>
      <c r="Q58" s="169"/>
      <c r="R58" s="170"/>
      <c r="S58" s="171"/>
      <c r="T58" s="161"/>
      <c r="U58" s="169"/>
      <c r="V58" s="169"/>
      <c r="W58" s="169"/>
      <c r="X58" s="169"/>
      <c r="Y58" s="169"/>
      <c r="Z58" s="169"/>
      <c r="AA58" s="169"/>
      <c r="AB58" s="169"/>
      <c r="AC58" s="169"/>
      <c r="AD58" s="172"/>
      <c r="AE58" s="169"/>
      <c r="AF58" s="169"/>
      <c r="AG58" s="169">
        <f t="shared" si="6"/>
        <v>0</v>
      </c>
      <c r="AH58" s="169"/>
      <c r="AI58" s="215" t="s">
        <v>679</v>
      </c>
    </row>
    <row r="59" spans="2:54" s="167" customFormat="1" ht="74.25" customHeight="1" x14ac:dyDescent="0.25">
      <c r="B59" s="161">
        <v>46</v>
      </c>
      <c r="C59" s="161">
        <v>100051</v>
      </c>
      <c r="D59" s="175" t="s">
        <v>680</v>
      </c>
      <c r="E59" s="176" t="s">
        <v>681</v>
      </c>
      <c r="F59" s="166" t="s">
        <v>653</v>
      </c>
      <c r="G59" s="189" t="s">
        <v>682</v>
      </c>
      <c r="H59" s="169"/>
      <c r="I59" s="169">
        <f t="shared" si="1"/>
        <v>0</v>
      </c>
      <c r="J59" s="169"/>
      <c r="K59" s="169"/>
      <c r="L59" s="169"/>
      <c r="M59" s="169"/>
      <c r="N59" s="169"/>
      <c r="O59" s="169"/>
      <c r="P59" s="169"/>
      <c r="Q59" s="169"/>
      <c r="R59" s="170"/>
      <c r="S59" s="171"/>
      <c r="T59" s="169"/>
      <c r="U59" s="169"/>
      <c r="V59" s="169"/>
      <c r="W59" s="169"/>
      <c r="X59" s="169"/>
      <c r="Y59" s="169"/>
      <c r="Z59" s="169"/>
      <c r="AA59" s="169"/>
      <c r="AB59" s="169"/>
      <c r="AC59" s="169"/>
      <c r="AD59" s="172"/>
      <c r="AE59" s="169"/>
      <c r="AF59" s="169"/>
      <c r="AG59" s="169">
        <f t="shared" si="6"/>
        <v>0</v>
      </c>
      <c r="AH59" s="169"/>
      <c r="AI59" s="215" t="s">
        <v>683</v>
      </c>
    </row>
    <row r="60" spans="2:54" s="167" customFormat="1" ht="69" customHeight="1" x14ac:dyDescent="0.25">
      <c r="B60" s="161">
        <v>47</v>
      </c>
      <c r="C60" s="161">
        <v>100063</v>
      </c>
      <c r="D60" s="175" t="s">
        <v>684</v>
      </c>
      <c r="E60" s="198" t="s">
        <v>685</v>
      </c>
      <c r="F60" s="166" t="s">
        <v>653</v>
      </c>
      <c r="G60" s="201" t="s">
        <v>686</v>
      </c>
      <c r="H60" s="169"/>
      <c r="I60" s="169">
        <f t="shared" si="1"/>
        <v>0</v>
      </c>
      <c r="J60" s="169"/>
      <c r="K60" s="169"/>
      <c r="L60" s="169"/>
      <c r="M60" s="169"/>
      <c r="N60" s="169"/>
      <c r="O60" s="169"/>
      <c r="P60" s="169"/>
      <c r="Q60" s="169"/>
      <c r="R60" s="170"/>
      <c r="S60" s="171"/>
      <c r="T60" s="169"/>
      <c r="U60" s="169"/>
      <c r="V60" s="169"/>
      <c r="W60" s="169"/>
      <c r="X60" s="169"/>
      <c r="Y60" s="169"/>
      <c r="Z60" s="169"/>
      <c r="AA60" s="169"/>
      <c r="AB60" s="169"/>
      <c r="AC60" s="169"/>
      <c r="AD60" s="172"/>
      <c r="AE60" s="169"/>
      <c r="AF60" s="169"/>
      <c r="AG60" s="169">
        <f t="shared" si="6"/>
        <v>0</v>
      </c>
      <c r="AH60" s="169"/>
      <c r="AI60" s="215" t="s">
        <v>683</v>
      </c>
    </row>
    <row r="61" spans="2:54" s="167" customFormat="1" ht="66" customHeight="1" x14ac:dyDescent="0.25">
      <c r="B61" s="161">
        <v>48</v>
      </c>
      <c r="C61" s="161">
        <v>100053</v>
      </c>
      <c r="D61" s="175" t="s">
        <v>687</v>
      </c>
      <c r="E61" s="198" t="s">
        <v>688</v>
      </c>
      <c r="F61" s="166" t="s">
        <v>653</v>
      </c>
      <c r="G61" s="189" t="s">
        <v>689</v>
      </c>
      <c r="H61" s="169"/>
      <c r="I61" s="169">
        <f t="shared" si="1"/>
        <v>0</v>
      </c>
      <c r="J61" s="169"/>
      <c r="K61" s="169"/>
      <c r="L61" s="169"/>
      <c r="M61" s="169"/>
      <c r="N61" s="169"/>
      <c r="O61" s="169"/>
      <c r="P61" s="169"/>
      <c r="Q61" s="169"/>
      <c r="R61" s="170"/>
      <c r="S61" s="171"/>
      <c r="T61" s="169"/>
      <c r="U61" s="169"/>
      <c r="V61" s="169"/>
      <c r="W61" s="169"/>
      <c r="X61" s="169"/>
      <c r="Y61" s="169"/>
      <c r="Z61" s="169"/>
      <c r="AA61" s="169"/>
      <c r="AB61" s="169"/>
      <c r="AC61" s="169"/>
      <c r="AD61" s="172"/>
      <c r="AE61" s="169"/>
      <c r="AF61" s="169"/>
      <c r="AG61" s="169">
        <f t="shared" si="6"/>
        <v>0</v>
      </c>
      <c r="AH61" s="169">
        <f>R61-AG61</f>
        <v>0</v>
      </c>
      <c r="AI61" s="215" t="s">
        <v>679</v>
      </c>
    </row>
    <row r="62" spans="2:54" s="167" customFormat="1" ht="69.75" customHeight="1" x14ac:dyDescent="0.25">
      <c r="B62" s="161">
        <v>49</v>
      </c>
      <c r="C62" s="161">
        <v>100100</v>
      </c>
      <c r="D62" s="175" t="s">
        <v>690</v>
      </c>
      <c r="E62" s="198" t="s">
        <v>691</v>
      </c>
      <c r="F62" s="166" t="s">
        <v>653</v>
      </c>
      <c r="G62" s="204" t="s">
        <v>692</v>
      </c>
      <c r="H62" s="169">
        <v>37280</v>
      </c>
      <c r="I62" s="169">
        <f t="shared" si="1"/>
        <v>3728</v>
      </c>
      <c r="J62" s="169">
        <v>19500</v>
      </c>
      <c r="K62" s="169">
        <v>1500</v>
      </c>
      <c r="L62" s="169"/>
      <c r="M62" s="169"/>
      <c r="N62" s="169"/>
      <c r="O62" s="169"/>
      <c r="P62" s="169"/>
      <c r="Q62" s="169"/>
      <c r="R62" s="170">
        <f>SUM(H62:Q62)</f>
        <v>62008</v>
      </c>
      <c r="S62" s="171">
        <f>ROUND((H62*10%),0)</f>
        <v>3728</v>
      </c>
      <c r="T62" s="169"/>
      <c r="U62" s="169">
        <f>ROUND((H62*1%),0)</f>
        <v>373</v>
      </c>
      <c r="V62" s="169"/>
      <c r="W62" s="169"/>
      <c r="X62" s="169"/>
      <c r="Y62" s="169"/>
      <c r="Z62" s="169"/>
      <c r="AA62" s="169"/>
      <c r="AB62" s="169"/>
      <c r="AC62" s="169">
        <v>417</v>
      </c>
      <c r="AD62" s="205">
        <v>100</v>
      </c>
      <c r="AE62" s="206">
        <v>10</v>
      </c>
      <c r="AF62" s="169"/>
      <c r="AG62" s="169">
        <f t="shared" si="6"/>
        <v>4628</v>
      </c>
      <c r="AH62" s="169">
        <f>R62-AG62</f>
        <v>57380</v>
      </c>
      <c r="AI62" s="173"/>
    </row>
    <row r="63" spans="2:54" s="167" customFormat="1" ht="70.5" customHeight="1" x14ac:dyDescent="0.25">
      <c r="B63" s="161">
        <v>50</v>
      </c>
      <c r="C63" s="161">
        <v>100046</v>
      </c>
      <c r="D63" s="175" t="s">
        <v>693</v>
      </c>
      <c r="E63" s="198" t="s">
        <v>694</v>
      </c>
      <c r="F63" s="166" t="s">
        <v>653</v>
      </c>
      <c r="G63" s="162" t="s">
        <v>695</v>
      </c>
      <c r="H63" s="169">
        <v>41110</v>
      </c>
      <c r="I63" s="169">
        <f t="shared" si="1"/>
        <v>4111</v>
      </c>
      <c r="J63" s="169">
        <f>ROUND((H63*50%),0)</f>
        <v>20555</v>
      </c>
      <c r="K63" s="169">
        <v>1500</v>
      </c>
      <c r="L63" s="169">
        <v>0</v>
      </c>
      <c r="M63" s="169"/>
      <c r="N63" s="169"/>
      <c r="O63" s="169"/>
      <c r="P63" s="169">
        <v>0</v>
      </c>
      <c r="Q63" s="169">
        <v>0</v>
      </c>
      <c r="R63" s="170">
        <f>SUM(H63:Q63)</f>
        <v>67276</v>
      </c>
      <c r="S63" s="171">
        <f>ROUND((H63*10%),0)</f>
        <v>4111</v>
      </c>
      <c r="T63" s="169">
        <v>0</v>
      </c>
      <c r="U63" s="169">
        <f>ROUND((H63*1%),0)</f>
        <v>411</v>
      </c>
      <c r="V63" s="169"/>
      <c r="W63" s="169"/>
      <c r="X63" s="169"/>
      <c r="Y63" s="169"/>
      <c r="Z63" s="169"/>
      <c r="AA63" s="169"/>
      <c r="AB63" s="169"/>
      <c r="AC63" s="169">
        <v>417</v>
      </c>
      <c r="AD63" s="172">
        <v>100</v>
      </c>
      <c r="AE63" s="169">
        <v>10</v>
      </c>
      <c r="AF63" s="169"/>
      <c r="AG63" s="169">
        <f t="shared" si="6"/>
        <v>5049</v>
      </c>
      <c r="AH63" s="169">
        <f>R63-AG63</f>
        <v>62227</v>
      </c>
      <c r="AI63" s="170"/>
    </row>
    <row r="64" spans="2:54" s="167" customFormat="1" ht="75.75" customHeight="1" x14ac:dyDescent="0.25">
      <c r="B64" s="161">
        <v>51</v>
      </c>
      <c r="C64" s="161">
        <v>100117</v>
      </c>
      <c r="D64" s="175" t="s">
        <v>696</v>
      </c>
      <c r="E64" s="198" t="s">
        <v>697</v>
      </c>
      <c r="F64" s="166" t="s">
        <v>653</v>
      </c>
      <c r="G64" s="204" t="s">
        <v>698</v>
      </c>
      <c r="H64" s="169"/>
      <c r="I64" s="169">
        <f t="shared" si="1"/>
        <v>0</v>
      </c>
      <c r="J64" s="169"/>
      <c r="K64" s="169"/>
      <c r="L64" s="169"/>
      <c r="M64" s="169"/>
      <c r="N64" s="169"/>
      <c r="O64" s="169"/>
      <c r="P64" s="169"/>
      <c r="Q64" s="169"/>
      <c r="R64" s="170"/>
      <c r="S64" s="171"/>
      <c r="T64" s="169"/>
      <c r="U64" s="169"/>
      <c r="V64" s="169"/>
      <c r="W64" s="169"/>
      <c r="X64" s="169"/>
      <c r="Y64" s="169"/>
      <c r="Z64" s="169"/>
      <c r="AA64" s="169"/>
      <c r="AB64" s="169"/>
      <c r="AC64" s="169"/>
      <c r="AD64" s="205"/>
      <c r="AE64" s="206"/>
      <c r="AF64" s="169"/>
      <c r="AG64" s="169">
        <f t="shared" si="6"/>
        <v>0</v>
      </c>
      <c r="AH64" s="169"/>
      <c r="AI64" s="179" t="s">
        <v>675</v>
      </c>
    </row>
    <row r="65" spans="2:35" s="167" customFormat="1" ht="93" customHeight="1" x14ac:dyDescent="0.25">
      <c r="B65" s="161">
        <v>52</v>
      </c>
      <c r="C65" s="161">
        <v>100060</v>
      </c>
      <c r="D65" s="175" t="s">
        <v>699</v>
      </c>
      <c r="E65" s="198" t="s">
        <v>700</v>
      </c>
      <c r="F65" s="166" t="s">
        <v>653</v>
      </c>
      <c r="G65" s="204" t="s">
        <v>701</v>
      </c>
      <c r="H65" s="169">
        <v>39150</v>
      </c>
      <c r="I65" s="169">
        <f t="shared" si="1"/>
        <v>3915</v>
      </c>
      <c r="J65" s="169">
        <f>H65*50%</f>
        <v>19575</v>
      </c>
      <c r="K65" s="169">
        <v>1500</v>
      </c>
      <c r="L65" s="169">
        <v>0</v>
      </c>
      <c r="M65" s="169"/>
      <c r="N65" s="169"/>
      <c r="O65" s="169"/>
      <c r="P65" s="169"/>
      <c r="Q65" s="169">
        <v>0</v>
      </c>
      <c r="R65" s="170">
        <f>SUM(H65:Q65)</f>
        <v>64140</v>
      </c>
      <c r="S65" s="171">
        <f>ROUND((H65*10%),0)</f>
        <v>3915</v>
      </c>
      <c r="T65" s="169"/>
      <c r="U65" s="169">
        <f>ROUND((H65*1%),0)</f>
        <v>392</v>
      </c>
      <c r="V65" s="169"/>
      <c r="W65" s="169"/>
      <c r="X65" s="169"/>
      <c r="Y65" s="169"/>
      <c r="Z65" s="169"/>
      <c r="AA65" s="169"/>
      <c r="AB65" s="169"/>
      <c r="AC65" s="169">
        <v>417</v>
      </c>
      <c r="AD65" s="172">
        <v>100</v>
      </c>
      <c r="AE65" s="169">
        <v>10</v>
      </c>
      <c r="AF65" s="169"/>
      <c r="AG65" s="169">
        <f t="shared" si="6"/>
        <v>4834</v>
      </c>
      <c r="AH65" s="169">
        <f>R65-AG65</f>
        <v>59306</v>
      </c>
      <c r="AI65" s="173"/>
    </row>
    <row r="66" spans="2:35" s="167" customFormat="1" ht="68.25" customHeight="1" x14ac:dyDescent="0.25">
      <c r="B66" s="161">
        <v>53</v>
      </c>
      <c r="C66" s="161">
        <v>100070</v>
      </c>
      <c r="D66" s="175" t="s">
        <v>702</v>
      </c>
      <c r="E66" s="198" t="s">
        <v>703</v>
      </c>
      <c r="F66" s="166" t="s">
        <v>653</v>
      </c>
      <c r="G66" s="204" t="s">
        <v>704</v>
      </c>
      <c r="H66" s="169">
        <v>41110</v>
      </c>
      <c r="I66" s="169">
        <f t="shared" si="1"/>
        <v>4111</v>
      </c>
      <c r="J66" s="169">
        <f>ROUND((H66*50%),0)</f>
        <v>20555</v>
      </c>
      <c r="K66" s="169">
        <v>1500</v>
      </c>
      <c r="L66" s="169"/>
      <c r="M66" s="169"/>
      <c r="N66" s="169"/>
      <c r="O66" s="169"/>
      <c r="P66" s="169"/>
      <c r="Q66" s="169"/>
      <c r="R66" s="170">
        <f>SUM(H66:Q66)</f>
        <v>67276</v>
      </c>
      <c r="S66" s="171">
        <f>ROUND((H66*10%),0)</f>
        <v>4111</v>
      </c>
      <c r="T66" s="169"/>
      <c r="U66" s="169">
        <f>ROUND((H66*1%),0)</f>
        <v>411</v>
      </c>
      <c r="V66" s="169"/>
      <c r="W66" s="169"/>
      <c r="X66" s="169"/>
      <c r="Y66" s="169"/>
      <c r="Z66" s="169"/>
      <c r="AA66" s="169"/>
      <c r="AB66" s="169"/>
      <c r="AC66" s="169">
        <v>417</v>
      </c>
      <c r="AD66" s="172">
        <v>100</v>
      </c>
      <c r="AE66" s="169">
        <v>10</v>
      </c>
      <c r="AF66" s="169"/>
      <c r="AG66" s="169">
        <f t="shared" si="6"/>
        <v>5049</v>
      </c>
      <c r="AH66" s="169">
        <f>R66-AG66</f>
        <v>62227</v>
      </c>
      <c r="AI66" s="170"/>
    </row>
    <row r="67" spans="2:35" s="167" customFormat="1" ht="69" customHeight="1" x14ac:dyDescent="0.25">
      <c r="B67" s="161">
        <v>54</v>
      </c>
      <c r="C67" s="161">
        <v>100083</v>
      </c>
      <c r="D67" s="175" t="s">
        <v>705</v>
      </c>
      <c r="E67" s="198" t="s">
        <v>706</v>
      </c>
      <c r="F67" s="166" t="s">
        <v>653</v>
      </c>
      <c r="G67" s="204" t="s">
        <v>707</v>
      </c>
      <c r="H67" s="169">
        <v>41110</v>
      </c>
      <c r="I67" s="169">
        <f t="shared" si="1"/>
        <v>4111</v>
      </c>
      <c r="J67" s="169">
        <f>ROUND((H67*50%),0)</f>
        <v>20555</v>
      </c>
      <c r="K67" s="169">
        <v>1500</v>
      </c>
      <c r="L67" s="169"/>
      <c r="M67" s="169"/>
      <c r="N67" s="169"/>
      <c r="O67" s="169"/>
      <c r="P67" s="169"/>
      <c r="Q67" s="169"/>
      <c r="R67" s="170">
        <f>SUM(H67:Q67)</f>
        <v>67276</v>
      </c>
      <c r="S67" s="171">
        <f>ROUND((H67*10%),0)</f>
        <v>4111</v>
      </c>
      <c r="T67" s="169"/>
      <c r="U67" s="169">
        <f>ROUND((H67*1%),0)</f>
        <v>411</v>
      </c>
      <c r="V67" s="169"/>
      <c r="W67" s="169"/>
      <c r="X67" s="169"/>
      <c r="Y67" s="169"/>
      <c r="Z67" s="169"/>
      <c r="AA67" s="169"/>
      <c r="AB67" s="169"/>
      <c r="AC67" s="169">
        <v>417</v>
      </c>
      <c r="AD67" s="205">
        <v>100</v>
      </c>
      <c r="AE67" s="206">
        <v>10</v>
      </c>
      <c r="AF67" s="169"/>
      <c r="AG67" s="169">
        <f t="shared" si="6"/>
        <v>5049</v>
      </c>
      <c r="AH67" s="169">
        <f>R67-AG67</f>
        <v>62227</v>
      </c>
      <c r="AI67" s="179"/>
    </row>
    <row r="68" spans="2:35" s="167" customFormat="1" ht="64.5" customHeight="1" x14ac:dyDescent="0.25">
      <c r="B68" s="161">
        <v>55</v>
      </c>
      <c r="C68" s="161">
        <v>100109</v>
      </c>
      <c r="D68" s="175" t="s">
        <v>708</v>
      </c>
      <c r="E68" s="198" t="s">
        <v>709</v>
      </c>
      <c r="F68" s="166" t="s">
        <v>653</v>
      </c>
      <c r="G68" s="204" t="s">
        <v>710</v>
      </c>
      <c r="H68" s="169"/>
      <c r="I68" s="169">
        <f t="shared" si="1"/>
        <v>0</v>
      </c>
      <c r="J68" s="169"/>
      <c r="K68" s="169"/>
      <c r="L68" s="169"/>
      <c r="M68" s="169"/>
      <c r="N68" s="169"/>
      <c r="O68" s="169"/>
      <c r="P68" s="169"/>
      <c r="Q68" s="169"/>
      <c r="R68" s="170"/>
      <c r="S68" s="171"/>
      <c r="T68" s="169"/>
      <c r="U68" s="169"/>
      <c r="V68" s="169"/>
      <c r="W68" s="169"/>
      <c r="X68" s="169"/>
      <c r="Y68" s="169"/>
      <c r="Z68" s="169"/>
      <c r="AA68" s="169"/>
      <c r="AB68" s="169"/>
      <c r="AC68" s="169"/>
      <c r="AD68" s="205"/>
      <c r="AE68" s="206"/>
      <c r="AF68" s="169"/>
      <c r="AG68" s="169">
        <f t="shared" si="6"/>
        <v>0</v>
      </c>
      <c r="AH68" s="169"/>
      <c r="AI68" s="179" t="s">
        <v>675</v>
      </c>
    </row>
    <row r="69" spans="2:35" s="167" customFormat="1" ht="71.25" customHeight="1" x14ac:dyDescent="0.25">
      <c r="B69" s="161">
        <v>56</v>
      </c>
      <c r="C69" s="208">
        <v>100146</v>
      </c>
      <c r="D69" s="168" t="s">
        <v>711</v>
      </c>
      <c r="E69" s="198" t="s">
        <v>712</v>
      </c>
      <c r="F69" s="166" t="s">
        <v>653</v>
      </c>
      <c r="G69" s="162" t="s">
        <v>713</v>
      </c>
      <c r="H69" s="169"/>
      <c r="I69" s="169">
        <f t="shared" si="1"/>
        <v>0</v>
      </c>
      <c r="J69" s="169"/>
      <c r="K69" s="169"/>
      <c r="L69" s="169"/>
      <c r="M69" s="169"/>
      <c r="N69" s="169"/>
      <c r="O69" s="169"/>
      <c r="P69" s="169"/>
      <c r="Q69" s="169"/>
      <c r="R69" s="170"/>
      <c r="S69" s="171"/>
      <c r="T69" s="169"/>
      <c r="U69" s="169"/>
      <c r="V69" s="169"/>
      <c r="W69" s="169"/>
      <c r="X69" s="169"/>
      <c r="Y69" s="169"/>
      <c r="Z69" s="169"/>
      <c r="AA69" s="169"/>
      <c r="AB69" s="169"/>
      <c r="AC69" s="169"/>
      <c r="AD69" s="205"/>
      <c r="AE69" s="206"/>
      <c r="AF69" s="169"/>
      <c r="AG69" s="169">
        <f t="shared" si="6"/>
        <v>0</v>
      </c>
      <c r="AH69" s="169"/>
      <c r="AI69" s="179" t="s">
        <v>675</v>
      </c>
    </row>
    <row r="70" spans="2:35" s="167" customFormat="1" ht="68.25" customHeight="1" x14ac:dyDescent="0.25">
      <c r="B70" s="161">
        <v>57</v>
      </c>
      <c r="C70" s="161">
        <v>100133</v>
      </c>
      <c r="D70" s="175" t="s">
        <v>714</v>
      </c>
      <c r="E70" s="198" t="s">
        <v>715</v>
      </c>
      <c r="F70" s="166" t="s">
        <v>653</v>
      </c>
      <c r="G70" s="204" t="s">
        <v>716</v>
      </c>
      <c r="H70" s="169">
        <v>37280</v>
      </c>
      <c r="I70" s="169">
        <f t="shared" si="1"/>
        <v>3728</v>
      </c>
      <c r="J70" s="169">
        <v>19500</v>
      </c>
      <c r="K70" s="169">
        <v>1500</v>
      </c>
      <c r="L70" s="169"/>
      <c r="M70" s="169"/>
      <c r="N70" s="169"/>
      <c r="O70" s="169"/>
      <c r="P70" s="169"/>
      <c r="Q70" s="169"/>
      <c r="R70" s="170">
        <f t="shared" ref="R70:R75" si="12">SUM(H70:Q70)</f>
        <v>62008</v>
      </c>
      <c r="S70" s="171">
        <f t="shared" ref="S70:S75" si="13">ROUND((H70*10%),0)</f>
        <v>3728</v>
      </c>
      <c r="T70" s="169"/>
      <c r="U70" s="169">
        <f t="shared" ref="U70:U75" si="14">ROUND((H70*1%),0)</f>
        <v>373</v>
      </c>
      <c r="V70" s="169"/>
      <c r="W70" s="169"/>
      <c r="X70" s="169"/>
      <c r="Y70" s="169"/>
      <c r="Z70" s="169"/>
      <c r="AA70" s="169"/>
      <c r="AB70" s="169"/>
      <c r="AC70" s="169">
        <v>417</v>
      </c>
      <c r="AD70" s="205">
        <v>100</v>
      </c>
      <c r="AE70" s="206">
        <v>10</v>
      </c>
      <c r="AF70" s="169"/>
      <c r="AG70" s="169">
        <f t="shared" si="6"/>
        <v>4628</v>
      </c>
      <c r="AH70" s="169">
        <f t="shared" ref="AH70:AH75" si="15">R70-AG70</f>
        <v>57380</v>
      </c>
      <c r="AI70" s="179"/>
    </row>
    <row r="71" spans="2:35" s="167" customFormat="1" ht="67.5" customHeight="1" x14ac:dyDescent="0.25">
      <c r="B71" s="161">
        <v>58</v>
      </c>
      <c r="C71" s="161">
        <v>100132</v>
      </c>
      <c r="D71" s="175" t="s">
        <v>717</v>
      </c>
      <c r="E71" s="198" t="s">
        <v>718</v>
      </c>
      <c r="F71" s="166" t="s">
        <v>653</v>
      </c>
      <c r="G71" s="204" t="s">
        <v>719</v>
      </c>
      <c r="H71" s="169">
        <v>37280</v>
      </c>
      <c r="I71" s="169">
        <f t="shared" si="1"/>
        <v>3728</v>
      </c>
      <c r="J71" s="169">
        <v>19500</v>
      </c>
      <c r="K71" s="169">
        <v>1500</v>
      </c>
      <c r="L71" s="169"/>
      <c r="M71" s="169"/>
      <c r="N71" s="169"/>
      <c r="O71" s="169"/>
      <c r="P71" s="169"/>
      <c r="Q71" s="169"/>
      <c r="R71" s="170">
        <f t="shared" si="12"/>
        <v>62008</v>
      </c>
      <c r="S71" s="171">
        <f t="shared" si="13"/>
        <v>3728</v>
      </c>
      <c r="T71" s="169"/>
      <c r="U71" s="169">
        <f t="shared" si="14"/>
        <v>373</v>
      </c>
      <c r="V71" s="169"/>
      <c r="W71" s="169"/>
      <c r="X71" s="169"/>
      <c r="Y71" s="169"/>
      <c r="Z71" s="169"/>
      <c r="AA71" s="169"/>
      <c r="AB71" s="169"/>
      <c r="AC71" s="169">
        <v>417</v>
      </c>
      <c r="AD71" s="205">
        <v>100</v>
      </c>
      <c r="AE71" s="206">
        <v>10</v>
      </c>
      <c r="AF71" s="169"/>
      <c r="AG71" s="169">
        <f t="shared" si="6"/>
        <v>4628</v>
      </c>
      <c r="AH71" s="169">
        <f t="shared" si="15"/>
        <v>57380</v>
      </c>
      <c r="AI71" s="179"/>
    </row>
    <row r="72" spans="2:35" s="167" customFormat="1" ht="63" customHeight="1" x14ac:dyDescent="0.25">
      <c r="B72" s="161">
        <v>59</v>
      </c>
      <c r="C72" s="161">
        <v>100113</v>
      </c>
      <c r="D72" s="175" t="s">
        <v>720</v>
      </c>
      <c r="E72" s="209" t="s">
        <v>721</v>
      </c>
      <c r="F72" s="166" t="s">
        <v>653</v>
      </c>
      <c r="G72" s="204" t="s">
        <v>722</v>
      </c>
      <c r="H72" s="169">
        <v>39150</v>
      </c>
      <c r="I72" s="169">
        <f t="shared" si="1"/>
        <v>3915</v>
      </c>
      <c r="J72" s="169">
        <f t="shared" ref="J72:J78" si="16">ROUND((H72*50%),0)</f>
        <v>19575</v>
      </c>
      <c r="K72" s="169">
        <v>1500</v>
      </c>
      <c r="L72" s="169"/>
      <c r="M72" s="169"/>
      <c r="N72" s="169"/>
      <c r="O72" s="169"/>
      <c r="P72" s="169"/>
      <c r="Q72" s="169"/>
      <c r="R72" s="170">
        <f t="shared" si="12"/>
        <v>64140</v>
      </c>
      <c r="S72" s="171">
        <f t="shared" si="13"/>
        <v>3915</v>
      </c>
      <c r="T72" s="169"/>
      <c r="U72" s="169">
        <f t="shared" si="14"/>
        <v>392</v>
      </c>
      <c r="V72" s="169"/>
      <c r="W72" s="169"/>
      <c r="X72" s="169"/>
      <c r="Y72" s="169"/>
      <c r="Z72" s="169"/>
      <c r="AA72" s="169"/>
      <c r="AB72" s="169"/>
      <c r="AC72" s="169">
        <v>417</v>
      </c>
      <c r="AD72" s="205">
        <v>100</v>
      </c>
      <c r="AE72" s="206">
        <v>10</v>
      </c>
      <c r="AF72" s="169"/>
      <c r="AG72" s="169">
        <f t="shared" si="6"/>
        <v>4834</v>
      </c>
      <c r="AH72" s="169">
        <f t="shared" si="15"/>
        <v>59306</v>
      </c>
      <c r="AI72" s="173"/>
    </row>
    <row r="73" spans="2:35" s="167" customFormat="1" ht="72" customHeight="1" x14ac:dyDescent="0.25">
      <c r="B73" s="161">
        <v>60</v>
      </c>
      <c r="C73" s="161">
        <v>100036</v>
      </c>
      <c r="D73" s="175" t="s">
        <v>723</v>
      </c>
      <c r="E73" s="176" t="s">
        <v>724</v>
      </c>
      <c r="F73" s="166" t="s">
        <v>653</v>
      </c>
      <c r="G73" s="162" t="s">
        <v>725</v>
      </c>
      <c r="H73" s="169">
        <v>47600</v>
      </c>
      <c r="I73" s="169">
        <f t="shared" si="1"/>
        <v>4760</v>
      </c>
      <c r="J73" s="169">
        <f t="shared" si="16"/>
        <v>23800</v>
      </c>
      <c r="K73" s="169">
        <v>1500</v>
      </c>
      <c r="L73" s="169">
        <v>0</v>
      </c>
      <c r="M73" s="169"/>
      <c r="N73" s="169"/>
      <c r="O73" s="169"/>
      <c r="P73" s="169"/>
      <c r="Q73" s="169">
        <v>0</v>
      </c>
      <c r="R73" s="170">
        <f t="shared" si="12"/>
        <v>77660</v>
      </c>
      <c r="S73" s="171">
        <f t="shared" si="13"/>
        <v>4760</v>
      </c>
      <c r="T73" s="169"/>
      <c r="U73" s="169">
        <f t="shared" si="14"/>
        <v>476</v>
      </c>
      <c r="V73" s="169"/>
      <c r="W73" s="169"/>
      <c r="X73" s="169"/>
      <c r="Y73" s="169"/>
      <c r="Z73" s="169"/>
      <c r="AA73" s="169"/>
      <c r="AB73" s="169"/>
      <c r="AC73" s="178">
        <v>554</v>
      </c>
      <c r="AD73" s="172">
        <v>100</v>
      </c>
      <c r="AE73" s="169">
        <v>10</v>
      </c>
      <c r="AF73" s="169"/>
      <c r="AG73" s="169">
        <f t="shared" si="6"/>
        <v>5900</v>
      </c>
      <c r="AH73" s="169">
        <f t="shared" si="15"/>
        <v>71760</v>
      </c>
      <c r="AI73" s="173"/>
    </row>
    <row r="74" spans="2:35" s="167" customFormat="1" ht="72" customHeight="1" x14ac:dyDescent="0.25">
      <c r="B74" s="161">
        <v>61</v>
      </c>
      <c r="C74" s="161">
        <v>100075</v>
      </c>
      <c r="D74" s="175" t="s">
        <v>726</v>
      </c>
      <c r="E74" s="198" t="s">
        <v>727</v>
      </c>
      <c r="F74" s="166" t="s">
        <v>653</v>
      </c>
      <c r="G74" s="204" t="s">
        <v>728</v>
      </c>
      <c r="H74" s="169">
        <v>43170</v>
      </c>
      <c r="I74" s="169">
        <f t="shared" si="1"/>
        <v>4317</v>
      </c>
      <c r="J74" s="169">
        <f t="shared" si="16"/>
        <v>21585</v>
      </c>
      <c r="K74" s="169">
        <v>1500</v>
      </c>
      <c r="L74" s="169"/>
      <c r="M74" s="169"/>
      <c r="N74" s="169"/>
      <c r="O74" s="169"/>
      <c r="P74" s="169"/>
      <c r="Q74" s="169"/>
      <c r="R74" s="170">
        <f t="shared" si="12"/>
        <v>70572</v>
      </c>
      <c r="S74" s="171">
        <f t="shared" si="13"/>
        <v>4317</v>
      </c>
      <c r="T74" s="169"/>
      <c r="U74" s="169">
        <f t="shared" si="14"/>
        <v>432</v>
      </c>
      <c r="V74" s="169"/>
      <c r="W74" s="169"/>
      <c r="X74" s="169"/>
      <c r="Y74" s="169"/>
      <c r="Z74" s="169"/>
      <c r="AA74" s="169"/>
      <c r="AB74" s="169"/>
      <c r="AC74" s="169">
        <v>417</v>
      </c>
      <c r="AD74" s="172">
        <v>100</v>
      </c>
      <c r="AE74" s="169">
        <v>10</v>
      </c>
      <c r="AF74" s="169"/>
      <c r="AG74" s="169">
        <f t="shared" si="6"/>
        <v>5276</v>
      </c>
      <c r="AH74" s="169">
        <f t="shared" si="15"/>
        <v>65296</v>
      </c>
      <c r="AI74" s="179"/>
    </row>
    <row r="75" spans="2:35" s="167" customFormat="1" ht="64.5" customHeight="1" x14ac:dyDescent="0.25">
      <c r="B75" s="161">
        <v>62</v>
      </c>
      <c r="C75" s="161">
        <v>100087</v>
      </c>
      <c r="D75" s="168" t="s">
        <v>729</v>
      </c>
      <c r="E75" s="209" t="s">
        <v>730</v>
      </c>
      <c r="F75" s="166" t="s">
        <v>653</v>
      </c>
      <c r="G75" s="204" t="s">
        <v>731</v>
      </c>
      <c r="H75" s="169">
        <v>41110</v>
      </c>
      <c r="I75" s="169">
        <f t="shared" si="1"/>
        <v>4111</v>
      </c>
      <c r="J75" s="169">
        <f t="shared" si="16"/>
        <v>20555</v>
      </c>
      <c r="K75" s="169">
        <v>1500</v>
      </c>
      <c r="L75" s="169"/>
      <c r="M75" s="169"/>
      <c r="N75" s="169"/>
      <c r="O75" s="169"/>
      <c r="P75" s="169"/>
      <c r="Q75" s="169">
        <v>500</v>
      </c>
      <c r="R75" s="170">
        <f t="shared" si="12"/>
        <v>67776</v>
      </c>
      <c r="S75" s="171">
        <f t="shared" si="13"/>
        <v>4111</v>
      </c>
      <c r="T75" s="169"/>
      <c r="U75" s="169">
        <f t="shared" si="14"/>
        <v>411</v>
      </c>
      <c r="V75" s="169"/>
      <c r="W75" s="169"/>
      <c r="X75" s="169"/>
      <c r="Y75" s="169"/>
      <c r="Z75" s="169"/>
      <c r="AA75" s="169"/>
      <c r="AB75" s="169"/>
      <c r="AC75" s="169">
        <v>417</v>
      </c>
      <c r="AD75" s="205">
        <v>100</v>
      </c>
      <c r="AE75" s="206">
        <v>10</v>
      </c>
      <c r="AF75" s="169"/>
      <c r="AG75" s="169">
        <f t="shared" si="6"/>
        <v>5049</v>
      </c>
      <c r="AH75" s="169">
        <f t="shared" si="15"/>
        <v>62727</v>
      </c>
      <c r="AI75" s="179"/>
    </row>
    <row r="76" spans="2:35" s="167" customFormat="1" ht="75.75" customHeight="1" x14ac:dyDescent="0.25">
      <c r="B76" s="161">
        <v>63</v>
      </c>
      <c r="C76" s="161">
        <v>100052</v>
      </c>
      <c r="D76" s="175" t="s">
        <v>732</v>
      </c>
      <c r="E76" s="176" t="s">
        <v>733</v>
      </c>
      <c r="F76" s="166" t="s">
        <v>653</v>
      </c>
      <c r="G76" s="162" t="s">
        <v>734</v>
      </c>
      <c r="H76" s="169">
        <v>45330</v>
      </c>
      <c r="I76" s="169">
        <f t="shared" ref="I76:I143" si="17">ROUND((H76*10%),0)</f>
        <v>4533</v>
      </c>
      <c r="J76" s="169">
        <f t="shared" si="16"/>
        <v>22665</v>
      </c>
      <c r="K76" s="169">
        <v>1500</v>
      </c>
      <c r="L76" s="169">
        <v>0</v>
      </c>
      <c r="M76" s="169"/>
      <c r="N76" s="169"/>
      <c r="O76" s="169"/>
      <c r="P76" s="169"/>
      <c r="Q76" s="169">
        <v>0</v>
      </c>
      <c r="R76" s="170">
        <f>SUM(H76:Q76)</f>
        <v>74028</v>
      </c>
      <c r="S76" s="171">
        <f>ROUND((H76*10%),0)</f>
        <v>4533</v>
      </c>
      <c r="T76" s="169">
        <v>0</v>
      </c>
      <c r="U76" s="169">
        <f>ROUND((H76*1%),0)</f>
        <v>453</v>
      </c>
      <c r="V76" s="169"/>
      <c r="W76" s="169"/>
      <c r="X76" s="169"/>
      <c r="Y76" s="169"/>
      <c r="Z76" s="169"/>
      <c r="AA76" s="169"/>
      <c r="AB76" s="169"/>
      <c r="AC76" s="169">
        <v>417</v>
      </c>
      <c r="AD76" s="172">
        <v>100</v>
      </c>
      <c r="AE76" s="169">
        <v>10</v>
      </c>
      <c r="AF76" s="169"/>
      <c r="AG76" s="169">
        <f t="shared" si="6"/>
        <v>5513</v>
      </c>
      <c r="AH76" s="169">
        <f>R76-AG76</f>
        <v>68515</v>
      </c>
      <c r="AI76" s="170"/>
    </row>
    <row r="77" spans="2:35" s="167" customFormat="1" ht="74.25" customHeight="1" x14ac:dyDescent="0.25">
      <c r="B77" s="161">
        <v>64</v>
      </c>
      <c r="C77" s="161">
        <v>100062</v>
      </c>
      <c r="D77" s="175" t="s">
        <v>735</v>
      </c>
      <c r="E77" s="198" t="s">
        <v>736</v>
      </c>
      <c r="F77" s="166" t="s">
        <v>653</v>
      </c>
      <c r="G77" s="204" t="s">
        <v>737</v>
      </c>
      <c r="H77" s="169">
        <v>41110</v>
      </c>
      <c r="I77" s="169">
        <f t="shared" si="17"/>
        <v>4111</v>
      </c>
      <c r="J77" s="169">
        <f t="shared" si="16"/>
        <v>20555</v>
      </c>
      <c r="K77" s="169">
        <v>1500</v>
      </c>
      <c r="L77" s="169"/>
      <c r="M77" s="169"/>
      <c r="N77" s="169"/>
      <c r="O77" s="169"/>
      <c r="P77" s="169"/>
      <c r="Q77" s="169"/>
      <c r="R77" s="170">
        <f>SUM(H77:Q77)</f>
        <v>67276</v>
      </c>
      <c r="S77" s="171">
        <f>ROUND((H77*10%),0)</f>
        <v>4111</v>
      </c>
      <c r="T77" s="169"/>
      <c r="U77" s="169">
        <f>ROUND((H77*1%),0)</f>
        <v>411</v>
      </c>
      <c r="V77" s="169"/>
      <c r="W77" s="169"/>
      <c r="X77" s="169"/>
      <c r="Y77" s="169"/>
      <c r="Z77" s="169"/>
      <c r="AA77" s="169"/>
      <c r="AB77" s="169"/>
      <c r="AC77" s="169">
        <v>417</v>
      </c>
      <c r="AD77" s="172">
        <v>100</v>
      </c>
      <c r="AE77" s="169">
        <v>10</v>
      </c>
      <c r="AF77" s="169"/>
      <c r="AG77" s="169">
        <f t="shared" ref="AG77:AG143" si="18">SUM(S77:AF77)</f>
        <v>5049</v>
      </c>
      <c r="AH77" s="169">
        <f>R77-AG77</f>
        <v>62227</v>
      </c>
      <c r="AI77" s="170"/>
    </row>
    <row r="78" spans="2:35" s="167" customFormat="1" ht="65.25" customHeight="1" x14ac:dyDescent="0.25">
      <c r="B78" s="161">
        <v>65</v>
      </c>
      <c r="C78" s="216">
        <v>100114</v>
      </c>
      <c r="D78" s="175" t="s">
        <v>738</v>
      </c>
      <c r="E78" s="198" t="s">
        <v>739</v>
      </c>
      <c r="F78" s="166" t="s">
        <v>653</v>
      </c>
      <c r="G78" s="204" t="s">
        <v>740</v>
      </c>
      <c r="H78" s="169">
        <v>39150</v>
      </c>
      <c r="I78" s="169">
        <f t="shared" si="17"/>
        <v>3915</v>
      </c>
      <c r="J78" s="169">
        <f t="shared" si="16"/>
        <v>19575</v>
      </c>
      <c r="K78" s="169">
        <v>1500</v>
      </c>
      <c r="L78" s="169"/>
      <c r="M78" s="169" t="s">
        <v>741</v>
      </c>
      <c r="N78" s="169"/>
      <c r="O78" s="169"/>
      <c r="P78" s="169"/>
      <c r="Q78" s="169"/>
      <c r="R78" s="170">
        <f>SUM(H78:Q78)</f>
        <v>64140</v>
      </c>
      <c r="S78" s="171">
        <f>ROUND((H78*10%),0)</f>
        <v>3915</v>
      </c>
      <c r="T78" s="169"/>
      <c r="U78" s="169">
        <f>ROUND((H78*1%),0)</f>
        <v>392</v>
      </c>
      <c r="V78" s="169"/>
      <c r="W78" s="169"/>
      <c r="X78" s="169"/>
      <c r="Y78" s="169"/>
      <c r="Z78" s="169"/>
      <c r="AA78" s="169"/>
      <c r="AB78" s="169"/>
      <c r="AC78" s="169">
        <v>417</v>
      </c>
      <c r="AD78" s="205">
        <v>100</v>
      </c>
      <c r="AE78" s="206">
        <v>10</v>
      </c>
      <c r="AF78" s="169"/>
      <c r="AG78" s="169">
        <f t="shared" si="18"/>
        <v>4834</v>
      </c>
      <c r="AH78" s="169">
        <f>R78-AG78</f>
        <v>59306</v>
      </c>
      <c r="AI78" s="179"/>
    </row>
    <row r="79" spans="2:35" s="167" customFormat="1" ht="67.5" customHeight="1" x14ac:dyDescent="0.25">
      <c r="B79" s="161">
        <v>66</v>
      </c>
      <c r="C79" s="161">
        <v>100091</v>
      </c>
      <c r="D79" s="175" t="s">
        <v>742</v>
      </c>
      <c r="E79" s="198" t="s">
        <v>743</v>
      </c>
      <c r="F79" s="166" t="s">
        <v>657</v>
      </c>
      <c r="G79" s="204" t="s">
        <v>744</v>
      </c>
      <c r="H79" s="169"/>
      <c r="I79" s="169">
        <f t="shared" si="17"/>
        <v>0</v>
      </c>
      <c r="J79" s="169"/>
      <c r="K79" s="169"/>
      <c r="L79" s="169"/>
      <c r="M79" s="169"/>
      <c r="N79" s="169"/>
      <c r="O79" s="169"/>
      <c r="P79" s="169"/>
      <c r="Q79" s="169"/>
      <c r="R79" s="170"/>
      <c r="S79" s="171"/>
      <c r="T79" s="169"/>
      <c r="U79" s="169"/>
      <c r="V79" s="169"/>
      <c r="W79" s="169"/>
      <c r="X79" s="169"/>
      <c r="Y79" s="169"/>
      <c r="Z79" s="169"/>
      <c r="AA79" s="169"/>
      <c r="AB79" s="169"/>
      <c r="AC79" s="169"/>
      <c r="AD79" s="205"/>
      <c r="AE79" s="206"/>
      <c r="AF79" s="169"/>
      <c r="AG79" s="169">
        <f t="shared" si="18"/>
        <v>0</v>
      </c>
      <c r="AH79" s="169"/>
      <c r="AI79" s="179" t="s">
        <v>675</v>
      </c>
    </row>
    <row r="80" spans="2:35" s="167" customFormat="1" ht="68.25" customHeight="1" x14ac:dyDescent="0.25">
      <c r="B80" s="161">
        <v>67</v>
      </c>
      <c r="C80" s="217">
        <v>100136</v>
      </c>
      <c r="D80" s="175" t="s">
        <v>745</v>
      </c>
      <c r="E80" s="198" t="s">
        <v>746</v>
      </c>
      <c r="F80" s="166" t="s">
        <v>657</v>
      </c>
      <c r="G80" s="204" t="s">
        <v>747</v>
      </c>
      <c r="H80" s="169">
        <v>41110</v>
      </c>
      <c r="I80" s="169">
        <f t="shared" si="17"/>
        <v>4111</v>
      </c>
      <c r="J80" s="169">
        <f>ROUND((H80*50%),0)</f>
        <v>20555</v>
      </c>
      <c r="K80" s="169">
        <v>1500</v>
      </c>
      <c r="L80" s="169"/>
      <c r="M80" s="169"/>
      <c r="N80" s="169"/>
      <c r="O80" s="169"/>
      <c r="P80" s="169"/>
      <c r="Q80" s="169"/>
      <c r="R80" s="170">
        <f>SUM(H80:Q80)</f>
        <v>67276</v>
      </c>
      <c r="S80" s="171">
        <f>ROUND((H80*10%),0)</f>
        <v>4111</v>
      </c>
      <c r="T80" s="169"/>
      <c r="U80" s="169">
        <f>ROUND((H80*1%),0)</f>
        <v>411</v>
      </c>
      <c r="V80" s="169"/>
      <c r="W80" s="169"/>
      <c r="X80" s="169"/>
      <c r="Y80" s="169"/>
      <c r="Z80" s="169"/>
      <c r="AA80" s="169"/>
      <c r="AB80" s="169"/>
      <c r="AC80" s="169">
        <v>417</v>
      </c>
      <c r="AD80" s="205">
        <v>100</v>
      </c>
      <c r="AE80" s="206">
        <v>10</v>
      </c>
      <c r="AF80" s="169"/>
      <c r="AG80" s="169">
        <f t="shared" si="18"/>
        <v>5049</v>
      </c>
      <c r="AH80" s="169">
        <f>R80-AG80</f>
        <v>62227</v>
      </c>
      <c r="AI80" s="173"/>
    </row>
    <row r="81" spans="2:38" s="167" customFormat="1" ht="71.25" customHeight="1" x14ac:dyDescent="0.25">
      <c r="B81" s="161">
        <v>68</v>
      </c>
      <c r="C81" s="218">
        <v>100084</v>
      </c>
      <c r="D81" s="175" t="s">
        <v>748</v>
      </c>
      <c r="E81" s="198" t="s">
        <v>749</v>
      </c>
      <c r="F81" s="166" t="s">
        <v>657</v>
      </c>
      <c r="G81" s="204" t="s">
        <v>750</v>
      </c>
      <c r="H81" s="169">
        <v>41110</v>
      </c>
      <c r="I81" s="169">
        <f t="shared" si="17"/>
        <v>4111</v>
      </c>
      <c r="J81" s="169">
        <f>ROUND((H81*50%),0)</f>
        <v>20555</v>
      </c>
      <c r="K81" s="169">
        <v>1500</v>
      </c>
      <c r="L81" s="169"/>
      <c r="M81" s="169"/>
      <c r="N81" s="169"/>
      <c r="O81" s="169"/>
      <c r="P81" s="169"/>
      <c r="Q81" s="169"/>
      <c r="R81" s="170">
        <f>SUM(H81:Q81)</f>
        <v>67276</v>
      </c>
      <c r="S81" s="171">
        <f>ROUND((H81*10%),0)</f>
        <v>4111</v>
      </c>
      <c r="T81" s="169"/>
      <c r="U81" s="169">
        <f>ROUND((H81*1%),0)</f>
        <v>411</v>
      </c>
      <c r="V81" s="169"/>
      <c r="W81" s="169"/>
      <c r="X81" s="169"/>
      <c r="Y81" s="169"/>
      <c r="Z81" s="169"/>
      <c r="AA81" s="169"/>
      <c r="AB81" s="169"/>
      <c r="AC81" s="169">
        <v>417</v>
      </c>
      <c r="AD81" s="205">
        <v>100</v>
      </c>
      <c r="AE81" s="206">
        <v>10</v>
      </c>
      <c r="AF81" s="169"/>
      <c r="AG81" s="169">
        <f t="shared" si="18"/>
        <v>5049</v>
      </c>
      <c r="AH81" s="169">
        <f>R81-AG81</f>
        <v>62227</v>
      </c>
      <c r="AI81" s="179"/>
    </row>
    <row r="82" spans="2:38" s="167" customFormat="1" ht="72" customHeight="1" x14ac:dyDescent="0.25">
      <c r="B82" s="161">
        <v>69</v>
      </c>
      <c r="C82" s="218">
        <v>100071</v>
      </c>
      <c r="D82" s="175" t="s">
        <v>751</v>
      </c>
      <c r="E82" s="198" t="s">
        <v>752</v>
      </c>
      <c r="F82" s="166" t="s">
        <v>657</v>
      </c>
      <c r="G82" s="204" t="s">
        <v>753</v>
      </c>
      <c r="H82" s="169">
        <v>41110</v>
      </c>
      <c r="I82" s="169">
        <f t="shared" si="17"/>
        <v>4111</v>
      </c>
      <c r="J82" s="169">
        <f>ROUND((H82*50%),0)</f>
        <v>20555</v>
      </c>
      <c r="K82" s="169">
        <v>1500</v>
      </c>
      <c r="L82" s="169"/>
      <c r="M82" s="169"/>
      <c r="N82" s="169"/>
      <c r="O82" s="169"/>
      <c r="P82" s="169"/>
      <c r="Q82" s="169"/>
      <c r="R82" s="170">
        <f>SUM(H82:Q82)</f>
        <v>67276</v>
      </c>
      <c r="S82" s="171">
        <f>ROUND((H82*10%),0)</f>
        <v>4111</v>
      </c>
      <c r="T82" s="169"/>
      <c r="U82" s="169">
        <f>ROUND((H82*1%),0)</f>
        <v>411</v>
      </c>
      <c r="V82" s="169"/>
      <c r="W82" s="169"/>
      <c r="X82" s="169"/>
      <c r="Y82" s="169"/>
      <c r="Z82" s="169"/>
      <c r="AA82" s="169"/>
      <c r="AB82" s="169"/>
      <c r="AC82" s="169">
        <v>417</v>
      </c>
      <c r="AD82" s="172">
        <v>100</v>
      </c>
      <c r="AE82" s="169">
        <v>10</v>
      </c>
      <c r="AF82" s="169"/>
      <c r="AG82" s="169">
        <f t="shared" si="18"/>
        <v>5049</v>
      </c>
      <c r="AH82" s="169">
        <f>R82-AG82</f>
        <v>62227</v>
      </c>
      <c r="AI82" s="170"/>
    </row>
    <row r="83" spans="2:38" s="167" customFormat="1" ht="71.25" customHeight="1" x14ac:dyDescent="0.25">
      <c r="B83" s="161">
        <v>70</v>
      </c>
      <c r="C83" s="218">
        <v>100073</v>
      </c>
      <c r="D83" s="175" t="s">
        <v>754</v>
      </c>
      <c r="E83" s="198" t="s">
        <v>755</v>
      </c>
      <c r="F83" s="166" t="s">
        <v>657</v>
      </c>
      <c r="G83" s="204" t="s">
        <v>756</v>
      </c>
      <c r="H83" s="169"/>
      <c r="I83" s="169">
        <f t="shared" si="17"/>
        <v>0</v>
      </c>
      <c r="J83" s="169"/>
      <c r="K83" s="169"/>
      <c r="L83" s="169"/>
      <c r="M83" s="169"/>
      <c r="N83" s="169"/>
      <c r="O83" s="169"/>
      <c r="P83" s="169"/>
      <c r="Q83" s="169"/>
      <c r="R83" s="170"/>
      <c r="S83" s="171"/>
      <c r="T83" s="169"/>
      <c r="U83" s="169"/>
      <c r="V83" s="169"/>
      <c r="W83" s="169"/>
      <c r="X83" s="169"/>
      <c r="Y83" s="169"/>
      <c r="Z83" s="169"/>
      <c r="AA83" s="169"/>
      <c r="AB83" s="169"/>
      <c r="AC83" s="169"/>
      <c r="AD83" s="172"/>
      <c r="AE83" s="169"/>
      <c r="AF83" s="169"/>
      <c r="AG83" s="169">
        <f t="shared" si="18"/>
        <v>0</v>
      </c>
      <c r="AH83" s="169"/>
      <c r="AI83" s="179" t="s">
        <v>675</v>
      </c>
    </row>
    <row r="84" spans="2:38" s="167" customFormat="1" ht="72.75" customHeight="1" x14ac:dyDescent="0.25">
      <c r="B84" s="161">
        <v>71</v>
      </c>
      <c r="C84" s="219">
        <v>100138</v>
      </c>
      <c r="D84" s="175" t="s">
        <v>757</v>
      </c>
      <c r="E84" s="198" t="s">
        <v>758</v>
      </c>
      <c r="F84" s="166" t="s">
        <v>759</v>
      </c>
      <c r="G84" s="204" t="s">
        <v>760</v>
      </c>
      <c r="H84" s="169"/>
      <c r="I84" s="169">
        <f t="shared" si="17"/>
        <v>0</v>
      </c>
      <c r="J84" s="169"/>
      <c r="K84" s="169"/>
      <c r="L84" s="169"/>
      <c r="M84" s="169"/>
      <c r="N84" s="169"/>
      <c r="O84" s="169"/>
      <c r="P84" s="169"/>
      <c r="Q84" s="169"/>
      <c r="R84" s="170"/>
      <c r="S84" s="171"/>
      <c r="T84" s="169"/>
      <c r="U84" s="169"/>
      <c r="V84" s="169"/>
      <c r="W84" s="169"/>
      <c r="X84" s="169"/>
      <c r="Y84" s="169"/>
      <c r="Z84" s="169"/>
      <c r="AA84" s="169"/>
      <c r="AB84" s="169"/>
      <c r="AC84" s="169"/>
      <c r="AD84" s="205"/>
      <c r="AE84" s="206"/>
      <c r="AF84" s="169"/>
      <c r="AG84" s="169">
        <f t="shared" si="18"/>
        <v>0</v>
      </c>
      <c r="AH84" s="169"/>
      <c r="AI84" s="179" t="s">
        <v>675</v>
      </c>
    </row>
    <row r="85" spans="2:38" s="167" customFormat="1" ht="70.5" customHeight="1" x14ac:dyDescent="0.25">
      <c r="B85" s="161">
        <v>72</v>
      </c>
      <c r="C85" s="219">
        <v>100149</v>
      </c>
      <c r="D85" s="175" t="s">
        <v>761</v>
      </c>
      <c r="E85" s="198" t="s">
        <v>762</v>
      </c>
      <c r="F85" s="160" t="s">
        <v>763</v>
      </c>
      <c r="G85" s="162" t="s">
        <v>764</v>
      </c>
      <c r="H85" s="169"/>
      <c r="I85" s="169">
        <f t="shared" si="17"/>
        <v>0</v>
      </c>
      <c r="J85" s="169"/>
      <c r="K85" s="169"/>
      <c r="L85" s="169"/>
      <c r="M85" s="169"/>
      <c r="N85" s="169"/>
      <c r="O85" s="169"/>
      <c r="P85" s="169"/>
      <c r="Q85" s="169"/>
      <c r="R85" s="170"/>
      <c r="S85" s="171"/>
      <c r="T85" s="169"/>
      <c r="U85" s="169"/>
      <c r="V85" s="169"/>
      <c r="W85" s="169"/>
      <c r="X85" s="169"/>
      <c r="Y85" s="169"/>
      <c r="Z85" s="169"/>
      <c r="AA85" s="169"/>
      <c r="AB85" s="169"/>
      <c r="AC85" s="206"/>
      <c r="AD85" s="205"/>
      <c r="AE85" s="206"/>
      <c r="AF85" s="169"/>
      <c r="AG85" s="169">
        <f t="shared" si="18"/>
        <v>0</v>
      </c>
      <c r="AH85" s="169"/>
      <c r="AI85" s="179" t="s">
        <v>675</v>
      </c>
    </row>
    <row r="86" spans="2:38" s="167" customFormat="1" ht="67.5" customHeight="1" x14ac:dyDescent="0.25">
      <c r="B86" s="161">
        <v>73</v>
      </c>
      <c r="C86" s="218">
        <v>100116</v>
      </c>
      <c r="D86" s="175" t="s">
        <v>765</v>
      </c>
      <c r="E86" s="198" t="s">
        <v>766</v>
      </c>
      <c r="F86" s="166" t="s">
        <v>657</v>
      </c>
      <c r="G86" s="204" t="s">
        <v>767</v>
      </c>
      <c r="H86" s="169"/>
      <c r="I86" s="169">
        <f t="shared" si="17"/>
        <v>0</v>
      </c>
      <c r="J86" s="169"/>
      <c r="K86" s="169"/>
      <c r="L86" s="169"/>
      <c r="M86" s="169"/>
      <c r="N86" s="169"/>
      <c r="O86" s="169"/>
      <c r="P86" s="169"/>
      <c r="Q86" s="169"/>
      <c r="R86" s="170"/>
      <c r="S86" s="171"/>
      <c r="T86" s="169"/>
      <c r="U86" s="169"/>
      <c r="V86" s="169"/>
      <c r="W86" s="169"/>
      <c r="X86" s="169"/>
      <c r="Y86" s="169"/>
      <c r="Z86" s="169"/>
      <c r="AA86" s="169"/>
      <c r="AB86" s="169"/>
      <c r="AC86" s="169"/>
      <c r="AD86" s="205"/>
      <c r="AE86" s="206"/>
      <c r="AF86" s="169"/>
      <c r="AG86" s="169">
        <f t="shared" si="18"/>
        <v>0</v>
      </c>
      <c r="AH86" s="169"/>
      <c r="AI86" s="179" t="s">
        <v>675</v>
      </c>
    </row>
    <row r="87" spans="2:38" s="167" customFormat="1" ht="81" customHeight="1" x14ac:dyDescent="0.25">
      <c r="B87" s="161">
        <v>74</v>
      </c>
      <c r="C87" s="161">
        <v>100030</v>
      </c>
      <c r="D87" s="175" t="s">
        <v>768</v>
      </c>
      <c r="E87" s="176" t="s">
        <v>769</v>
      </c>
      <c r="F87" s="166" t="s">
        <v>657</v>
      </c>
      <c r="G87" s="162" t="s">
        <v>770</v>
      </c>
      <c r="H87" s="169">
        <v>52480</v>
      </c>
      <c r="I87" s="169">
        <f t="shared" si="17"/>
        <v>5248</v>
      </c>
      <c r="J87" s="169">
        <f t="shared" ref="J87:J94" si="19">ROUND((H87*50%),0)</f>
        <v>26240</v>
      </c>
      <c r="K87" s="169">
        <v>1500</v>
      </c>
      <c r="L87" s="169"/>
      <c r="M87" s="169"/>
      <c r="N87" s="169"/>
      <c r="O87" s="169"/>
      <c r="P87" s="169"/>
      <c r="Q87" s="169"/>
      <c r="R87" s="170">
        <f>SUM(H87:Q87)</f>
        <v>85468</v>
      </c>
      <c r="S87" s="171">
        <f>ROUND((H87*10%),0)</f>
        <v>5248</v>
      </c>
      <c r="T87" s="169"/>
      <c r="U87" s="169">
        <f>ROUND((H87*1%),0)</f>
        <v>525</v>
      </c>
      <c r="V87" s="169"/>
      <c r="W87" s="169"/>
      <c r="X87" s="169"/>
      <c r="Y87" s="169"/>
      <c r="Z87" s="169"/>
      <c r="AA87" s="169"/>
      <c r="AB87" s="169"/>
      <c r="AC87" s="169">
        <v>1055</v>
      </c>
      <c r="AD87" s="172">
        <v>100</v>
      </c>
      <c r="AE87" s="169">
        <v>10</v>
      </c>
      <c r="AF87" s="169"/>
      <c r="AG87" s="169">
        <f t="shared" si="18"/>
        <v>6938</v>
      </c>
      <c r="AH87" s="169">
        <f>R87-AG87</f>
        <v>78530</v>
      </c>
      <c r="AI87" s="173"/>
      <c r="AJ87" s="220"/>
      <c r="AK87" s="220"/>
      <c r="AL87" s="220"/>
    </row>
    <row r="88" spans="2:38" s="167" customFormat="1" ht="70.5" customHeight="1" x14ac:dyDescent="0.25">
      <c r="B88" s="161">
        <v>75</v>
      </c>
      <c r="C88" s="161">
        <v>100048</v>
      </c>
      <c r="D88" s="175" t="s">
        <v>771</v>
      </c>
      <c r="E88" s="198" t="s">
        <v>772</v>
      </c>
      <c r="F88" s="166" t="s">
        <v>657</v>
      </c>
      <c r="G88" s="162" t="s">
        <v>773</v>
      </c>
      <c r="H88" s="169">
        <v>47600</v>
      </c>
      <c r="I88" s="169">
        <f t="shared" si="17"/>
        <v>4760</v>
      </c>
      <c r="J88" s="169">
        <f t="shared" si="19"/>
        <v>23800</v>
      </c>
      <c r="K88" s="169">
        <v>1500</v>
      </c>
      <c r="L88" s="169">
        <v>0</v>
      </c>
      <c r="M88" s="169"/>
      <c r="N88" s="169"/>
      <c r="O88" s="169"/>
      <c r="P88" s="169">
        <v>0</v>
      </c>
      <c r="Q88" s="169">
        <v>0</v>
      </c>
      <c r="R88" s="170">
        <f>SUM(H88:Q88)</f>
        <v>77660</v>
      </c>
      <c r="S88" s="171">
        <f>ROUND((H88*10%),0)</f>
        <v>4760</v>
      </c>
      <c r="T88" s="169">
        <v>11000</v>
      </c>
      <c r="U88" s="169">
        <f>ROUND((H88*1%),0)</f>
        <v>476</v>
      </c>
      <c r="V88" s="169"/>
      <c r="W88" s="169"/>
      <c r="X88" s="169">
        <v>0</v>
      </c>
      <c r="Y88" s="169">
        <v>0</v>
      </c>
      <c r="Z88" s="169">
        <v>0</v>
      </c>
      <c r="AA88" s="169"/>
      <c r="AB88" s="169"/>
      <c r="AC88" s="169">
        <v>554</v>
      </c>
      <c r="AD88" s="172">
        <v>100</v>
      </c>
      <c r="AE88" s="169">
        <v>10</v>
      </c>
      <c r="AF88" s="169"/>
      <c r="AG88" s="169">
        <f t="shared" si="18"/>
        <v>16900</v>
      </c>
      <c r="AH88" s="169">
        <f>R88-AG88</f>
        <v>60760</v>
      </c>
      <c r="AI88" s="173" t="s">
        <v>138</v>
      </c>
    </row>
    <row r="89" spans="2:38" s="167" customFormat="1" ht="71.25" customHeight="1" x14ac:dyDescent="0.25">
      <c r="B89" s="161">
        <v>76</v>
      </c>
      <c r="C89" s="161">
        <v>100061</v>
      </c>
      <c r="D89" s="175" t="s">
        <v>774</v>
      </c>
      <c r="E89" s="198" t="s">
        <v>775</v>
      </c>
      <c r="F89" s="166" t="s">
        <v>657</v>
      </c>
      <c r="G89" s="162" t="s">
        <v>776</v>
      </c>
      <c r="H89" s="169">
        <v>43170</v>
      </c>
      <c r="I89" s="169">
        <f t="shared" si="17"/>
        <v>4317</v>
      </c>
      <c r="J89" s="169">
        <f t="shared" si="19"/>
        <v>21585</v>
      </c>
      <c r="K89" s="169">
        <v>1500</v>
      </c>
      <c r="L89" s="169"/>
      <c r="M89" s="169"/>
      <c r="N89" s="169"/>
      <c r="O89" s="169"/>
      <c r="P89" s="169"/>
      <c r="Q89" s="169">
        <v>1000</v>
      </c>
      <c r="R89" s="170">
        <f>SUM(H89:Q89)</f>
        <v>71572</v>
      </c>
      <c r="S89" s="171">
        <f>ROUND((H89*10%),0)</f>
        <v>4317</v>
      </c>
      <c r="T89" s="169"/>
      <c r="U89" s="169">
        <f>ROUND((H89*1%),0)</f>
        <v>432</v>
      </c>
      <c r="V89" s="169"/>
      <c r="W89" s="169"/>
      <c r="X89" s="169"/>
      <c r="Y89" s="169"/>
      <c r="Z89" s="169"/>
      <c r="AA89" s="169"/>
      <c r="AB89" s="169"/>
      <c r="AC89" s="169">
        <v>417</v>
      </c>
      <c r="AD89" s="172">
        <v>100</v>
      </c>
      <c r="AE89" s="169">
        <v>10</v>
      </c>
      <c r="AF89" s="169"/>
      <c r="AG89" s="169">
        <f t="shared" si="18"/>
        <v>5276</v>
      </c>
      <c r="AH89" s="169">
        <f>R89-AG89</f>
        <v>66296</v>
      </c>
      <c r="AI89" s="170"/>
    </row>
    <row r="90" spans="2:38" s="167" customFormat="1" ht="74.25" customHeight="1" x14ac:dyDescent="0.25">
      <c r="B90" s="161">
        <v>77</v>
      </c>
      <c r="C90" s="218">
        <v>100072</v>
      </c>
      <c r="D90" s="175" t="s">
        <v>777</v>
      </c>
      <c r="E90" s="198" t="s">
        <v>778</v>
      </c>
      <c r="F90" s="166" t="s">
        <v>657</v>
      </c>
      <c r="G90" s="204" t="s">
        <v>779</v>
      </c>
      <c r="H90" s="169">
        <v>45330</v>
      </c>
      <c r="I90" s="169">
        <f t="shared" si="17"/>
        <v>4533</v>
      </c>
      <c r="J90" s="169">
        <f t="shared" si="19"/>
        <v>22665</v>
      </c>
      <c r="K90" s="169">
        <v>1500</v>
      </c>
      <c r="L90" s="169"/>
      <c r="M90" s="169"/>
      <c r="N90" s="169"/>
      <c r="O90" s="169"/>
      <c r="P90" s="169"/>
      <c r="Q90" s="169"/>
      <c r="R90" s="170">
        <f>SUM(H90:Q90)</f>
        <v>74028</v>
      </c>
      <c r="S90" s="171">
        <f>ROUND((H90*10%),0)</f>
        <v>4533</v>
      </c>
      <c r="T90" s="169"/>
      <c r="U90" s="169">
        <f>ROUND((H90*1%),0)</f>
        <v>453</v>
      </c>
      <c r="V90" s="169"/>
      <c r="W90" s="169"/>
      <c r="X90" s="169"/>
      <c r="Y90" s="169"/>
      <c r="Z90" s="169"/>
      <c r="AA90" s="169"/>
      <c r="AB90" s="169"/>
      <c r="AC90" s="169">
        <v>417</v>
      </c>
      <c r="AD90" s="172">
        <v>100</v>
      </c>
      <c r="AE90" s="169">
        <v>10</v>
      </c>
      <c r="AF90" s="169"/>
      <c r="AG90" s="169">
        <f t="shared" si="18"/>
        <v>5513</v>
      </c>
      <c r="AH90" s="169">
        <f t="shared" ref="AH90:AH95" si="20">R90-AG90</f>
        <v>68515</v>
      </c>
      <c r="AI90" s="173"/>
    </row>
    <row r="91" spans="2:38" s="167" customFormat="1" ht="54" customHeight="1" x14ac:dyDescent="0.25">
      <c r="B91" s="161">
        <v>78</v>
      </c>
      <c r="C91" s="218">
        <v>100123</v>
      </c>
      <c r="D91" s="175" t="s">
        <v>780</v>
      </c>
      <c r="E91" s="198" t="s">
        <v>781</v>
      </c>
      <c r="F91" s="166" t="s">
        <v>657</v>
      </c>
      <c r="G91" s="204" t="s">
        <v>782</v>
      </c>
      <c r="H91" s="169">
        <v>41110</v>
      </c>
      <c r="I91" s="169">
        <f t="shared" si="17"/>
        <v>4111</v>
      </c>
      <c r="J91" s="169">
        <f t="shared" si="19"/>
        <v>20555</v>
      </c>
      <c r="K91" s="169">
        <v>1500</v>
      </c>
      <c r="L91" s="169"/>
      <c r="M91" s="169"/>
      <c r="N91" s="169"/>
      <c r="O91" s="169"/>
      <c r="P91" s="169"/>
      <c r="Q91" s="169"/>
      <c r="R91" s="170">
        <f>SUM(H91:Q91)</f>
        <v>67276</v>
      </c>
      <c r="S91" s="171">
        <f>ROUND((H91*10%),0)</f>
        <v>4111</v>
      </c>
      <c r="T91" s="169"/>
      <c r="U91" s="169">
        <f>ROUND((H91*1%),0)</f>
        <v>411</v>
      </c>
      <c r="V91" s="169"/>
      <c r="W91" s="169"/>
      <c r="X91" s="169"/>
      <c r="Y91" s="169"/>
      <c r="Z91" s="169"/>
      <c r="AA91" s="169"/>
      <c r="AB91" s="169"/>
      <c r="AC91" s="169">
        <v>417</v>
      </c>
      <c r="AD91" s="205">
        <v>100</v>
      </c>
      <c r="AE91" s="206">
        <v>10</v>
      </c>
      <c r="AF91" s="169"/>
      <c r="AG91" s="169">
        <f t="shared" si="18"/>
        <v>5049</v>
      </c>
      <c r="AH91" s="169">
        <f t="shared" si="20"/>
        <v>62227</v>
      </c>
      <c r="AI91" s="173"/>
    </row>
    <row r="92" spans="2:38" s="167" customFormat="1" ht="74.25" customHeight="1" x14ac:dyDescent="0.25">
      <c r="B92" s="161">
        <v>79</v>
      </c>
      <c r="C92" s="218">
        <v>100085</v>
      </c>
      <c r="D92" s="175" t="s">
        <v>783</v>
      </c>
      <c r="E92" s="198" t="s">
        <v>784</v>
      </c>
      <c r="F92" s="166" t="s">
        <v>657</v>
      </c>
      <c r="G92" s="204" t="s">
        <v>785</v>
      </c>
      <c r="H92" s="169">
        <v>43170</v>
      </c>
      <c r="I92" s="169">
        <f t="shared" si="17"/>
        <v>4317</v>
      </c>
      <c r="J92" s="169">
        <f t="shared" si="19"/>
        <v>21585</v>
      </c>
      <c r="K92" s="169">
        <v>1500</v>
      </c>
      <c r="L92" s="169"/>
      <c r="M92" s="169"/>
      <c r="N92" s="169"/>
      <c r="O92" s="169"/>
      <c r="P92" s="169"/>
      <c r="Q92" s="169"/>
      <c r="R92" s="170">
        <f t="shared" ref="R92:R106" si="21">SUM(H92:Q92)</f>
        <v>70572</v>
      </c>
      <c r="S92" s="171">
        <f t="shared" ref="S92:S106" si="22">ROUND((H92*10%),0)</f>
        <v>4317</v>
      </c>
      <c r="T92" s="169">
        <v>5500</v>
      </c>
      <c r="U92" s="169">
        <f t="shared" ref="U92:U106" si="23">ROUND((H92*1%),0)</f>
        <v>432</v>
      </c>
      <c r="V92" s="169"/>
      <c r="W92" s="169"/>
      <c r="X92" s="169"/>
      <c r="Y92" s="169"/>
      <c r="Z92" s="169"/>
      <c r="AA92" s="169"/>
      <c r="AB92" s="169"/>
      <c r="AC92" s="169">
        <v>417</v>
      </c>
      <c r="AD92" s="205">
        <v>100</v>
      </c>
      <c r="AE92" s="206">
        <v>10</v>
      </c>
      <c r="AF92" s="169"/>
      <c r="AG92" s="169">
        <f t="shared" si="18"/>
        <v>10776</v>
      </c>
      <c r="AH92" s="169">
        <f t="shared" si="20"/>
        <v>59796</v>
      </c>
      <c r="AI92" s="179" t="s">
        <v>786</v>
      </c>
    </row>
    <row r="93" spans="2:38" s="167" customFormat="1" ht="65.25" customHeight="1" x14ac:dyDescent="0.25">
      <c r="B93" s="161">
        <v>80</v>
      </c>
      <c r="C93" s="218">
        <v>100137</v>
      </c>
      <c r="D93" s="175" t="s">
        <v>787</v>
      </c>
      <c r="E93" s="198" t="s">
        <v>788</v>
      </c>
      <c r="F93" s="166" t="s">
        <v>657</v>
      </c>
      <c r="G93" s="204" t="s">
        <v>789</v>
      </c>
      <c r="H93" s="169">
        <v>43170</v>
      </c>
      <c r="I93" s="169">
        <f t="shared" si="17"/>
        <v>4317</v>
      </c>
      <c r="J93" s="169">
        <f t="shared" si="19"/>
        <v>21585</v>
      </c>
      <c r="K93" s="169">
        <v>1500</v>
      </c>
      <c r="L93" s="169"/>
      <c r="M93" s="169"/>
      <c r="N93" s="169"/>
      <c r="O93" s="169"/>
      <c r="P93" s="169"/>
      <c r="Q93" s="169"/>
      <c r="R93" s="170">
        <f t="shared" si="21"/>
        <v>70572</v>
      </c>
      <c r="S93" s="171">
        <f t="shared" si="22"/>
        <v>4317</v>
      </c>
      <c r="T93" s="169">
        <v>3200</v>
      </c>
      <c r="U93" s="169">
        <f t="shared" si="23"/>
        <v>432</v>
      </c>
      <c r="V93" s="169"/>
      <c r="W93" s="169"/>
      <c r="X93" s="169"/>
      <c r="Y93" s="169"/>
      <c r="Z93" s="169"/>
      <c r="AA93" s="169"/>
      <c r="AB93" s="169"/>
      <c r="AC93" s="169">
        <v>417</v>
      </c>
      <c r="AD93" s="205">
        <v>100</v>
      </c>
      <c r="AE93" s="206">
        <v>10</v>
      </c>
      <c r="AF93" s="169"/>
      <c r="AG93" s="169">
        <f t="shared" si="18"/>
        <v>8476</v>
      </c>
      <c r="AH93" s="169">
        <f t="shared" si="20"/>
        <v>62096</v>
      </c>
      <c r="AI93" s="179" t="s">
        <v>790</v>
      </c>
    </row>
    <row r="94" spans="2:38" s="167" customFormat="1" ht="67.5" customHeight="1" x14ac:dyDescent="0.25">
      <c r="B94" s="161">
        <v>81</v>
      </c>
      <c r="C94" s="218">
        <v>100096</v>
      </c>
      <c r="D94" s="175" t="s">
        <v>791</v>
      </c>
      <c r="E94" s="198" t="s">
        <v>792</v>
      </c>
      <c r="F94" s="166" t="s">
        <v>657</v>
      </c>
      <c r="G94" s="204" t="s">
        <v>793</v>
      </c>
      <c r="H94" s="169">
        <v>43170</v>
      </c>
      <c r="I94" s="169">
        <f t="shared" si="17"/>
        <v>4317</v>
      </c>
      <c r="J94" s="169">
        <f t="shared" si="19"/>
        <v>21585</v>
      </c>
      <c r="K94" s="169">
        <v>1500</v>
      </c>
      <c r="L94" s="169"/>
      <c r="M94" s="169"/>
      <c r="N94" s="169"/>
      <c r="O94" s="169"/>
      <c r="P94" s="169"/>
      <c r="Q94" s="169"/>
      <c r="R94" s="170">
        <f t="shared" si="21"/>
        <v>70572</v>
      </c>
      <c r="S94" s="171">
        <f t="shared" si="22"/>
        <v>4317</v>
      </c>
      <c r="T94" s="169">
        <v>5800</v>
      </c>
      <c r="U94" s="169">
        <f t="shared" si="23"/>
        <v>432</v>
      </c>
      <c r="V94" s="169"/>
      <c r="W94" s="169"/>
      <c r="X94" s="169"/>
      <c r="Y94" s="169"/>
      <c r="Z94" s="169"/>
      <c r="AA94" s="169"/>
      <c r="AB94" s="169"/>
      <c r="AC94" s="169">
        <v>417</v>
      </c>
      <c r="AD94" s="205">
        <v>100</v>
      </c>
      <c r="AE94" s="206">
        <v>10</v>
      </c>
      <c r="AF94" s="169"/>
      <c r="AG94" s="169">
        <f t="shared" si="18"/>
        <v>11076</v>
      </c>
      <c r="AH94" s="169">
        <f t="shared" si="20"/>
        <v>59496</v>
      </c>
      <c r="AI94" s="179" t="s">
        <v>794</v>
      </c>
    </row>
    <row r="95" spans="2:38" s="167" customFormat="1" ht="66.75" customHeight="1" x14ac:dyDescent="0.25">
      <c r="B95" s="161">
        <v>82</v>
      </c>
      <c r="C95" s="208">
        <v>100147</v>
      </c>
      <c r="D95" s="168" t="s">
        <v>795</v>
      </c>
      <c r="E95" s="198" t="s">
        <v>796</v>
      </c>
      <c r="F95" s="166" t="s">
        <v>657</v>
      </c>
      <c r="G95" s="162" t="s">
        <v>797</v>
      </c>
      <c r="H95" s="169">
        <v>37280</v>
      </c>
      <c r="I95" s="169">
        <f t="shared" si="17"/>
        <v>3728</v>
      </c>
      <c r="J95" s="169">
        <v>19500</v>
      </c>
      <c r="K95" s="169">
        <v>1500</v>
      </c>
      <c r="L95" s="169"/>
      <c r="M95" s="169"/>
      <c r="N95" s="169"/>
      <c r="O95" s="169"/>
      <c r="P95" s="169"/>
      <c r="Q95" s="169"/>
      <c r="R95" s="170">
        <f t="shared" si="21"/>
        <v>62008</v>
      </c>
      <c r="S95" s="171">
        <f t="shared" si="22"/>
        <v>3728</v>
      </c>
      <c r="T95" s="169"/>
      <c r="U95" s="169">
        <f t="shared" si="23"/>
        <v>373</v>
      </c>
      <c r="V95" s="169"/>
      <c r="W95" s="169"/>
      <c r="X95" s="169"/>
      <c r="Y95" s="169"/>
      <c r="Z95" s="169"/>
      <c r="AA95" s="169"/>
      <c r="AB95" s="169"/>
      <c r="AC95" s="169">
        <v>417</v>
      </c>
      <c r="AD95" s="205">
        <v>100</v>
      </c>
      <c r="AE95" s="206">
        <v>10</v>
      </c>
      <c r="AF95" s="169"/>
      <c r="AG95" s="169">
        <f t="shared" si="18"/>
        <v>4628</v>
      </c>
      <c r="AH95" s="169">
        <f t="shared" si="20"/>
        <v>57380</v>
      </c>
      <c r="AI95" s="179"/>
    </row>
    <row r="96" spans="2:38" s="220" customFormat="1" ht="50.25" customHeight="1" x14ac:dyDescent="0.25">
      <c r="B96" s="161">
        <v>83</v>
      </c>
      <c r="C96" s="221">
        <v>100151</v>
      </c>
      <c r="D96" s="222" t="s">
        <v>798</v>
      </c>
      <c r="E96" s="223" t="s">
        <v>799</v>
      </c>
      <c r="F96" s="166" t="s">
        <v>657</v>
      </c>
      <c r="G96" s="224" t="s">
        <v>800</v>
      </c>
      <c r="H96" s="169">
        <v>39150</v>
      </c>
      <c r="I96" s="169">
        <f>ROUND((H96*10%),0)</f>
        <v>3915</v>
      </c>
      <c r="J96" s="169">
        <f>ROUND((H96*50%),0)</f>
        <v>19575</v>
      </c>
      <c r="K96" s="225">
        <v>1500</v>
      </c>
      <c r="L96" s="225"/>
      <c r="M96" s="169"/>
      <c r="N96" s="169"/>
      <c r="O96" s="169"/>
      <c r="P96" s="225"/>
      <c r="Q96" s="225"/>
      <c r="R96" s="226">
        <f>SUM(H96:Q96)</f>
        <v>64140</v>
      </c>
      <c r="S96" s="171">
        <f>ROUND((H96*10%),0)</f>
        <v>3915</v>
      </c>
      <c r="T96" s="225">
        <v>3300</v>
      </c>
      <c r="U96" s="225">
        <f>ROUND((H96*1%),0)</f>
        <v>392</v>
      </c>
      <c r="V96" s="169"/>
      <c r="W96" s="225"/>
      <c r="X96" s="225"/>
      <c r="Y96" s="225"/>
      <c r="Z96" s="225"/>
      <c r="AA96" s="225"/>
      <c r="AB96" s="225"/>
      <c r="AC96" s="227"/>
      <c r="AD96" s="228">
        <v>100</v>
      </c>
      <c r="AE96" s="227">
        <v>10</v>
      </c>
      <c r="AF96" s="169"/>
      <c r="AG96" s="169">
        <f>SUM(S96:AF96)</f>
        <v>7717</v>
      </c>
      <c r="AH96" s="225">
        <f>R96-AG96</f>
        <v>56423</v>
      </c>
      <c r="AI96" s="229" t="s">
        <v>801</v>
      </c>
    </row>
    <row r="97" spans="1:54" s="167" customFormat="1" ht="60.75" customHeight="1" x14ac:dyDescent="0.25">
      <c r="B97" s="161">
        <v>84</v>
      </c>
      <c r="C97" s="161">
        <v>100069</v>
      </c>
      <c r="D97" s="175" t="s">
        <v>802</v>
      </c>
      <c r="E97" s="198" t="s">
        <v>803</v>
      </c>
      <c r="F97" s="166" t="s">
        <v>657</v>
      </c>
      <c r="G97" s="230" t="s">
        <v>804</v>
      </c>
      <c r="H97" s="169">
        <v>39150</v>
      </c>
      <c r="I97" s="169">
        <f t="shared" si="17"/>
        <v>3915</v>
      </c>
      <c r="J97" s="169">
        <f t="shared" ref="J97:J111" si="24">ROUND((H97*50%),0)</f>
        <v>19575</v>
      </c>
      <c r="K97" s="169">
        <v>1500</v>
      </c>
      <c r="L97" s="169"/>
      <c r="M97" s="169"/>
      <c r="N97" s="169"/>
      <c r="O97" s="169"/>
      <c r="P97" s="169"/>
      <c r="Q97" s="169"/>
      <c r="R97" s="170">
        <f t="shared" si="21"/>
        <v>64140</v>
      </c>
      <c r="S97" s="171">
        <f t="shared" si="22"/>
        <v>3915</v>
      </c>
      <c r="T97" s="169"/>
      <c r="U97" s="169">
        <f t="shared" si="23"/>
        <v>392</v>
      </c>
      <c r="V97" s="169"/>
      <c r="W97" s="169"/>
      <c r="X97" s="169"/>
      <c r="Y97" s="169"/>
      <c r="Z97" s="169"/>
      <c r="AA97" s="169"/>
      <c r="AB97" s="169"/>
      <c r="AC97" s="169">
        <v>417</v>
      </c>
      <c r="AD97" s="172">
        <v>100</v>
      </c>
      <c r="AE97" s="169">
        <v>10</v>
      </c>
      <c r="AF97" s="169"/>
      <c r="AG97" s="169">
        <f t="shared" si="18"/>
        <v>4834</v>
      </c>
      <c r="AH97" s="169">
        <f t="shared" ref="AH97:AH112" si="25">R97-AG97</f>
        <v>59306</v>
      </c>
      <c r="AI97" s="231"/>
      <c r="AJ97" s="232"/>
    </row>
    <row r="98" spans="1:54" s="167" customFormat="1" ht="67.5" customHeight="1" x14ac:dyDescent="0.25">
      <c r="B98" s="161">
        <v>85</v>
      </c>
      <c r="C98" s="219">
        <v>100153</v>
      </c>
      <c r="D98" s="175" t="s">
        <v>805</v>
      </c>
      <c r="E98" s="198" t="s">
        <v>806</v>
      </c>
      <c r="F98" s="166" t="s">
        <v>657</v>
      </c>
      <c r="G98" s="162" t="s">
        <v>807</v>
      </c>
      <c r="H98" s="169"/>
      <c r="I98" s="169">
        <f t="shared" si="17"/>
        <v>0</v>
      </c>
      <c r="J98" s="169">
        <f t="shared" si="24"/>
        <v>0</v>
      </c>
      <c r="K98" s="169"/>
      <c r="L98" s="169"/>
      <c r="M98" s="169">
        <f>ROUND((H98*12.5%),0)</f>
        <v>0</v>
      </c>
      <c r="N98" s="169"/>
      <c r="O98" s="169"/>
      <c r="P98" s="169"/>
      <c r="Q98" s="169"/>
      <c r="R98" s="170">
        <f t="shared" si="21"/>
        <v>0</v>
      </c>
      <c r="S98" s="171">
        <f t="shared" si="22"/>
        <v>0</v>
      </c>
      <c r="T98" s="169"/>
      <c r="U98" s="169">
        <f t="shared" si="23"/>
        <v>0</v>
      </c>
      <c r="V98" s="169"/>
      <c r="W98" s="169"/>
      <c r="X98" s="169"/>
      <c r="Y98" s="169"/>
      <c r="Z98" s="169"/>
      <c r="AA98" s="169"/>
      <c r="AB98" s="169"/>
      <c r="AC98" s="206"/>
      <c r="AD98" s="205"/>
      <c r="AE98" s="206"/>
      <c r="AF98" s="169"/>
      <c r="AG98" s="169">
        <f t="shared" si="18"/>
        <v>0</v>
      </c>
      <c r="AH98" s="169">
        <f t="shared" si="25"/>
        <v>0</v>
      </c>
      <c r="AI98" s="179" t="s">
        <v>675</v>
      </c>
    </row>
    <row r="99" spans="1:54" s="167" customFormat="1" ht="66.75" customHeight="1" x14ac:dyDescent="0.25">
      <c r="B99" s="161">
        <v>86</v>
      </c>
      <c r="C99" s="161">
        <v>100057</v>
      </c>
      <c r="D99" s="175" t="s">
        <v>808</v>
      </c>
      <c r="E99" s="176" t="s">
        <v>809</v>
      </c>
      <c r="F99" s="166" t="s">
        <v>657</v>
      </c>
      <c r="G99" s="204" t="s">
        <v>810</v>
      </c>
      <c r="H99" s="169">
        <v>47600</v>
      </c>
      <c r="I99" s="169">
        <f t="shared" si="17"/>
        <v>4760</v>
      </c>
      <c r="J99" s="169">
        <f t="shared" si="24"/>
        <v>23800</v>
      </c>
      <c r="K99" s="169">
        <v>1500</v>
      </c>
      <c r="L99" s="169">
        <v>0</v>
      </c>
      <c r="M99" s="169"/>
      <c r="N99" s="169"/>
      <c r="O99" s="169"/>
      <c r="P99" s="169"/>
      <c r="Q99" s="169">
        <v>0</v>
      </c>
      <c r="R99" s="170">
        <f t="shared" si="21"/>
        <v>77660</v>
      </c>
      <c r="S99" s="171">
        <f t="shared" si="22"/>
        <v>4760</v>
      </c>
      <c r="T99" s="169">
        <v>0</v>
      </c>
      <c r="U99" s="169">
        <f t="shared" si="23"/>
        <v>476</v>
      </c>
      <c r="V99" s="169"/>
      <c r="W99" s="169"/>
      <c r="X99" s="169"/>
      <c r="Y99" s="169"/>
      <c r="Z99" s="169"/>
      <c r="AA99" s="169"/>
      <c r="AB99" s="169">
        <v>0</v>
      </c>
      <c r="AC99" s="169">
        <v>417</v>
      </c>
      <c r="AD99" s="172">
        <v>100</v>
      </c>
      <c r="AE99" s="169">
        <v>10</v>
      </c>
      <c r="AF99" s="169"/>
      <c r="AG99" s="169">
        <f t="shared" si="18"/>
        <v>5763</v>
      </c>
      <c r="AH99" s="169">
        <f t="shared" si="25"/>
        <v>71897</v>
      </c>
      <c r="AI99" s="170"/>
    </row>
    <row r="100" spans="1:54" s="167" customFormat="1" ht="68.25" customHeight="1" x14ac:dyDescent="0.25">
      <c r="B100" s="161">
        <v>87</v>
      </c>
      <c r="C100" s="218">
        <v>100097</v>
      </c>
      <c r="D100" s="175" t="s">
        <v>811</v>
      </c>
      <c r="E100" s="198" t="s">
        <v>812</v>
      </c>
      <c r="F100" s="166" t="s">
        <v>657</v>
      </c>
      <c r="G100" s="204" t="s">
        <v>813</v>
      </c>
      <c r="H100" s="169">
        <v>45330</v>
      </c>
      <c r="I100" s="169">
        <f t="shared" si="17"/>
        <v>4533</v>
      </c>
      <c r="J100" s="169">
        <f t="shared" si="24"/>
        <v>22665</v>
      </c>
      <c r="K100" s="169">
        <v>1500</v>
      </c>
      <c r="L100" s="169"/>
      <c r="M100" s="169"/>
      <c r="N100" s="169"/>
      <c r="O100" s="169"/>
      <c r="P100" s="169"/>
      <c r="Q100" s="169"/>
      <c r="R100" s="170">
        <f t="shared" si="21"/>
        <v>74028</v>
      </c>
      <c r="S100" s="171">
        <f t="shared" si="22"/>
        <v>4533</v>
      </c>
      <c r="T100" s="169">
        <v>12500</v>
      </c>
      <c r="U100" s="169">
        <f t="shared" si="23"/>
        <v>453</v>
      </c>
      <c r="V100" s="169"/>
      <c r="W100" s="169"/>
      <c r="X100" s="169"/>
      <c r="Y100" s="169"/>
      <c r="Z100" s="169"/>
      <c r="AA100" s="169"/>
      <c r="AB100" s="169">
        <v>250</v>
      </c>
      <c r="AC100" s="169">
        <v>417</v>
      </c>
      <c r="AD100" s="205">
        <v>100</v>
      </c>
      <c r="AE100" s="206">
        <v>10</v>
      </c>
      <c r="AF100" s="169"/>
      <c r="AG100" s="169">
        <f t="shared" si="18"/>
        <v>18263</v>
      </c>
      <c r="AH100" s="169">
        <f t="shared" si="25"/>
        <v>55765</v>
      </c>
      <c r="AI100" s="179" t="s">
        <v>814</v>
      </c>
    </row>
    <row r="101" spans="1:54" s="167" customFormat="1" ht="75.75" customHeight="1" x14ac:dyDescent="0.25">
      <c r="B101" s="161">
        <v>88</v>
      </c>
      <c r="C101" s="161">
        <v>100068</v>
      </c>
      <c r="D101" s="175" t="s">
        <v>815</v>
      </c>
      <c r="E101" s="198" t="s">
        <v>816</v>
      </c>
      <c r="F101" s="166" t="s">
        <v>657</v>
      </c>
      <c r="G101" s="204" t="s">
        <v>817</v>
      </c>
      <c r="H101" s="169">
        <v>47600</v>
      </c>
      <c r="I101" s="169">
        <f t="shared" si="17"/>
        <v>4760</v>
      </c>
      <c r="J101" s="169">
        <f>ROUND((H101*50%),0)</f>
        <v>23800</v>
      </c>
      <c r="K101" s="169">
        <v>1500</v>
      </c>
      <c r="L101" s="169"/>
      <c r="M101" s="169"/>
      <c r="N101" s="169"/>
      <c r="O101" s="169"/>
      <c r="P101" s="169"/>
      <c r="Q101" s="169">
        <v>500</v>
      </c>
      <c r="R101" s="170">
        <f t="shared" si="21"/>
        <v>78160</v>
      </c>
      <c r="S101" s="171">
        <f t="shared" si="22"/>
        <v>4760</v>
      </c>
      <c r="T101" s="169">
        <v>30000</v>
      </c>
      <c r="U101" s="169">
        <f t="shared" si="23"/>
        <v>476</v>
      </c>
      <c r="V101" s="169"/>
      <c r="W101" s="169"/>
      <c r="X101" s="169"/>
      <c r="Y101" s="169"/>
      <c r="Z101" s="169"/>
      <c r="AA101" s="169"/>
      <c r="AB101" s="169"/>
      <c r="AC101" s="169">
        <v>417</v>
      </c>
      <c r="AD101" s="172">
        <v>100</v>
      </c>
      <c r="AE101" s="169">
        <v>10</v>
      </c>
      <c r="AF101" s="169"/>
      <c r="AG101" s="169">
        <f t="shared" si="18"/>
        <v>35763</v>
      </c>
      <c r="AH101" s="169">
        <f t="shared" si="25"/>
        <v>42397</v>
      </c>
      <c r="AI101" s="173" t="s">
        <v>818</v>
      </c>
    </row>
    <row r="102" spans="1:54" s="167" customFormat="1" ht="79.5" customHeight="1" x14ac:dyDescent="0.25">
      <c r="B102" s="161">
        <v>89</v>
      </c>
      <c r="C102" s="219">
        <v>100161</v>
      </c>
      <c r="D102" s="175" t="s">
        <v>819</v>
      </c>
      <c r="E102" s="198" t="s">
        <v>820</v>
      </c>
      <c r="F102" s="160" t="s">
        <v>821</v>
      </c>
      <c r="G102" s="162" t="s">
        <v>822</v>
      </c>
      <c r="H102" s="169">
        <v>37280</v>
      </c>
      <c r="I102" s="169">
        <f t="shared" si="17"/>
        <v>3728</v>
      </c>
      <c r="J102" s="169">
        <v>19500</v>
      </c>
      <c r="K102" s="169">
        <v>1500</v>
      </c>
      <c r="L102" s="169"/>
      <c r="M102" s="169"/>
      <c r="N102" s="169"/>
      <c r="O102" s="169"/>
      <c r="P102" s="169"/>
      <c r="Q102" s="169"/>
      <c r="R102" s="170">
        <f t="shared" si="21"/>
        <v>62008</v>
      </c>
      <c r="S102" s="171">
        <f t="shared" si="22"/>
        <v>3728</v>
      </c>
      <c r="T102" s="169"/>
      <c r="U102" s="169">
        <f t="shared" si="23"/>
        <v>373</v>
      </c>
      <c r="V102" s="169"/>
      <c r="W102" s="169"/>
      <c r="X102" s="169"/>
      <c r="Y102" s="169"/>
      <c r="Z102" s="169"/>
      <c r="AA102" s="169"/>
      <c r="AB102" s="169"/>
      <c r="AC102" s="206"/>
      <c r="AD102" s="205">
        <v>100</v>
      </c>
      <c r="AE102" s="206">
        <v>10</v>
      </c>
      <c r="AF102" s="169"/>
      <c r="AG102" s="169">
        <f t="shared" si="18"/>
        <v>4211</v>
      </c>
      <c r="AH102" s="169">
        <f t="shared" si="25"/>
        <v>57797</v>
      </c>
      <c r="AI102" s="179"/>
    </row>
    <row r="103" spans="1:54" s="167" customFormat="1" ht="74.25" customHeight="1" x14ac:dyDescent="0.25">
      <c r="B103" s="161">
        <v>90</v>
      </c>
      <c r="C103" s="161">
        <v>100059</v>
      </c>
      <c r="D103" s="233" t="s">
        <v>823</v>
      </c>
      <c r="E103" s="176" t="s">
        <v>824</v>
      </c>
      <c r="F103" s="166" t="s">
        <v>657</v>
      </c>
      <c r="G103" s="162" t="s">
        <v>825</v>
      </c>
      <c r="H103" s="169">
        <v>49980</v>
      </c>
      <c r="I103" s="169">
        <f t="shared" si="17"/>
        <v>4998</v>
      </c>
      <c r="J103" s="169">
        <f>ROUND((H103*50%),0)</f>
        <v>24990</v>
      </c>
      <c r="K103" s="169">
        <v>1500</v>
      </c>
      <c r="L103" s="169"/>
      <c r="M103" s="169"/>
      <c r="N103" s="169"/>
      <c r="O103" s="169"/>
      <c r="P103" s="169"/>
      <c r="Q103" s="169"/>
      <c r="R103" s="170">
        <f t="shared" si="21"/>
        <v>81468</v>
      </c>
      <c r="S103" s="171">
        <f t="shared" si="22"/>
        <v>4998</v>
      </c>
      <c r="T103" s="169"/>
      <c r="U103" s="169">
        <f t="shared" si="23"/>
        <v>500</v>
      </c>
      <c r="V103" s="169"/>
      <c r="W103" s="169"/>
      <c r="X103" s="169"/>
      <c r="Y103" s="169"/>
      <c r="Z103" s="169"/>
      <c r="AA103" s="169"/>
      <c r="AB103" s="169"/>
      <c r="AC103" s="169">
        <v>417</v>
      </c>
      <c r="AD103" s="172">
        <v>100</v>
      </c>
      <c r="AE103" s="169">
        <v>10</v>
      </c>
      <c r="AF103" s="169"/>
      <c r="AG103" s="169">
        <f t="shared" si="18"/>
        <v>6025</v>
      </c>
      <c r="AH103" s="169">
        <f t="shared" si="25"/>
        <v>75443</v>
      </c>
      <c r="AI103" s="170"/>
    </row>
    <row r="104" spans="1:54" s="167" customFormat="1" ht="76.5" customHeight="1" x14ac:dyDescent="0.25">
      <c r="B104" s="161">
        <v>91</v>
      </c>
      <c r="C104" s="208">
        <v>100158</v>
      </c>
      <c r="D104" s="175" t="s">
        <v>826</v>
      </c>
      <c r="E104" s="198" t="s">
        <v>827</v>
      </c>
      <c r="F104" s="160" t="s">
        <v>828</v>
      </c>
      <c r="G104" s="162" t="s">
        <v>829</v>
      </c>
      <c r="H104" s="169">
        <v>37280</v>
      </c>
      <c r="I104" s="169">
        <f t="shared" si="17"/>
        <v>3728</v>
      </c>
      <c r="J104" s="169">
        <v>19500</v>
      </c>
      <c r="K104" s="169">
        <v>1500</v>
      </c>
      <c r="L104" s="169"/>
      <c r="M104" s="169"/>
      <c r="N104" s="169"/>
      <c r="O104" s="169"/>
      <c r="P104" s="169"/>
      <c r="Q104" s="169"/>
      <c r="R104" s="170">
        <f t="shared" si="21"/>
        <v>62008</v>
      </c>
      <c r="S104" s="171">
        <f t="shared" si="22"/>
        <v>3728</v>
      </c>
      <c r="T104" s="169"/>
      <c r="U104" s="169">
        <f t="shared" si="23"/>
        <v>373</v>
      </c>
      <c r="V104" s="169"/>
      <c r="W104" s="169"/>
      <c r="X104" s="169"/>
      <c r="Y104" s="169"/>
      <c r="Z104" s="169"/>
      <c r="AA104" s="169"/>
      <c r="AB104" s="169"/>
      <c r="AC104" s="206"/>
      <c r="AD104" s="205">
        <v>100</v>
      </c>
      <c r="AE104" s="206">
        <v>10</v>
      </c>
      <c r="AF104" s="169"/>
      <c r="AG104" s="169">
        <f t="shared" si="18"/>
        <v>4211</v>
      </c>
      <c r="AH104" s="169">
        <f t="shared" si="25"/>
        <v>57797</v>
      </c>
      <c r="AI104" s="179"/>
    </row>
    <row r="105" spans="1:54" s="167" customFormat="1" ht="72.75" customHeight="1" x14ac:dyDescent="0.25">
      <c r="B105" s="161">
        <v>92</v>
      </c>
      <c r="C105" s="218">
        <v>100124</v>
      </c>
      <c r="D105" s="175" t="s">
        <v>830</v>
      </c>
      <c r="E105" s="198" t="s">
        <v>831</v>
      </c>
      <c r="F105" s="166" t="s">
        <v>657</v>
      </c>
      <c r="G105" s="204" t="s">
        <v>832</v>
      </c>
      <c r="H105" s="169">
        <v>45330</v>
      </c>
      <c r="I105" s="169">
        <f t="shared" si="17"/>
        <v>4533</v>
      </c>
      <c r="J105" s="169">
        <f>ROUND((H105*50%),0)</f>
        <v>22665</v>
      </c>
      <c r="K105" s="169">
        <v>1500</v>
      </c>
      <c r="L105" s="169"/>
      <c r="M105" s="169"/>
      <c r="N105" s="169"/>
      <c r="O105" s="169"/>
      <c r="P105" s="169"/>
      <c r="Q105" s="169"/>
      <c r="R105" s="170">
        <f t="shared" si="21"/>
        <v>74028</v>
      </c>
      <c r="S105" s="171">
        <f t="shared" si="22"/>
        <v>4533</v>
      </c>
      <c r="T105" s="169">
        <v>6950</v>
      </c>
      <c r="U105" s="169">
        <f t="shared" si="23"/>
        <v>453</v>
      </c>
      <c r="V105" s="169"/>
      <c r="W105" s="169"/>
      <c r="X105" s="169"/>
      <c r="Y105" s="169"/>
      <c r="Z105" s="169"/>
      <c r="AA105" s="169"/>
      <c r="AB105" s="169">
        <v>250</v>
      </c>
      <c r="AC105" s="169">
        <v>417</v>
      </c>
      <c r="AD105" s="205">
        <v>100</v>
      </c>
      <c r="AE105" s="206">
        <v>10</v>
      </c>
      <c r="AF105" s="169"/>
      <c r="AG105" s="169">
        <f t="shared" si="18"/>
        <v>12713</v>
      </c>
      <c r="AH105" s="169">
        <f t="shared" si="25"/>
        <v>61315</v>
      </c>
      <c r="AI105" s="179" t="s">
        <v>833</v>
      </c>
    </row>
    <row r="106" spans="1:54" s="167" customFormat="1" ht="69.75" customHeight="1" x14ac:dyDescent="0.25">
      <c r="B106" s="161">
        <v>93</v>
      </c>
      <c r="C106" s="218">
        <v>100131</v>
      </c>
      <c r="D106" s="175" t="s">
        <v>834</v>
      </c>
      <c r="E106" s="198" t="s">
        <v>835</v>
      </c>
      <c r="F106" s="166" t="s">
        <v>657</v>
      </c>
      <c r="G106" s="204" t="s">
        <v>836</v>
      </c>
      <c r="H106" s="169">
        <v>43170</v>
      </c>
      <c r="I106" s="169">
        <f t="shared" si="17"/>
        <v>4317</v>
      </c>
      <c r="J106" s="169"/>
      <c r="K106" s="169">
        <v>1500</v>
      </c>
      <c r="L106" s="169"/>
      <c r="M106" s="169"/>
      <c r="N106" s="169"/>
      <c r="O106" s="169"/>
      <c r="P106" s="169"/>
      <c r="Q106" s="169"/>
      <c r="R106" s="170">
        <f t="shared" si="21"/>
        <v>48987</v>
      </c>
      <c r="S106" s="171">
        <f t="shared" si="22"/>
        <v>4317</v>
      </c>
      <c r="T106" s="169"/>
      <c r="U106" s="169">
        <f t="shared" si="23"/>
        <v>432</v>
      </c>
      <c r="V106" s="169"/>
      <c r="W106" s="169"/>
      <c r="X106" s="169">
        <v>1080</v>
      </c>
      <c r="Y106" s="169">
        <v>80</v>
      </c>
      <c r="Z106" s="169">
        <v>30</v>
      </c>
      <c r="AA106" s="161">
        <v>4399</v>
      </c>
      <c r="AB106" s="169"/>
      <c r="AC106" s="169">
        <v>417</v>
      </c>
      <c r="AD106" s="205">
        <v>100</v>
      </c>
      <c r="AE106" s="206">
        <v>10</v>
      </c>
      <c r="AF106" s="169"/>
      <c r="AG106" s="169">
        <f t="shared" si="18"/>
        <v>10865</v>
      </c>
      <c r="AH106" s="169">
        <f t="shared" si="25"/>
        <v>38122</v>
      </c>
      <c r="AI106" s="179"/>
    </row>
    <row r="107" spans="1:54" s="167" customFormat="1" ht="74.25" customHeight="1" x14ac:dyDescent="0.25">
      <c r="B107" s="161">
        <v>94</v>
      </c>
      <c r="C107" s="208">
        <v>100157</v>
      </c>
      <c r="D107" s="175" t="s">
        <v>837</v>
      </c>
      <c r="E107" s="198" t="s">
        <v>838</v>
      </c>
      <c r="F107" s="160" t="s">
        <v>839</v>
      </c>
      <c r="G107" s="162" t="s">
        <v>840</v>
      </c>
      <c r="H107" s="169">
        <v>37280</v>
      </c>
      <c r="I107" s="169">
        <f>ROUND((H107*10%),0)</f>
        <v>3728</v>
      </c>
      <c r="J107" s="169">
        <v>19500</v>
      </c>
      <c r="K107" s="169">
        <v>1500</v>
      </c>
      <c r="L107" s="169"/>
      <c r="M107" s="169"/>
      <c r="N107" s="169"/>
      <c r="O107" s="169"/>
      <c r="P107" s="169"/>
      <c r="Q107" s="169"/>
      <c r="R107" s="170">
        <f>SUM(H107:Q107)</f>
        <v>62008</v>
      </c>
      <c r="S107" s="171">
        <f>ROUND((H107*10%),0)</f>
        <v>3728</v>
      </c>
      <c r="T107" s="169"/>
      <c r="U107" s="169">
        <f>ROUND((H107*1%),0)</f>
        <v>373</v>
      </c>
      <c r="V107" s="169"/>
      <c r="W107" s="169"/>
      <c r="X107" s="169"/>
      <c r="Y107" s="169"/>
      <c r="Z107" s="169"/>
      <c r="AA107" s="169"/>
      <c r="AB107" s="169"/>
      <c r="AC107" s="206"/>
      <c r="AD107" s="205">
        <v>100</v>
      </c>
      <c r="AE107" s="206">
        <v>10</v>
      </c>
      <c r="AF107" s="169"/>
      <c r="AG107" s="169">
        <f>SUM(S107:AF107)</f>
        <v>4211</v>
      </c>
      <c r="AH107" s="169">
        <f t="shared" si="25"/>
        <v>57797</v>
      </c>
      <c r="AI107" s="179"/>
    </row>
    <row r="108" spans="1:54" s="167" customFormat="1" ht="21" customHeight="1" x14ac:dyDescent="0.25">
      <c r="B108" s="161"/>
      <c r="C108" s="161"/>
      <c r="D108" s="202" t="s">
        <v>841</v>
      </c>
      <c r="E108" s="198"/>
      <c r="F108" s="166"/>
      <c r="G108" s="230"/>
      <c r="H108" s="169"/>
      <c r="I108" s="169">
        <f t="shared" si="17"/>
        <v>0</v>
      </c>
      <c r="J108" s="169">
        <f t="shared" si="24"/>
        <v>0</v>
      </c>
      <c r="K108" s="169"/>
      <c r="L108" s="169"/>
      <c r="M108" s="169"/>
      <c r="N108" s="169"/>
      <c r="O108" s="169"/>
      <c r="P108" s="169"/>
      <c r="Q108" s="169"/>
      <c r="R108" s="170"/>
      <c r="S108" s="171"/>
      <c r="T108" s="169"/>
      <c r="U108" s="169"/>
      <c r="V108" s="169"/>
      <c r="W108" s="169"/>
      <c r="X108" s="169"/>
      <c r="Y108" s="169"/>
      <c r="Z108" s="169"/>
      <c r="AA108" s="169"/>
      <c r="AB108" s="169"/>
      <c r="AC108" s="206"/>
      <c r="AD108" s="205"/>
      <c r="AE108" s="206"/>
      <c r="AF108" s="169"/>
      <c r="AG108" s="169">
        <f t="shared" si="18"/>
        <v>0</v>
      </c>
      <c r="AH108" s="169">
        <f t="shared" si="25"/>
        <v>0</v>
      </c>
      <c r="AI108" s="179"/>
    </row>
    <row r="109" spans="1:54" s="186" customFormat="1" ht="54" customHeight="1" x14ac:dyDescent="0.25">
      <c r="A109" s="167"/>
      <c r="B109" s="161">
        <v>95</v>
      </c>
      <c r="C109" s="161">
        <v>100010</v>
      </c>
      <c r="D109" s="175" t="s">
        <v>842</v>
      </c>
      <c r="E109" s="176" t="s">
        <v>843</v>
      </c>
      <c r="F109" s="166" t="s">
        <v>844</v>
      </c>
      <c r="G109" s="162" t="s">
        <v>845</v>
      </c>
      <c r="H109" s="169">
        <v>71200</v>
      </c>
      <c r="I109" s="169">
        <f>ROUND((H109*10%),0)</f>
        <v>7120</v>
      </c>
      <c r="J109" s="169">
        <v>0</v>
      </c>
      <c r="K109" s="169">
        <v>1500</v>
      </c>
      <c r="L109" s="169"/>
      <c r="M109" s="169"/>
      <c r="N109" s="169"/>
      <c r="O109" s="169"/>
      <c r="P109" s="169"/>
      <c r="Q109" s="169">
        <v>500</v>
      </c>
      <c r="R109" s="170">
        <f t="shared" ref="R109:R136" si="26">SUM(H109:Q109)</f>
        <v>80320</v>
      </c>
      <c r="S109" s="171">
        <f>ROUND((H109*10%),0)</f>
        <v>7120</v>
      </c>
      <c r="T109" s="169">
        <v>0</v>
      </c>
      <c r="U109" s="169">
        <f>ROUND((H109*1%),0)</f>
        <v>712</v>
      </c>
      <c r="V109" s="169"/>
      <c r="W109" s="169"/>
      <c r="X109" s="169">
        <v>1080</v>
      </c>
      <c r="Y109" s="169">
        <v>120</v>
      </c>
      <c r="Z109" s="169">
        <v>30</v>
      </c>
      <c r="AA109" s="169">
        <v>4319</v>
      </c>
      <c r="AB109" s="169"/>
      <c r="AC109" s="169">
        <v>417</v>
      </c>
      <c r="AD109" s="172">
        <v>100</v>
      </c>
      <c r="AE109" s="169">
        <v>10</v>
      </c>
      <c r="AF109" s="169"/>
      <c r="AG109" s="169">
        <f>SUM(S109:AF109)</f>
        <v>13908</v>
      </c>
      <c r="AH109" s="169">
        <f>R109-AG109</f>
        <v>66412</v>
      </c>
      <c r="AI109" s="173" t="s">
        <v>846</v>
      </c>
      <c r="AJ109" s="167"/>
      <c r="AK109" s="167"/>
      <c r="AL109" s="167"/>
      <c r="AM109" s="167"/>
      <c r="AN109" s="167"/>
      <c r="AO109" s="167"/>
      <c r="AP109" s="167"/>
      <c r="AQ109" s="167"/>
      <c r="AR109" s="167"/>
      <c r="AS109" s="167"/>
      <c r="AT109" s="167"/>
      <c r="AU109" s="167"/>
      <c r="AV109" s="167"/>
      <c r="AW109" s="167"/>
      <c r="AX109" s="167"/>
      <c r="AY109" s="167"/>
      <c r="AZ109" s="167"/>
      <c r="BA109" s="167"/>
      <c r="BB109" s="167"/>
    </row>
    <row r="110" spans="1:54" s="167" customFormat="1" ht="51" customHeight="1" x14ac:dyDescent="0.25">
      <c r="B110" s="161">
        <v>96</v>
      </c>
      <c r="C110" s="161">
        <v>100016</v>
      </c>
      <c r="D110" s="175" t="s">
        <v>847</v>
      </c>
      <c r="E110" s="176" t="s">
        <v>848</v>
      </c>
      <c r="F110" s="166" t="s">
        <v>657</v>
      </c>
      <c r="G110" s="162" t="s">
        <v>849</v>
      </c>
      <c r="H110" s="169">
        <v>66840</v>
      </c>
      <c r="I110" s="169">
        <f t="shared" si="17"/>
        <v>6684</v>
      </c>
      <c r="J110" s="169">
        <f t="shared" si="24"/>
        <v>33420</v>
      </c>
      <c r="K110" s="169">
        <v>1500</v>
      </c>
      <c r="L110" s="169">
        <v>0</v>
      </c>
      <c r="M110" s="169"/>
      <c r="N110" s="169"/>
      <c r="O110" s="169"/>
      <c r="P110" s="169"/>
      <c r="Q110" s="169">
        <v>0</v>
      </c>
      <c r="R110" s="170">
        <f t="shared" si="26"/>
        <v>108444</v>
      </c>
      <c r="S110" s="171">
        <f t="shared" ref="S110:S116" si="27">ROUND((H110*10%),0)</f>
        <v>6684</v>
      </c>
      <c r="T110" s="169">
        <v>0</v>
      </c>
      <c r="U110" s="169">
        <f>ROUND((H110*1%),0)</f>
        <v>668</v>
      </c>
      <c r="V110" s="169"/>
      <c r="W110" s="169"/>
      <c r="X110" s="169"/>
      <c r="Y110" s="169"/>
      <c r="Z110" s="169"/>
      <c r="AA110" s="169"/>
      <c r="AB110" s="169">
        <v>0</v>
      </c>
      <c r="AC110" s="169">
        <v>1518</v>
      </c>
      <c r="AD110" s="172">
        <v>100</v>
      </c>
      <c r="AE110" s="169">
        <v>10</v>
      </c>
      <c r="AF110" s="169"/>
      <c r="AG110" s="169">
        <f t="shared" si="18"/>
        <v>8980</v>
      </c>
      <c r="AH110" s="169">
        <f t="shared" si="25"/>
        <v>99464</v>
      </c>
      <c r="AI110" s="170"/>
    </row>
    <row r="111" spans="1:54" s="167" customFormat="1" ht="54.75" customHeight="1" x14ac:dyDescent="0.25">
      <c r="B111" s="161">
        <v>97</v>
      </c>
      <c r="C111" s="161">
        <v>100038</v>
      </c>
      <c r="D111" s="175" t="s">
        <v>850</v>
      </c>
      <c r="E111" s="176" t="s">
        <v>851</v>
      </c>
      <c r="F111" s="166" t="s">
        <v>657</v>
      </c>
      <c r="G111" s="162" t="s">
        <v>852</v>
      </c>
      <c r="H111" s="169">
        <v>55110</v>
      </c>
      <c r="I111" s="169">
        <f t="shared" si="17"/>
        <v>5511</v>
      </c>
      <c r="J111" s="169">
        <f t="shared" si="24"/>
        <v>27555</v>
      </c>
      <c r="K111" s="169">
        <v>1500</v>
      </c>
      <c r="L111" s="169"/>
      <c r="M111" s="169"/>
      <c r="N111" s="169"/>
      <c r="O111" s="169"/>
      <c r="P111" s="169"/>
      <c r="Q111" s="169">
        <v>0</v>
      </c>
      <c r="R111" s="170">
        <f t="shared" si="26"/>
        <v>89676</v>
      </c>
      <c r="S111" s="171">
        <f t="shared" si="27"/>
        <v>5511</v>
      </c>
      <c r="T111" s="169">
        <v>10500</v>
      </c>
      <c r="U111" s="169">
        <f>ROUND((H111*1%),0)</f>
        <v>551</v>
      </c>
      <c r="V111" s="169"/>
      <c r="W111" s="169"/>
      <c r="X111" s="169">
        <v>0</v>
      </c>
      <c r="Y111" s="169">
        <v>0</v>
      </c>
      <c r="Z111" s="169">
        <v>0</v>
      </c>
      <c r="AA111" s="169">
        <v>0</v>
      </c>
      <c r="AB111" s="169">
        <v>0</v>
      </c>
      <c r="AC111" s="178">
        <v>728</v>
      </c>
      <c r="AD111" s="172">
        <v>100</v>
      </c>
      <c r="AE111" s="169">
        <v>10</v>
      </c>
      <c r="AF111" s="169"/>
      <c r="AG111" s="169">
        <f t="shared" si="18"/>
        <v>17400</v>
      </c>
      <c r="AH111" s="169">
        <f t="shared" si="25"/>
        <v>72276</v>
      </c>
      <c r="AI111" s="179" t="s">
        <v>853</v>
      </c>
    </row>
    <row r="112" spans="1:54" s="167" customFormat="1" ht="52.5" customHeight="1" x14ac:dyDescent="0.25">
      <c r="B112" s="161">
        <v>98</v>
      </c>
      <c r="C112" s="161">
        <v>100042</v>
      </c>
      <c r="D112" s="175" t="s">
        <v>854</v>
      </c>
      <c r="E112" s="176" t="s">
        <v>855</v>
      </c>
      <c r="F112" s="166" t="s">
        <v>657</v>
      </c>
      <c r="G112" s="162" t="s">
        <v>856</v>
      </c>
      <c r="H112" s="169">
        <v>52480</v>
      </c>
      <c r="I112" s="169">
        <f t="shared" si="17"/>
        <v>5248</v>
      </c>
      <c r="J112" s="169"/>
      <c r="K112" s="169">
        <v>1500</v>
      </c>
      <c r="L112" s="169">
        <v>0</v>
      </c>
      <c r="M112" s="169"/>
      <c r="N112" s="169"/>
      <c r="O112" s="169"/>
      <c r="P112" s="169"/>
      <c r="Q112" s="169">
        <v>0</v>
      </c>
      <c r="R112" s="170">
        <f t="shared" si="26"/>
        <v>59228</v>
      </c>
      <c r="S112" s="171">
        <f t="shared" si="27"/>
        <v>5248</v>
      </c>
      <c r="T112" s="169">
        <v>0</v>
      </c>
      <c r="U112" s="169">
        <f>ROUND((H112*1%),0)</f>
        <v>525</v>
      </c>
      <c r="V112" s="169"/>
      <c r="W112" s="169"/>
      <c r="X112" s="169">
        <v>1080</v>
      </c>
      <c r="Y112" s="169">
        <v>80</v>
      </c>
      <c r="Z112" s="169">
        <v>30</v>
      </c>
      <c r="AA112" s="169">
        <v>843</v>
      </c>
      <c r="AB112" s="169">
        <v>0</v>
      </c>
      <c r="AC112" s="169">
        <v>417</v>
      </c>
      <c r="AD112" s="172">
        <v>100</v>
      </c>
      <c r="AE112" s="169">
        <v>10</v>
      </c>
      <c r="AF112" s="169"/>
      <c r="AG112" s="169">
        <f t="shared" si="18"/>
        <v>8333</v>
      </c>
      <c r="AH112" s="169">
        <f t="shared" si="25"/>
        <v>50895</v>
      </c>
      <c r="AI112" s="170"/>
    </row>
    <row r="113" spans="2:35" s="167" customFormat="1" ht="66" customHeight="1" x14ac:dyDescent="0.25">
      <c r="B113" s="161">
        <v>99</v>
      </c>
      <c r="C113" s="161">
        <v>100047</v>
      </c>
      <c r="D113" s="175" t="s">
        <v>857</v>
      </c>
      <c r="E113" s="198" t="s">
        <v>858</v>
      </c>
      <c r="F113" s="166" t="s">
        <v>657</v>
      </c>
      <c r="G113" s="162" t="s">
        <v>859</v>
      </c>
      <c r="H113" s="169">
        <v>57870</v>
      </c>
      <c r="I113" s="169">
        <f>ROUND((H113*10%),0)</f>
        <v>5787</v>
      </c>
      <c r="J113" s="169">
        <f>ROUND((H113*50%),0)</f>
        <v>28935</v>
      </c>
      <c r="K113" s="169">
        <v>1500</v>
      </c>
      <c r="L113" s="169">
        <v>0</v>
      </c>
      <c r="M113" s="178"/>
      <c r="N113" s="178"/>
      <c r="O113" s="178"/>
      <c r="P113" s="178"/>
      <c r="Q113" s="169">
        <v>500</v>
      </c>
      <c r="R113" s="170">
        <f t="shared" si="26"/>
        <v>94592</v>
      </c>
      <c r="S113" s="171">
        <f>ROUND((H113*10%),0)</f>
        <v>5787</v>
      </c>
      <c r="T113" s="169">
        <v>0</v>
      </c>
      <c r="U113" s="169">
        <f>ROUND((H113*1%),0)</f>
        <v>579</v>
      </c>
      <c r="V113" s="169"/>
      <c r="W113" s="169"/>
      <c r="X113" s="169">
        <v>0</v>
      </c>
      <c r="Y113" s="169">
        <v>0</v>
      </c>
      <c r="Z113" s="169">
        <v>0</v>
      </c>
      <c r="AA113" s="169"/>
      <c r="AB113" s="169">
        <v>250</v>
      </c>
      <c r="AC113" s="169">
        <v>417</v>
      </c>
      <c r="AD113" s="172">
        <v>100</v>
      </c>
      <c r="AE113" s="169">
        <v>10</v>
      </c>
      <c r="AF113" s="169"/>
      <c r="AG113" s="169">
        <f>SUM(S113:AF113)</f>
        <v>7143</v>
      </c>
      <c r="AH113" s="169">
        <f>R113-AG113</f>
        <v>87449</v>
      </c>
      <c r="AI113" s="173"/>
    </row>
    <row r="114" spans="2:35" s="167" customFormat="1" ht="55.5" customHeight="1" x14ac:dyDescent="0.25">
      <c r="B114" s="161">
        <v>100</v>
      </c>
      <c r="C114" s="161">
        <v>100049</v>
      </c>
      <c r="D114" s="175" t="s">
        <v>860</v>
      </c>
      <c r="E114" s="198" t="s">
        <v>861</v>
      </c>
      <c r="F114" s="166" t="s">
        <v>657</v>
      </c>
      <c r="G114" s="162" t="s">
        <v>862</v>
      </c>
      <c r="H114" s="169">
        <v>49980</v>
      </c>
      <c r="I114" s="169">
        <f t="shared" si="17"/>
        <v>4998</v>
      </c>
      <c r="J114" s="169">
        <f>ROUND((H114*50%),0)</f>
        <v>24990</v>
      </c>
      <c r="K114" s="169">
        <v>1500</v>
      </c>
      <c r="L114" s="169">
        <v>0</v>
      </c>
      <c r="M114" s="169"/>
      <c r="N114" s="169"/>
      <c r="O114" s="169"/>
      <c r="P114" s="169"/>
      <c r="Q114" s="169">
        <v>0</v>
      </c>
      <c r="R114" s="170">
        <f t="shared" si="26"/>
        <v>81468</v>
      </c>
      <c r="S114" s="171">
        <f t="shared" si="27"/>
        <v>4998</v>
      </c>
      <c r="T114" s="169">
        <v>0</v>
      </c>
      <c r="U114" s="169">
        <f t="shared" ref="U114:U128" si="28">ROUND((H114*1%),0)</f>
        <v>500</v>
      </c>
      <c r="V114" s="169"/>
      <c r="W114" s="169"/>
      <c r="X114" s="169">
        <v>0</v>
      </c>
      <c r="Y114" s="169">
        <v>0</v>
      </c>
      <c r="Z114" s="169">
        <v>0</v>
      </c>
      <c r="AA114" s="169"/>
      <c r="AB114" s="169"/>
      <c r="AC114" s="169">
        <v>417</v>
      </c>
      <c r="AD114" s="172">
        <v>100</v>
      </c>
      <c r="AE114" s="169">
        <v>10</v>
      </c>
      <c r="AF114" s="169"/>
      <c r="AG114" s="169">
        <f t="shared" si="18"/>
        <v>6025</v>
      </c>
      <c r="AH114" s="169">
        <f t="shared" ref="AH114:AH124" si="29">R114-AG114</f>
        <v>75443</v>
      </c>
      <c r="AI114" s="170"/>
    </row>
    <row r="115" spans="2:35" s="167" customFormat="1" ht="51.75" customHeight="1" x14ac:dyDescent="0.25">
      <c r="B115" s="161">
        <v>101</v>
      </c>
      <c r="C115" s="161">
        <v>100050</v>
      </c>
      <c r="D115" s="175" t="s">
        <v>863</v>
      </c>
      <c r="E115" s="198" t="s">
        <v>864</v>
      </c>
      <c r="F115" s="166" t="s">
        <v>657</v>
      </c>
      <c r="G115" s="162" t="s">
        <v>865</v>
      </c>
      <c r="H115" s="169">
        <v>49980</v>
      </c>
      <c r="I115" s="169">
        <f t="shared" si="17"/>
        <v>4998</v>
      </c>
      <c r="J115" s="169">
        <f>ROUND((H115*50%),0)</f>
        <v>24990</v>
      </c>
      <c r="K115" s="169">
        <v>1500</v>
      </c>
      <c r="L115" s="169">
        <v>0</v>
      </c>
      <c r="M115" s="169"/>
      <c r="N115" s="169"/>
      <c r="O115" s="169"/>
      <c r="P115" s="169">
        <v>0</v>
      </c>
      <c r="Q115" s="169">
        <v>1000</v>
      </c>
      <c r="R115" s="170">
        <f t="shared" si="26"/>
        <v>82468</v>
      </c>
      <c r="S115" s="171">
        <f t="shared" si="27"/>
        <v>4998</v>
      </c>
      <c r="T115" s="169">
        <v>0</v>
      </c>
      <c r="U115" s="169">
        <f t="shared" si="28"/>
        <v>500</v>
      </c>
      <c r="V115" s="169"/>
      <c r="W115" s="169"/>
      <c r="X115" s="169">
        <v>0</v>
      </c>
      <c r="Y115" s="169">
        <v>0</v>
      </c>
      <c r="Z115" s="169">
        <v>0</v>
      </c>
      <c r="AA115" s="169"/>
      <c r="AB115" s="169"/>
      <c r="AC115" s="169">
        <v>417</v>
      </c>
      <c r="AD115" s="172">
        <v>100</v>
      </c>
      <c r="AE115" s="169">
        <v>10</v>
      </c>
      <c r="AF115" s="169"/>
      <c r="AG115" s="169">
        <f t="shared" si="18"/>
        <v>6025</v>
      </c>
      <c r="AH115" s="169">
        <f t="shared" si="29"/>
        <v>76443</v>
      </c>
      <c r="AI115" s="170"/>
    </row>
    <row r="116" spans="2:35" s="167" customFormat="1" ht="57" customHeight="1" x14ac:dyDescent="0.25">
      <c r="B116" s="161">
        <v>102</v>
      </c>
      <c r="C116" s="161">
        <v>100054</v>
      </c>
      <c r="D116" s="175" t="s">
        <v>866</v>
      </c>
      <c r="E116" s="176" t="s">
        <v>867</v>
      </c>
      <c r="F116" s="166" t="s">
        <v>653</v>
      </c>
      <c r="G116" s="162" t="s">
        <v>868</v>
      </c>
      <c r="H116" s="169">
        <v>57870</v>
      </c>
      <c r="I116" s="169">
        <f>ROUND((H116*10%),0)</f>
        <v>5787</v>
      </c>
      <c r="J116" s="169">
        <f>ROUND((H116*50%),0)</f>
        <v>28935</v>
      </c>
      <c r="K116" s="169">
        <v>1500</v>
      </c>
      <c r="L116" s="169">
        <v>0</v>
      </c>
      <c r="M116" s="169"/>
      <c r="N116" s="169"/>
      <c r="O116" s="169"/>
      <c r="P116" s="169"/>
      <c r="Q116" s="169">
        <v>1000</v>
      </c>
      <c r="R116" s="170">
        <f>SUM(H116:Q116)</f>
        <v>95092</v>
      </c>
      <c r="S116" s="171">
        <f t="shared" si="27"/>
        <v>5787</v>
      </c>
      <c r="T116" s="169">
        <v>11400</v>
      </c>
      <c r="U116" s="169">
        <f>ROUND((H116*1%),0)</f>
        <v>579</v>
      </c>
      <c r="V116" s="169"/>
      <c r="W116" s="169"/>
      <c r="X116" s="169"/>
      <c r="Y116" s="169"/>
      <c r="Z116" s="169"/>
      <c r="AA116" s="169"/>
      <c r="AB116" s="169"/>
      <c r="AC116" s="169">
        <v>417</v>
      </c>
      <c r="AD116" s="172">
        <v>100</v>
      </c>
      <c r="AE116" s="169">
        <v>10</v>
      </c>
      <c r="AF116" s="169"/>
      <c r="AG116" s="169">
        <f>SUM(S116:AF116)</f>
        <v>18293</v>
      </c>
      <c r="AH116" s="169">
        <f>R116-AG116</f>
        <v>76799</v>
      </c>
      <c r="AI116" s="173" t="s">
        <v>869</v>
      </c>
    </row>
    <row r="117" spans="2:35" s="167" customFormat="1" ht="61.5" customHeight="1" x14ac:dyDescent="0.25">
      <c r="B117" s="161">
        <v>103</v>
      </c>
      <c r="C117" s="161">
        <v>100058</v>
      </c>
      <c r="D117" s="175" t="s">
        <v>870</v>
      </c>
      <c r="E117" s="176" t="s">
        <v>871</v>
      </c>
      <c r="F117" s="166" t="s">
        <v>657</v>
      </c>
      <c r="G117" s="162" t="s">
        <v>872</v>
      </c>
      <c r="H117" s="169">
        <v>49980</v>
      </c>
      <c r="I117" s="169">
        <f t="shared" si="17"/>
        <v>4998</v>
      </c>
      <c r="J117" s="169"/>
      <c r="K117" s="169">
        <v>1500</v>
      </c>
      <c r="L117" s="169"/>
      <c r="M117" s="169">
        <f>ROUND((H117*12.5%),0)</f>
        <v>6248</v>
      </c>
      <c r="N117" s="169"/>
      <c r="O117" s="169"/>
      <c r="P117" s="169">
        <v>1000</v>
      </c>
      <c r="Q117" s="169"/>
      <c r="R117" s="170">
        <f t="shared" si="26"/>
        <v>63726</v>
      </c>
      <c r="S117" s="171">
        <f>H117*10%</f>
        <v>4998</v>
      </c>
      <c r="T117" s="169"/>
      <c r="U117" s="169">
        <f t="shared" si="28"/>
        <v>500</v>
      </c>
      <c r="V117" s="169"/>
      <c r="W117" s="169"/>
      <c r="X117" s="169">
        <v>1080</v>
      </c>
      <c r="Y117" s="169">
        <v>80</v>
      </c>
      <c r="Z117" s="169">
        <v>30</v>
      </c>
      <c r="AA117" s="225">
        <v>125</v>
      </c>
      <c r="AB117" s="169"/>
      <c r="AC117" s="169">
        <v>417</v>
      </c>
      <c r="AD117" s="172">
        <v>100</v>
      </c>
      <c r="AE117" s="169">
        <v>10</v>
      </c>
      <c r="AF117" s="169"/>
      <c r="AG117" s="169">
        <f t="shared" si="18"/>
        <v>7340</v>
      </c>
      <c r="AH117" s="169">
        <f t="shared" si="29"/>
        <v>56386</v>
      </c>
      <c r="AI117" s="170"/>
    </row>
    <row r="118" spans="2:35" s="167" customFormat="1" ht="49.5" customHeight="1" x14ac:dyDescent="0.25">
      <c r="B118" s="161">
        <v>104</v>
      </c>
      <c r="C118" s="161">
        <v>100064</v>
      </c>
      <c r="D118" s="175" t="s">
        <v>873</v>
      </c>
      <c r="E118" s="198" t="s">
        <v>874</v>
      </c>
      <c r="F118" s="166" t="s">
        <v>657</v>
      </c>
      <c r="G118" s="204" t="s">
        <v>875</v>
      </c>
      <c r="H118" s="169">
        <v>47600</v>
      </c>
      <c r="I118" s="169">
        <f t="shared" si="17"/>
        <v>4760</v>
      </c>
      <c r="J118" s="169">
        <f>ROUND((H118*50%),0)</f>
        <v>23800</v>
      </c>
      <c r="K118" s="169">
        <v>1500</v>
      </c>
      <c r="L118" s="169"/>
      <c r="M118" s="169"/>
      <c r="N118" s="169"/>
      <c r="O118" s="169"/>
      <c r="P118" s="169"/>
      <c r="Q118" s="169"/>
      <c r="R118" s="170">
        <f t="shared" si="26"/>
        <v>77660</v>
      </c>
      <c r="S118" s="171">
        <f>ROUND((H118*10%),0)</f>
        <v>4760</v>
      </c>
      <c r="T118" s="169"/>
      <c r="U118" s="169">
        <f t="shared" si="28"/>
        <v>476</v>
      </c>
      <c r="V118" s="169"/>
      <c r="W118" s="169"/>
      <c r="X118" s="169"/>
      <c r="Y118" s="169"/>
      <c r="Z118" s="169"/>
      <c r="AA118" s="169"/>
      <c r="AB118" s="169">
        <v>250</v>
      </c>
      <c r="AC118" s="169">
        <v>417</v>
      </c>
      <c r="AD118" s="172">
        <v>100</v>
      </c>
      <c r="AE118" s="169">
        <v>10</v>
      </c>
      <c r="AF118" s="169"/>
      <c r="AG118" s="169">
        <f t="shared" si="18"/>
        <v>6013</v>
      </c>
      <c r="AH118" s="169">
        <f t="shared" si="29"/>
        <v>71647</v>
      </c>
      <c r="AI118" s="170"/>
    </row>
    <row r="119" spans="2:35" s="167" customFormat="1" ht="55.5" customHeight="1" x14ac:dyDescent="0.25">
      <c r="B119" s="161">
        <v>105</v>
      </c>
      <c r="C119" s="161">
        <v>100065</v>
      </c>
      <c r="D119" s="175" t="s">
        <v>876</v>
      </c>
      <c r="E119" s="198" t="s">
        <v>877</v>
      </c>
      <c r="F119" s="166" t="s">
        <v>657</v>
      </c>
      <c r="G119" s="204" t="s">
        <v>878</v>
      </c>
      <c r="H119" s="169">
        <v>47600</v>
      </c>
      <c r="I119" s="169">
        <f t="shared" si="17"/>
        <v>4760</v>
      </c>
      <c r="J119" s="169">
        <f>ROUND((H119*50%),0)</f>
        <v>23800</v>
      </c>
      <c r="K119" s="169">
        <v>1500</v>
      </c>
      <c r="L119" s="169">
        <v>0</v>
      </c>
      <c r="M119" s="169">
        <f>ROUND((H119*12.5%),)</f>
        <v>5950</v>
      </c>
      <c r="N119" s="169"/>
      <c r="O119" s="169"/>
      <c r="P119" s="169">
        <v>1000</v>
      </c>
      <c r="Q119" s="169">
        <v>0</v>
      </c>
      <c r="R119" s="170">
        <f t="shared" si="26"/>
        <v>84610</v>
      </c>
      <c r="S119" s="171">
        <f>ROUND((H119*10%),0)</f>
        <v>4760</v>
      </c>
      <c r="T119" s="169"/>
      <c r="U119" s="169">
        <f t="shared" si="28"/>
        <v>476</v>
      </c>
      <c r="V119" s="169"/>
      <c r="W119" s="169"/>
      <c r="X119" s="169"/>
      <c r="Y119" s="169"/>
      <c r="Z119" s="169"/>
      <c r="AA119" s="169"/>
      <c r="AB119" s="169">
        <v>0</v>
      </c>
      <c r="AC119" s="169">
        <v>417</v>
      </c>
      <c r="AD119" s="172">
        <v>100</v>
      </c>
      <c r="AE119" s="169">
        <v>10</v>
      </c>
      <c r="AF119" s="169"/>
      <c r="AG119" s="169">
        <f t="shared" si="18"/>
        <v>5763</v>
      </c>
      <c r="AH119" s="169">
        <f t="shared" si="29"/>
        <v>78847</v>
      </c>
      <c r="AI119" s="173"/>
    </row>
    <row r="120" spans="2:35" s="167" customFormat="1" ht="69.75" customHeight="1" x14ac:dyDescent="0.25">
      <c r="B120" s="161">
        <v>106</v>
      </c>
      <c r="C120" s="161">
        <v>100066</v>
      </c>
      <c r="D120" s="175" t="s">
        <v>879</v>
      </c>
      <c r="E120" s="198" t="s">
        <v>880</v>
      </c>
      <c r="F120" s="166" t="s">
        <v>657</v>
      </c>
      <c r="G120" s="204" t="s">
        <v>881</v>
      </c>
      <c r="H120" s="169">
        <v>47600</v>
      </c>
      <c r="I120" s="169">
        <f t="shared" si="17"/>
        <v>4760</v>
      </c>
      <c r="J120" s="169">
        <v>0</v>
      </c>
      <c r="K120" s="169">
        <v>1500</v>
      </c>
      <c r="L120" s="169"/>
      <c r="M120" s="169">
        <f>ROUND((H120*12.5%),)</f>
        <v>5950</v>
      </c>
      <c r="N120" s="169"/>
      <c r="O120" s="169"/>
      <c r="P120" s="169">
        <v>1000</v>
      </c>
      <c r="Q120" s="169">
        <v>500</v>
      </c>
      <c r="R120" s="170">
        <f t="shared" si="26"/>
        <v>61310</v>
      </c>
      <c r="S120" s="171">
        <f>ROUND((H120*10%),0)</f>
        <v>4760</v>
      </c>
      <c r="T120" s="169"/>
      <c r="U120" s="169">
        <f t="shared" si="28"/>
        <v>476</v>
      </c>
      <c r="V120" s="169"/>
      <c r="W120" s="169"/>
      <c r="X120" s="169">
        <v>1080</v>
      </c>
      <c r="Y120" s="169">
        <v>80</v>
      </c>
      <c r="Z120" s="169">
        <v>30</v>
      </c>
      <c r="AA120" s="169">
        <v>105</v>
      </c>
      <c r="AB120" s="169"/>
      <c r="AC120" s="169">
        <v>417</v>
      </c>
      <c r="AD120" s="172">
        <v>100</v>
      </c>
      <c r="AE120" s="169">
        <v>10</v>
      </c>
      <c r="AF120" s="169"/>
      <c r="AG120" s="169">
        <f t="shared" si="18"/>
        <v>7058</v>
      </c>
      <c r="AH120" s="169">
        <f t="shared" si="29"/>
        <v>54252</v>
      </c>
      <c r="AI120" s="173"/>
    </row>
    <row r="121" spans="2:35" s="167" customFormat="1" ht="55.5" customHeight="1" x14ac:dyDescent="0.25">
      <c r="B121" s="161">
        <v>107</v>
      </c>
      <c r="C121" s="161">
        <v>100067</v>
      </c>
      <c r="D121" s="175" t="s">
        <v>882</v>
      </c>
      <c r="E121" s="198" t="s">
        <v>883</v>
      </c>
      <c r="F121" s="166" t="s">
        <v>657</v>
      </c>
      <c r="G121" s="204" t="s">
        <v>884</v>
      </c>
      <c r="H121" s="169">
        <v>47600</v>
      </c>
      <c r="I121" s="169">
        <f t="shared" si="17"/>
        <v>4760</v>
      </c>
      <c r="J121" s="169"/>
      <c r="K121" s="169">
        <v>1500</v>
      </c>
      <c r="L121" s="169"/>
      <c r="M121" s="169">
        <f>ROUND((H121*12.5%),)</f>
        <v>5950</v>
      </c>
      <c r="N121" s="169"/>
      <c r="O121" s="169"/>
      <c r="P121" s="169">
        <v>1000</v>
      </c>
      <c r="Q121" s="169">
        <v>500</v>
      </c>
      <c r="R121" s="170">
        <f t="shared" si="26"/>
        <v>61310</v>
      </c>
      <c r="S121" s="171">
        <f>ROUND((H121*10%),0)</f>
        <v>4760</v>
      </c>
      <c r="T121" s="169"/>
      <c r="U121" s="169">
        <f t="shared" si="28"/>
        <v>476</v>
      </c>
      <c r="V121" s="169"/>
      <c r="W121" s="169"/>
      <c r="X121" s="169">
        <v>1080</v>
      </c>
      <c r="Y121" s="169">
        <v>120</v>
      </c>
      <c r="Z121" s="169">
        <v>30</v>
      </c>
      <c r="AA121" s="169">
        <v>134</v>
      </c>
      <c r="AB121" s="169"/>
      <c r="AC121" s="169">
        <v>417</v>
      </c>
      <c r="AD121" s="172">
        <v>100</v>
      </c>
      <c r="AE121" s="169">
        <v>10</v>
      </c>
      <c r="AF121" s="169"/>
      <c r="AG121" s="169">
        <f t="shared" si="18"/>
        <v>7127</v>
      </c>
      <c r="AH121" s="169">
        <f t="shared" si="29"/>
        <v>54183</v>
      </c>
      <c r="AI121" s="170"/>
    </row>
    <row r="122" spans="2:35" s="167" customFormat="1" ht="49.5" customHeight="1" x14ac:dyDescent="0.25">
      <c r="B122" s="161">
        <v>108</v>
      </c>
      <c r="C122" s="218">
        <v>100092</v>
      </c>
      <c r="D122" s="175" t="s">
        <v>885</v>
      </c>
      <c r="E122" s="198" t="s">
        <v>886</v>
      </c>
      <c r="F122" s="166" t="s">
        <v>657</v>
      </c>
      <c r="G122" s="204" t="s">
        <v>887</v>
      </c>
      <c r="H122" s="169">
        <v>47600</v>
      </c>
      <c r="I122" s="169">
        <f t="shared" si="17"/>
        <v>4760</v>
      </c>
      <c r="J122" s="169">
        <f t="shared" ref="J122:J146" si="30">ROUND((H122*50%),0)</f>
        <v>23800</v>
      </c>
      <c r="K122" s="169">
        <v>1500</v>
      </c>
      <c r="L122" s="169"/>
      <c r="M122" s="169"/>
      <c r="N122" s="169"/>
      <c r="O122" s="169"/>
      <c r="P122" s="169"/>
      <c r="Q122" s="169"/>
      <c r="R122" s="170">
        <f t="shared" si="26"/>
        <v>77660</v>
      </c>
      <c r="S122" s="171">
        <f>ROUND((H122*10%),0)</f>
        <v>4760</v>
      </c>
      <c r="T122" s="169"/>
      <c r="U122" s="169">
        <f t="shared" si="28"/>
        <v>476</v>
      </c>
      <c r="V122" s="169"/>
      <c r="W122" s="169"/>
      <c r="X122" s="169"/>
      <c r="Y122" s="169"/>
      <c r="Z122" s="169"/>
      <c r="AA122" s="169"/>
      <c r="AB122" s="169"/>
      <c r="AC122" s="169">
        <v>417</v>
      </c>
      <c r="AD122" s="205">
        <v>100</v>
      </c>
      <c r="AE122" s="206">
        <v>10</v>
      </c>
      <c r="AF122" s="169"/>
      <c r="AG122" s="169">
        <f t="shared" si="18"/>
        <v>5763</v>
      </c>
      <c r="AH122" s="169">
        <f t="shared" si="29"/>
        <v>71897</v>
      </c>
      <c r="AI122" s="179"/>
    </row>
    <row r="123" spans="2:35" s="167" customFormat="1" ht="56.25" customHeight="1" x14ac:dyDescent="0.25">
      <c r="B123" s="161">
        <v>109</v>
      </c>
      <c r="C123" s="218">
        <v>100074</v>
      </c>
      <c r="D123" s="175" t="s">
        <v>888</v>
      </c>
      <c r="E123" s="209" t="s">
        <v>889</v>
      </c>
      <c r="F123" s="166" t="s">
        <v>657</v>
      </c>
      <c r="G123" s="204" t="s">
        <v>890</v>
      </c>
      <c r="H123" s="169">
        <v>45330</v>
      </c>
      <c r="I123" s="169">
        <f t="shared" si="17"/>
        <v>4533</v>
      </c>
      <c r="J123" s="169">
        <f t="shared" si="30"/>
        <v>22665</v>
      </c>
      <c r="K123" s="169">
        <v>1500</v>
      </c>
      <c r="L123" s="169"/>
      <c r="M123" s="169"/>
      <c r="N123" s="169"/>
      <c r="O123" s="169"/>
      <c r="P123" s="169"/>
      <c r="Q123" s="169"/>
      <c r="R123" s="170">
        <f t="shared" si="26"/>
        <v>74028</v>
      </c>
      <c r="S123" s="171">
        <f t="shared" ref="S123:S128" si="31">ROUND((H123*10%),0)</f>
        <v>4533</v>
      </c>
      <c r="T123" s="169"/>
      <c r="U123" s="169">
        <f t="shared" si="28"/>
        <v>453</v>
      </c>
      <c r="V123" s="169"/>
      <c r="W123" s="169"/>
      <c r="X123" s="169"/>
      <c r="Y123" s="169"/>
      <c r="Z123" s="169"/>
      <c r="AA123" s="169"/>
      <c r="AB123" s="169">
        <v>250</v>
      </c>
      <c r="AC123" s="169">
        <v>417</v>
      </c>
      <c r="AD123" s="172">
        <v>100</v>
      </c>
      <c r="AE123" s="169">
        <v>10</v>
      </c>
      <c r="AF123" s="169"/>
      <c r="AG123" s="169">
        <f t="shared" si="18"/>
        <v>5763</v>
      </c>
      <c r="AH123" s="169">
        <f t="shared" si="29"/>
        <v>68265</v>
      </c>
      <c r="AI123" s="179"/>
    </row>
    <row r="124" spans="2:35" s="167" customFormat="1" ht="53.25" customHeight="1" x14ac:dyDescent="0.25">
      <c r="B124" s="161">
        <v>110</v>
      </c>
      <c r="C124" s="218">
        <v>100093</v>
      </c>
      <c r="D124" s="175" t="s">
        <v>891</v>
      </c>
      <c r="E124" s="198" t="s">
        <v>892</v>
      </c>
      <c r="F124" s="166" t="s">
        <v>657</v>
      </c>
      <c r="G124" s="204" t="s">
        <v>893</v>
      </c>
      <c r="H124" s="169">
        <v>45330</v>
      </c>
      <c r="I124" s="169">
        <f t="shared" si="17"/>
        <v>4533</v>
      </c>
      <c r="J124" s="169">
        <f t="shared" si="30"/>
        <v>22665</v>
      </c>
      <c r="K124" s="169">
        <v>1500</v>
      </c>
      <c r="L124" s="169"/>
      <c r="M124" s="169">
        <f>ROUND((H124*12.5%),0)</f>
        <v>5666</v>
      </c>
      <c r="N124" s="169"/>
      <c r="O124" s="169"/>
      <c r="P124" s="169">
        <v>1000</v>
      </c>
      <c r="Q124" s="169">
        <v>500</v>
      </c>
      <c r="R124" s="170">
        <f t="shared" si="26"/>
        <v>81194</v>
      </c>
      <c r="S124" s="171">
        <f t="shared" si="31"/>
        <v>4533</v>
      </c>
      <c r="T124" s="169">
        <v>5000</v>
      </c>
      <c r="U124" s="169">
        <f t="shared" si="28"/>
        <v>453</v>
      </c>
      <c r="V124" s="169"/>
      <c r="W124" s="169"/>
      <c r="X124" s="169"/>
      <c r="Y124" s="169"/>
      <c r="Z124" s="169"/>
      <c r="AA124" s="169"/>
      <c r="AB124" s="169">
        <v>250</v>
      </c>
      <c r="AC124" s="169">
        <v>417</v>
      </c>
      <c r="AD124" s="205">
        <v>100</v>
      </c>
      <c r="AE124" s="206">
        <v>10</v>
      </c>
      <c r="AF124" s="169"/>
      <c r="AG124" s="169">
        <f t="shared" si="18"/>
        <v>10763</v>
      </c>
      <c r="AH124" s="169">
        <f t="shared" si="29"/>
        <v>70431</v>
      </c>
      <c r="AI124" s="173" t="s">
        <v>894</v>
      </c>
    </row>
    <row r="125" spans="2:35" s="167" customFormat="1" ht="49.5" customHeight="1" x14ac:dyDescent="0.25">
      <c r="B125" s="161">
        <v>111</v>
      </c>
      <c r="C125" s="218">
        <v>100098</v>
      </c>
      <c r="D125" s="175" t="s">
        <v>895</v>
      </c>
      <c r="E125" s="198" t="s">
        <v>896</v>
      </c>
      <c r="F125" s="166" t="s">
        <v>657</v>
      </c>
      <c r="G125" s="204" t="s">
        <v>897</v>
      </c>
      <c r="H125" s="169"/>
      <c r="I125" s="169">
        <f t="shared" si="17"/>
        <v>0</v>
      </c>
      <c r="J125" s="169">
        <f>ROUND((H125*50%),0)</f>
        <v>0</v>
      </c>
      <c r="K125" s="169"/>
      <c r="L125" s="169"/>
      <c r="M125" s="169"/>
      <c r="N125" s="169"/>
      <c r="O125" s="169"/>
      <c r="P125" s="169"/>
      <c r="Q125" s="169"/>
      <c r="R125" s="170">
        <f t="shared" si="26"/>
        <v>0</v>
      </c>
      <c r="S125" s="171">
        <f t="shared" si="31"/>
        <v>0</v>
      </c>
      <c r="T125" s="169"/>
      <c r="U125" s="169">
        <f t="shared" si="28"/>
        <v>0</v>
      </c>
      <c r="V125" s="169"/>
      <c r="W125" s="169"/>
      <c r="X125" s="169"/>
      <c r="Y125" s="169"/>
      <c r="Z125" s="169"/>
      <c r="AA125" s="169"/>
      <c r="AB125" s="169"/>
      <c r="AC125" s="169"/>
      <c r="AD125" s="205"/>
      <c r="AE125" s="206"/>
      <c r="AF125" s="169"/>
      <c r="AG125" s="169">
        <f t="shared" si="18"/>
        <v>0</v>
      </c>
      <c r="AH125" s="169">
        <f>R125-AG125</f>
        <v>0</v>
      </c>
      <c r="AI125" s="179"/>
    </row>
    <row r="126" spans="2:35" s="167" customFormat="1" ht="50.25" customHeight="1" x14ac:dyDescent="0.25">
      <c r="B126" s="161">
        <v>112</v>
      </c>
      <c r="C126" s="218">
        <v>100110</v>
      </c>
      <c r="D126" s="175" t="s">
        <v>898</v>
      </c>
      <c r="E126" s="198" t="s">
        <v>899</v>
      </c>
      <c r="F126" s="166" t="s">
        <v>657</v>
      </c>
      <c r="G126" s="204" t="s">
        <v>900</v>
      </c>
      <c r="H126" s="169">
        <v>45330</v>
      </c>
      <c r="I126" s="169">
        <f t="shared" si="17"/>
        <v>4533</v>
      </c>
      <c r="J126" s="169">
        <f t="shared" si="30"/>
        <v>22665</v>
      </c>
      <c r="K126" s="169">
        <v>1500</v>
      </c>
      <c r="L126" s="169"/>
      <c r="M126" s="169"/>
      <c r="N126" s="169"/>
      <c r="O126" s="169"/>
      <c r="P126" s="169"/>
      <c r="Q126" s="169"/>
      <c r="R126" s="170">
        <f t="shared" si="26"/>
        <v>74028</v>
      </c>
      <c r="S126" s="171">
        <f t="shared" si="31"/>
        <v>4533</v>
      </c>
      <c r="T126" s="169"/>
      <c r="U126" s="169">
        <f t="shared" si="28"/>
        <v>453</v>
      </c>
      <c r="V126" s="169"/>
      <c r="W126" s="169"/>
      <c r="X126" s="169"/>
      <c r="Y126" s="169"/>
      <c r="Z126" s="169"/>
      <c r="AA126" s="169"/>
      <c r="AB126" s="169">
        <v>250</v>
      </c>
      <c r="AC126" s="169">
        <v>417</v>
      </c>
      <c r="AD126" s="205">
        <v>100</v>
      </c>
      <c r="AE126" s="206">
        <v>10</v>
      </c>
      <c r="AF126" s="169"/>
      <c r="AG126" s="169">
        <f t="shared" si="18"/>
        <v>5763</v>
      </c>
      <c r="AH126" s="169">
        <f>R126-AG126</f>
        <v>68265</v>
      </c>
      <c r="AI126" s="173"/>
    </row>
    <row r="127" spans="2:35" s="167" customFormat="1" ht="57.75" customHeight="1" x14ac:dyDescent="0.25">
      <c r="B127" s="161">
        <v>113</v>
      </c>
      <c r="C127" s="218">
        <v>100112</v>
      </c>
      <c r="D127" s="175" t="s">
        <v>901</v>
      </c>
      <c r="E127" s="198" t="s">
        <v>902</v>
      </c>
      <c r="F127" s="166" t="s">
        <v>657</v>
      </c>
      <c r="G127" s="204" t="s">
        <v>903</v>
      </c>
      <c r="H127" s="169">
        <v>45330</v>
      </c>
      <c r="I127" s="169">
        <f t="shared" si="17"/>
        <v>4533</v>
      </c>
      <c r="J127" s="169">
        <f t="shared" si="30"/>
        <v>22665</v>
      </c>
      <c r="K127" s="169">
        <v>1500</v>
      </c>
      <c r="L127" s="169"/>
      <c r="M127" s="169"/>
      <c r="N127" s="169"/>
      <c r="O127" s="169"/>
      <c r="P127" s="169"/>
      <c r="Q127" s="169"/>
      <c r="R127" s="170">
        <f t="shared" si="26"/>
        <v>74028</v>
      </c>
      <c r="S127" s="171">
        <f t="shared" si="31"/>
        <v>4533</v>
      </c>
      <c r="T127" s="169"/>
      <c r="U127" s="169">
        <f t="shared" si="28"/>
        <v>453</v>
      </c>
      <c r="V127" s="169"/>
      <c r="W127" s="169"/>
      <c r="X127" s="169"/>
      <c r="Y127" s="169"/>
      <c r="Z127" s="169"/>
      <c r="AA127" s="169"/>
      <c r="AB127" s="169"/>
      <c r="AC127" s="169">
        <v>417</v>
      </c>
      <c r="AD127" s="205">
        <v>100</v>
      </c>
      <c r="AE127" s="206">
        <v>10</v>
      </c>
      <c r="AF127" s="169"/>
      <c r="AG127" s="169">
        <f t="shared" si="18"/>
        <v>5513</v>
      </c>
      <c r="AH127" s="169">
        <f>R127-AG127</f>
        <v>68515</v>
      </c>
      <c r="AI127" s="179"/>
    </row>
    <row r="128" spans="2:35" s="167" customFormat="1" ht="57" customHeight="1" x14ac:dyDescent="0.25">
      <c r="B128" s="161">
        <v>114</v>
      </c>
      <c r="C128" s="218">
        <v>100118</v>
      </c>
      <c r="D128" s="175" t="s">
        <v>904</v>
      </c>
      <c r="E128" s="198" t="s">
        <v>905</v>
      </c>
      <c r="F128" s="166" t="s">
        <v>657</v>
      </c>
      <c r="G128" s="204" t="s">
        <v>906</v>
      </c>
      <c r="H128" s="169">
        <v>45330</v>
      </c>
      <c r="I128" s="169">
        <f t="shared" si="17"/>
        <v>4533</v>
      </c>
      <c r="J128" s="169">
        <f t="shared" si="30"/>
        <v>22665</v>
      </c>
      <c r="K128" s="169">
        <v>1500</v>
      </c>
      <c r="L128" s="169"/>
      <c r="M128" s="169"/>
      <c r="N128" s="169"/>
      <c r="O128" s="169"/>
      <c r="P128" s="169"/>
      <c r="Q128" s="169"/>
      <c r="R128" s="170">
        <f t="shared" si="26"/>
        <v>74028</v>
      </c>
      <c r="S128" s="171">
        <f t="shared" si="31"/>
        <v>4533</v>
      </c>
      <c r="T128" s="169"/>
      <c r="U128" s="169">
        <f t="shared" si="28"/>
        <v>453</v>
      </c>
      <c r="V128" s="169"/>
      <c r="W128" s="169"/>
      <c r="X128" s="169"/>
      <c r="Y128" s="169"/>
      <c r="Z128" s="169"/>
      <c r="AA128" s="169"/>
      <c r="AB128" s="169"/>
      <c r="AC128" s="169">
        <v>417</v>
      </c>
      <c r="AD128" s="205">
        <v>100</v>
      </c>
      <c r="AE128" s="206">
        <v>10</v>
      </c>
      <c r="AF128" s="169"/>
      <c r="AG128" s="169">
        <f t="shared" si="18"/>
        <v>5513</v>
      </c>
      <c r="AH128" s="169">
        <f>R128-AG128</f>
        <v>68515</v>
      </c>
      <c r="AI128" s="179"/>
    </row>
    <row r="129" spans="2:35" s="167" customFormat="1" ht="64.5" customHeight="1" x14ac:dyDescent="0.25">
      <c r="B129" s="161">
        <v>115</v>
      </c>
      <c r="C129" s="218">
        <v>100119</v>
      </c>
      <c r="D129" s="175" t="s">
        <v>907</v>
      </c>
      <c r="E129" s="198" t="s">
        <v>908</v>
      </c>
      <c r="F129" s="166" t="s">
        <v>657</v>
      </c>
      <c r="G129" s="204" t="s">
        <v>909</v>
      </c>
      <c r="H129" s="169">
        <v>43170</v>
      </c>
      <c r="I129" s="169">
        <f t="shared" si="17"/>
        <v>4317</v>
      </c>
      <c r="J129" s="169">
        <f t="shared" si="30"/>
        <v>21585</v>
      </c>
      <c r="K129" s="169">
        <v>1500</v>
      </c>
      <c r="L129" s="169"/>
      <c r="M129" s="169"/>
      <c r="N129" s="169"/>
      <c r="O129" s="169"/>
      <c r="P129" s="169"/>
      <c r="Q129" s="169">
        <v>500</v>
      </c>
      <c r="R129" s="170">
        <f t="shared" si="26"/>
        <v>71072</v>
      </c>
      <c r="S129" s="171">
        <f>ROUND((H129*10%),0)</f>
        <v>4317</v>
      </c>
      <c r="T129" s="169"/>
      <c r="U129" s="169">
        <f>ROUND((H129*1%),0)</f>
        <v>432</v>
      </c>
      <c r="V129" s="169"/>
      <c r="W129" s="169"/>
      <c r="X129" s="169"/>
      <c r="Y129" s="169"/>
      <c r="Z129" s="169"/>
      <c r="AA129" s="169"/>
      <c r="AB129" s="169"/>
      <c r="AC129" s="169"/>
      <c r="AD129" s="205">
        <v>100</v>
      </c>
      <c r="AE129" s="206">
        <v>10</v>
      </c>
      <c r="AF129" s="169"/>
      <c r="AG129" s="169">
        <f t="shared" si="18"/>
        <v>4859</v>
      </c>
      <c r="AH129" s="169">
        <f t="shared" ref="AH129:AH136" si="32">R129-AG129</f>
        <v>66213</v>
      </c>
      <c r="AI129" s="179"/>
    </row>
    <row r="130" spans="2:35" s="167" customFormat="1" ht="57.75" customHeight="1" x14ac:dyDescent="0.25">
      <c r="B130" s="161">
        <v>116</v>
      </c>
      <c r="C130" s="218">
        <v>100125</v>
      </c>
      <c r="D130" s="175" t="s">
        <v>910</v>
      </c>
      <c r="E130" s="198" t="s">
        <v>911</v>
      </c>
      <c r="F130" s="166" t="s">
        <v>657</v>
      </c>
      <c r="G130" s="204" t="s">
        <v>912</v>
      </c>
      <c r="H130" s="169">
        <v>43170</v>
      </c>
      <c r="I130" s="169">
        <f t="shared" si="17"/>
        <v>4317</v>
      </c>
      <c r="J130" s="169">
        <f t="shared" si="30"/>
        <v>21585</v>
      </c>
      <c r="K130" s="169">
        <v>1500</v>
      </c>
      <c r="L130" s="169"/>
      <c r="M130" s="169"/>
      <c r="N130" s="169"/>
      <c r="O130" s="169"/>
      <c r="P130" s="169"/>
      <c r="Q130" s="169"/>
      <c r="R130" s="170">
        <f t="shared" si="26"/>
        <v>70572</v>
      </c>
      <c r="S130" s="171">
        <f>ROUND((H130*10%),0)</f>
        <v>4317</v>
      </c>
      <c r="T130" s="169"/>
      <c r="U130" s="169">
        <f>ROUND((H130*1%),0)</f>
        <v>432</v>
      </c>
      <c r="V130" s="169"/>
      <c r="W130" s="169"/>
      <c r="X130" s="169"/>
      <c r="Y130" s="169"/>
      <c r="Z130" s="169"/>
      <c r="AA130" s="169"/>
      <c r="AB130" s="169">
        <v>250</v>
      </c>
      <c r="AC130" s="169">
        <v>417</v>
      </c>
      <c r="AD130" s="205">
        <v>100</v>
      </c>
      <c r="AE130" s="206">
        <v>10</v>
      </c>
      <c r="AF130" s="169"/>
      <c r="AG130" s="169">
        <f t="shared" si="18"/>
        <v>5526</v>
      </c>
      <c r="AH130" s="169">
        <f t="shared" si="32"/>
        <v>65046</v>
      </c>
      <c r="AI130" s="173"/>
    </row>
    <row r="131" spans="2:35" s="167" customFormat="1" ht="54" customHeight="1" x14ac:dyDescent="0.25">
      <c r="B131" s="161">
        <v>117</v>
      </c>
      <c r="C131" s="218">
        <v>100130</v>
      </c>
      <c r="D131" s="175" t="s">
        <v>913</v>
      </c>
      <c r="E131" s="198" t="s">
        <v>914</v>
      </c>
      <c r="F131" s="166" t="s">
        <v>657</v>
      </c>
      <c r="G131" s="204" t="s">
        <v>915</v>
      </c>
      <c r="H131" s="169">
        <v>43170</v>
      </c>
      <c r="I131" s="169">
        <f t="shared" si="17"/>
        <v>4317</v>
      </c>
      <c r="J131" s="169"/>
      <c r="K131" s="169">
        <v>1500</v>
      </c>
      <c r="L131" s="169"/>
      <c r="M131" s="169">
        <f>ROUND((H131*12.5%),0)</f>
        <v>5396</v>
      </c>
      <c r="N131" s="169"/>
      <c r="O131" s="169"/>
      <c r="P131" s="169">
        <f>ROUND((1000),0)</f>
        <v>1000</v>
      </c>
      <c r="Q131" s="169"/>
      <c r="R131" s="170">
        <f t="shared" si="26"/>
        <v>55383</v>
      </c>
      <c r="S131" s="171">
        <f>ROUND((H131*10%),0)</f>
        <v>4317</v>
      </c>
      <c r="T131" s="169"/>
      <c r="U131" s="169">
        <f>ROUND((H131*1%),0)</f>
        <v>432</v>
      </c>
      <c r="V131" s="169"/>
      <c r="W131" s="169"/>
      <c r="X131" s="169">
        <v>1080</v>
      </c>
      <c r="Y131" s="169">
        <v>80</v>
      </c>
      <c r="Z131" s="169">
        <v>20</v>
      </c>
      <c r="AA131" s="167">
        <v>76</v>
      </c>
      <c r="AB131" s="161"/>
      <c r="AC131" s="169">
        <v>417</v>
      </c>
      <c r="AD131" s="205">
        <v>100</v>
      </c>
      <c r="AE131" s="206">
        <v>10</v>
      </c>
      <c r="AF131" s="169"/>
      <c r="AG131" s="169">
        <f t="shared" si="18"/>
        <v>6532</v>
      </c>
      <c r="AH131" s="169">
        <f>R131-AG131</f>
        <v>48851</v>
      </c>
      <c r="AI131" s="179"/>
    </row>
    <row r="132" spans="2:35" s="167" customFormat="1" ht="54" customHeight="1" x14ac:dyDescent="0.25">
      <c r="B132" s="161">
        <v>118</v>
      </c>
      <c r="C132" s="218">
        <v>100129</v>
      </c>
      <c r="D132" s="175" t="s">
        <v>916</v>
      </c>
      <c r="E132" s="198" t="s">
        <v>917</v>
      </c>
      <c r="F132" s="166" t="s">
        <v>657</v>
      </c>
      <c r="G132" s="204" t="s">
        <v>918</v>
      </c>
      <c r="H132" s="169">
        <v>43170</v>
      </c>
      <c r="I132" s="169">
        <f t="shared" si="17"/>
        <v>4317</v>
      </c>
      <c r="J132" s="169">
        <f t="shared" si="30"/>
        <v>21585</v>
      </c>
      <c r="K132" s="169">
        <v>1500</v>
      </c>
      <c r="L132" s="169"/>
      <c r="M132" s="169"/>
      <c r="N132" s="169"/>
      <c r="O132" s="169"/>
      <c r="P132" s="169"/>
      <c r="Q132" s="169"/>
      <c r="R132" s="170">
        <f t="shared" si="26"/>
        <v>70572</v>
      </c>
      <c r="S132" s="171">
        <f>ROUND((H132*10%),0)</f>
        <v>4317</v>
      </c>
      <c r="T132" s="169">
        <v>3750</v>
      </c>
      <c r="U132" s="169">
        <f>ROUND((H132*1%),0)</f>
        <v>432</v>
      </c>
      <c r="V132" s="169"/>
      <c r="W132" s="169"/>
      <c r="X132" s="169"/>
      <c r="Y132" s="169"/>
      <c r="Z132" s="169"/>
      <c r="AA132" s="169"/>
      <c r="AB132" s="169">
        <v>250</v>
      </c>
      <c r="AC132" s="169">
        <v>417</v>
      </c>
      <c r="AD132" s="205">
        <v>100</v>
      </c>
      <c r="AE132" s="206">
        <v>10</v>
      </c>
      <c r="AF132" s="169"/>
      <c r="AG132" s="169">
        <f t="shared" si="18"/>
        <v>9276</v>
      </c>
      <c r="AH132" s="169">
        <f t="shared" si="32"/>
        <v>61296</v>
      </c>
      <c r="AI132" s="179" t="s">
        <v>919</v>
      </c>
    </row>
    <row r="133" spans="2:35" s="167" customFormat="1" ht="57.75" customHeight="1" x14ac:dyDescent="0.25">
      <c r="B133" s="161">
        <v>119</v>
      </c>
      <c r="C133" s="218">
        <v>100128</v>
      </c>
      <c r="D133" s="175" t="s">
        <v>920</v>
      </c>
      <c r="E133" s="198" t="s">
        <v>921</v>
      </c>
      <c r="F133" s="166" t="s">
        <v>657</v>
      </c>
      <c r="G133" s="204" t="s">
        <v>922</v>
      </c>
      <c r="H133" s="169">
        <v>43170</v>
      </c>
      <c r="I133" s="169">
        <f t="shared" si="17"/>
        <v>4317</v>
      </c>
      <c r="J133" s="169">
        <f t="shared" si="30"/>
        <v>21585</v>
      </c>
      <c r="K133" s="169">
        <v>1500</v>
      </c>
      <c r="L133" s="169"/>
      <c r="M133" s="169"/>
      <c r="N133" s="169"/>
      <c r="O133" s="169"/>
      <c r="P133" s="169"/>
      <c r="Q133" s="169"/>
      <c r="R133" s="170">
        <f t="shared" si="26"/>
        <v>70572</v>
      </c>
      <c r="S133" s="171">
        <f>ROUND((H133*10%),0)</f>
        <v>4317</v>
      </c>
      <c r="T133" s="169">
        <v>4500</v>
      </c>
      <c r="U133" s="169">
        <f>ROUND((H133*1%),0)</f>
        <v>432</v>
      </c>
      <c r="V133" s="169"/>
      <c r="W133" s="169"/>
      <c r="X133" s="169"/>
      <c r="Y133" s="169"/>
      <c r="Z133" s="169"/>
      <c r="AA133" s="169"/>
      <c r="AB133" s="169">
        <v>250</v>
      </c>
      <c r="AC133" s="169">
        <v>417</v>
      </c>
      <c r="AD133" s="205">
        <v>100</v>
      </c>
      <c r="AE133" s="206">
        <v>10</v>
      </c>
      <c r="AF133" s="169"/>
      <c r="AG133" s="169">
        <f t="shared" si="18"/>
        <v>10026</v>
      </c>
      <c r="AH133" s="169">
        <f t="shared" si="32"/>
        <v>60546</v>
      </c>
      <c r="AI133" s="179" t="s">
        <v>923</v>
      </c>
    </row>
    <row r="134" spans="2:35" s="167" customFormat="1" ht="59.25" customHeight="1" x14ac:dyDescent="0.25">
      <c r="B134" s="161">
        <v>120</v>
      </c>
      <c r="C134" s="218">
        <v>100122</v>
      </c>
      <c r="D134" s="175" t="s">
        <v>924</v>
      </c>
      <c r="E134" s="198" t="s">
        <v>925</v>
      </c>
      <c r="F134" s="166" t="s">
        <v>657</v>
      </c>
      <c r="G134" s="204" t="s">
        <v>926</v>
      </c>
      <c r="H134" s="169">
        <v>43170</v>
      </c>
      <c r="I134" s="169">
        <f t="shared" si="17"/>
        <v>4317</v>
      </c>
      <c r="J134" s="169">
        <f t="shared" si="30"/>
        <v>21585</v>
      </c>
      <c r="K134" s="169">
        <v>1500</v>
      </c>
      <c r="L134" s="169"/>
      <c r="M134" s="169"/>
      <c r="N134" s="169"/>
      <c r="O134" s="169"/>
      <c r="P134" s="169"/>
      <c r="Q134" s="169"/>
      <c r="R134" s="170">
        <f t="shared" si="26"/>
        <v>70572</v>
      </c>
      <c r="S134" s="171">
        <f t="shared" ref="S134:S191" si="33">ROUND((H134*10%),0)</f>
        <v>4317</v>
      </c>
      <c r="T134" s="169"/>
      <c r="U134" s="169">
        <f t="shared" ref="U134:U191" si="34">ROUND((H134*1%),0)</f>
        <v>432</v>
      </c>
      <c r="V134" s="169"/>
      <c r="W134" s="169"/>
      <c r="X134" s="169"/>
      <c r="Y134" s="169"/>
      <c r="Z134" s="169"/>
      <c r="AA134" s="169"/>
      <c r="AB134" s="169">
        <v>250</v>
      </c>
      <c r="AC134" s="169">
        <v>417</v>
      </c>
      <c r="AD134" s="205">
        <v>100</v>
      </c>
      <c r="AE134" s="206">
        <v>10</v>
      </c>
      <c r="AF134" s="169"/>
      <c r="AG134" s="169">
        <f t="shared" si="18"/>
        <v>5526</v>
      </c>
      <c r="AH134" s="169">
        <f t="shared" si="32"/>
        <v>65046</v>
      </c>
      <c r="AI134" s="179"/>
    </row>
    <row r="135" spans="2:35" s="167" customFormat="1" ht="56.25" customHeight="1" x14ac:dyDescent="0.25">
      <c r="B135" s="161">
        <v>121</v>
      </c>
      <c r="C135" s="218">
        <v>100121</v>
      </c>
      <c r="D135" s="175" t="s">
        <v>927</v>
      </c>
      <c r="E135" s="198" t="s">
        <v>928</v>
      </c>
      <c r="F135" s="166" t="s">
        <v>657</v>
      </c>
      <c r="G135" s="162" t="s">
        <v>929</v>
      </c>
      <c r="H135" s="169">
        <v>43170</v>
      </c>
      <c r="I135" s="169">
        <f t="shared" si="17"/>
        <v>4317</v>
      </c>
      <c r="J135" s="169">
        <f t="shared" si="30"/>
        <v>21585</v>
      </c>
      <c r="K135" s="169">
        <v>1500</v>
      </c>
      <c r="L135" s="169"/>
      <c r="M135" s="169"/>
      <c r="N135" s="169"/>
      <c r="O135" s="169"/>
      <c r="P135" s="169"/>
      <c r="Q135" s="169"/>
      <c r="R135" s="170">
        <f t="shared" si="26"/>
        <v>70572</v>
      </c>
      <c r="S135" s="171">
        <f t="shared" si="33"/>
        <v>4317</v>
      </c>
      <c r="T135" s="169"/>
      <c r="U135" s="169">
        <f t="shared" si="34"/>
        <v>432</v>
      </c>
      <c r="V135" s="169"/>
      <c r="W135" s="169"/>
      <c r="X135" s="169"/>
      <c r="Y135" s="169"/>
      <c r="Z135" s="169"/>
      <c r="AA135" s="169"/>
      <c r="AB135" s="169">
        <v>250</v>
      </c>
      <c r="AC135" s="169">
        <v>417</v>
      </c>
      <c r="AD135" s="205">
        <v>100</v>
      </c>
      <c r="AE135" s="206">
        <v>10</v>
      </c>
      <c r="AF135" s="169"/>
      <c r="AG135" s="169">
        <f t="shared" si="18"/>
        <v>5526</v>
      </c>
      <c r="AH135" s="169">
        <f t="shared" si="32"/>
        <v>65046</v>
      </c>
      <c r="AI135" s="179"/>
    </row>
    <row r="136" spans="2:35" s="167" customFormat="1" ht="54" customHeight="1" x14ac:dyDescent="0.25">
      <c r="B136" s="161">
        <v>122</v>
      </c>
      <c r="C136" s="219">
        <v>100141</v>
      </c>
      <c r="D136" s="175" t="s">
        <v>930</v>
      </c>
      <c r="E136" s="198" t="s">
        <v>931</v>
      </c>
      <c r="F136" s="166" t="s">
        <v>657</v>
      </c>
      <c r="G136" s="162" t="s">
        <v>932</v>
      </c>
      <c r="H136" s="169">
        <v>43170</v>
      </c>
      <c r="I136" s="169">
        <f t="shared" si="17"/>
        <v>4317</v>
      </c>
      <c r="J136" s="169">
        <f t="shared" si="30"/>
        <v>21585</v>
      </c>
      <c r="K136" s="169">
        <v>1500</v>
      </c>
      <c r="L136" s="169"/>
      <c r="M136" s="169"/>
      <c r="N136" s="169"/>
      <c r="O136" s="169"/>
      <c r="P136" s="169"/>
      <c r="Q136" s="169"/>
      <c r="R136" s="170">
        <f t="shared" si="26"/>
        <v>70572</v>
      </c>
      <c r="S136" s="171">
        <f t="shared" si="33"/>
        <v>4317</v>
      </c>
      <c r="T136" s="169"/>
      <c r="U136" s="169">
        <f t="shared" si="34"/>
        <v>432</v>
      </c>
      <c r="V136" s="169"/>
      <c r="W136" s="169"/>
      <c r="X136" s="169"/>
      <c r="Y136" s="169"/>
      <c r="Z136" s="169"/>
      <c r="AA136" s="169"/>
      <c r="AB136" s="169">
        <v>250</v>
      </c>
      <c r="AC136" s="169">
        <v>417</v>
      </c>
      <c r="AD136" s="205">
        <v>100</v>
      </c>
      <c r="AE136" s="206">
        <v>10</v>
      </c>
      <c r="AF136" s="169"/>
      <c r="AG136" s="169">
        <f t="shared" si="18"/>
        <v>5526</v>
      </c>
      <c r="AH136" s="169">
        <f t="shared" si="32"/>
        <v>65046</v>
      </c>
      <c r="AI136" s="179"/>
    </row>
    <row r="137" spans="2:35" s="167" customFormat="1" ht="51" customHeight="1" x14ac:dyDescent="0.25">
      <c r="B137" s="161">
        <v>123</v>
      </c>
      <c r="C137" s="218">
        <v>100111</v>
      </c>
      <c r="D137" s="175" t="s">
        <v>933</v>
      </c>
      <c r="E137" s="198" t="s">
        <v>934</v>
      </c>
      <c r="F137" s="166" t="s">
        <v>657</v>
      </c>
      <c r="G137" s="204" t="s">
        <v>935</v>
      </c>
      <c r="H137" s="169">
        <v>43170</v>
      </c>
      <c r="I137" s="169">
        <f t="shared" si="17"/>
        <v>4317</v>
      </c>
      <c r="J137" s="169"/>
      <c r="K137" s="169">
        <v>1500</v>
      </c>
      <c r="L137" s="169"/>
      <c r="M137" s="169"/>
      <c r="N137" s="169"/>
      <c r="O137" s="169"/>
      <c r="P137" s="169"/>
      <c r="Q137" s="169"/>
      <c r="R137" s="170">
        <f>SUM(H137:Q137)</f>
        <v>48987</v>
      </c>
      <c r="S137" s="171">
        <f t="shared" si="33"/>
        <v>4317</v>
      </c>
      <c r="T137" s="169">
        <v>5500</v>
      </c>
      <c r="U137" s="169">
        <f t="shared" si="34"/>
        <v>432</v>
      </c>
      <c r="V137" s="169"/>
      <c r="W137" s="169"/>
      <c r="X137" s="169">
        <v>1080</v>
      </c>
      <c r="Y137" s="169">
        <v>80</v>
      </c>
      <c r="Z137" s="169">
        <v>30</v>
      </c>
      <c r="AA137" s="169">
        <v>1977</v>
      </c>
      <c r="AB137" s="169"/>
      <c r="AC137" s="169">
        <v>417</v>
      </c>
      <c r="AD137" s="205">
        <v>100</v>
      </c>
      <c r="AE137" s="206">
        <v>10</v>
      </c>
      <c r="AF137" s="169"/>
      <c r="AG137" s="169">
        <f t="shared" si="18"/>
        <v>13943</v>
      </c>
      <c r="AH137" s="169">
        <f>R137-AG137</f>
        <v>35044</v>
      </c>
      <c r="AI137" s="179" t="s">
        <v>936</v>
      </c>
    </row>
    <row r="138" spans="2:35" s="167" customFormat="1" ht="57" customHeight="1" x14ac:dyDescent="0.25">
      <c r="B138" s="161">
        <v>124</v>
      </c>
      <c r="C138" s="219">
        <v>100148</v>
      </c>
      <c r="D138" s="175" t="s">
        <v>937</v>
      </c>
      <c r="E138" s="198" t="s">
        <v>938</v>
      </c>
      <c r="F138" s="166" t="s">
        <v>657</v>
      </c>
      <c r="G138" s="162" t="s">
        <v>939</v>
      </c>
      <c r="H138" s="169">
        <v>49980</v>
      </c>
      <c r="I138" s="169">
        <f t="shared" si="17"/>
        <v>4998</v>
      </c>
      <c r="J138" s="169">
        <f t="shared" si="30"/>
        <v>24990</v>
      </c>
      <c r="K138" s="169">
        <v>1500</v>
      </c>
      <c r="L138" s="169"/>
      <c r="M138" s="169">
        <f>ROUND((H138*12.5%),0)</f>
        <v>6248</v>
      </c>
      <c r="N138" s="169"/>
      <c r="O138" s="169"/>
      <c r="P138" s="169">
        <v>1000</v>
      </c>
      <c r="Q138" s="169"/>
      <c r="R138" s="170">
        <f>SUM(H138:Q138)</f>
        <v>88716</v>
      </c>
      <c r="S138" s="171">
        <f t="shared" si="33"/>
        <v>4998</v>
      </c>
      <c r="T138" s="169">
        <v>5396</v>
      </c>
      <c r="U138" s="169">
        <f t="shared" si="34"/>
        <v>500</v>
      </c>
      <c r="V138" s="169"/>
      <c r="W138" s="169"/>
      <c r="X138" s="169"/>
      <c r="Y138" s="169"/>
      <c r="Z138" s="169"/>
      <c r="AA138" s="169"/>
      <c r="AB138" s="169"/>
      <c r="AC138" s="169">
        <v>417</v>
      </c>
      <c r="AD138" s="205">
        <v>100</v>
      </c>
      <c r="AE138" s="206">
        <v>10</v>
      </c>
      <c r="AF138" s="169"/>
      <c r="AG138" s="169">
        <f t="shared" si="18"/>
        <v>11421</v>
      </c>
      <c r="AH138" s="169">
        <f>R138-AG138</f>
        <v>77295</v>
      </c>
      <c r="AI138" s="179" t="s">
        <v>940</v>
      </c>
    </row>
    <row r="139" spans="2:35" s="167" customFormat="1" ht="57" customHeight="1" x14ac:dyDescent="0.25">
      <c r="B139" s="161">
        <v>125</v>
      </c>
      <c r="C139" s="219">
        <v>100139</v>
      </c>
      <c r="D139" s="175" t="s">
        <v>941</v>
      </c>
      <c r="E139" s="198" t="s">
        <v>942</v>
      </c>
      <c r="F139" s="166" t="s">
        <v>657</v>
      </c>
      <c r="G139" s="162" t="s">
        <v>943</v>
      </c>
      <c r="H139" s="169">
        <v>43170</v>
      </c>
      <c r="I139" s="169">
        <f t="shared" si="17"/>
        <v>4317</v>
      </c>
      <c r="J139" s="169">
        <f t="shared" si="30"/>
        <v>21585</v>
      </c>
      <c r="K139" s="169">
        <v>1500</v>
      </c>
      <c r="L139" s="169"/>
      <c r="M139" s="169"/>
      <c r="N139" s="169"/>
      <c r="O139" s="169"/>
      <c r="P139" s="169"/>
      <c r="Q139" s="169"/>
      <c r="R139" s="170">
        <f>SUM(H139:Q139)</f>
        <v>70572</v>
      </c>
      <c r="S139" s="171">
        <f t="shared" si="33"/>
        <v>4317</v>
      </c>
      <c r="T139" s="169"/>
      <c r="U139" s="169">
        <f t="shared" si="34"/>
        <v>432</v>
      </c>
      <c r="V139" s="169"/>
      <c r="W139" s="169"/>
      <c r="X139" s="169"/>
      <c r="Y139" s="169"/>
      <c r="Z139" s="169"/>
      <c r="AA139" s="169"/>
      <c r="AB139" s="169"/>
      <c r="AC139" s="169">
        <v>417</v>
      </c>
      <c r="AD139" s="205">
        <v>100</v>
      </c>
      <c r="AE139" s="206">
        <v>10</v>
      </c>
      <c r="AF139" s="169"/>
      <c r="AG139" s="169">
        <f t="shared" si="18"/>
        <v>5276</v>
      </c>
      <c r="AH139" s="169">
        <f>R139-AG139</f>
        <v>65296</v>
      </c>
      <c r="AI139" s="179"/>
    </row>
    <row r="140" spans="2:35" s="167" customFormat="1" ht="52.5" customHeight="1" x14ac:dyDescent="0.25">
      <c r="B140" s="161">
        <v>126</v>
      </c>
      <c r="C140" s="219">
        <v>100140</v>
      </c>
      <c r="D140" s="175" t="s">
        <v>944</v>
      </c>
      <c r="E140" s="198" t="s">
        <v>945</v>
      </c>
      <c r="F140" s="166" t="s">
        <v>657</v>
      </c>
      <c r="G140" s="162" t="s">
        <v>946</v>
      </c>
      <c r="H140" s="169">
        <v>43170</v>
      </c>
      <c r="I140" s="169">
        <f t="shared" si="17"/>
        <v>4317</v>
      </c>
      <c r="J140" s="169">
        <f t="shared" si="30"/>
        <v>21585</v>
      </c>
      <c r="K140" s="169">
        <v>1500</v>
      </c>
      <c r="L140" s="169"/>
      <c r="M140" s="169"/>
      <c r="N140" s="169"/>
      <c r="O140" s="169"/>
      <c r="P140" s="169"/>
      <c r="Q140" s="169"/>
      <c r="R140" s="170">
        <f>SUM(H140:Q140)</f>
        <v>70572</v>
      </c>
      <c r="S140" s="171">
        <f t="shared" si="33"/>
        <v>4317</v>
      </c>
      <c r="T140" s="169"/>
      <c r="U140" s="169">
        <f t="shared" si="34"/>
        <v>432</v>
      </c>
      <c r="V140" s="169"/>
      <c r="W140" s="169"/>
      <c r="X140" s="169"/>
      <c r="Y140" s="169"/>
      <c r="Z140" s="169"/>
      <c r="AA140" s="169"/>
      <c r="AB140" s="169"/>
      <c r="AC140" s="169">
        <v>417</v>
      </c>
      <c r="AD140" s="205">
        <v>100</v>
      </c>
      <c r="AE140" s="206">
        <v>10</v>
      </c>
      <c r="AF140" s="169"/>
      <c r="AG140" s="169">
        <f t="shared" si="18"/>
        <v>5276</v>
      </c>
      <c r="AH140" s="169">
        <f>R140-AG140</f>
        <v>65296</v>
      </c>
      <c r="AI140" s="179"/>
    </row>
    <row r="141" spans="2:35" s="167" customFormat="1" ht="52.5" customHeight="1" x14ac:dyDescent="0.25">
      <c r="B141" s="161">
        <v>127</v>
      </c>
      <c r="C141" s="218">
        <v>100056</v>
      </c>
      <c r="D141" s="175" t="s">
        <v>947</v>
      </c>
      <c r="E141" s="176" t="s">
        <v>948</v>
      </c>
      <c r="F141" s="166" t="s">
        <v>657</v>
      </c>
      <c r="G141" s="162" t="s">
        <v>949</v>
      </c>
      <c r="H141" s="169">
        <v>41110</v>
      </c>
      <c r="I141" s="169">
        <f t="shared" si="17"/>
        <v>4111</v>
      </c>
      <c r="J141" s="169">
        <f t="shared" si="30"/>
        <v>20555</v>
      </c>
      <c r="K141" s="169">
        <v>1500</v>
      </c>
      <c r="L141" s="169">
        <v>0</v>
      </c>
      <c r="M141" s="169"/>
      <c r="N141" s="169"/>
      <c r="O141" s="169"/>
      <c r="P141" s="169"/>
      <c r="Q141" s="169">
        <v>0</v>
      </c>
      <c r="R141" s="170">
        <f>SUM(H141:Q141)</f>
        <v>67276</v>
      </c>
      <c r="S141" s="171">
        <f t="shared" si="33"/>
        <v>4111</v>
      </c>
      <c r="T141" s="169">
        <v>0</v>
      </c>
      <c r="U141" s="169">
        <f t="shared" si="34"/>
        <v>411</v>
      </c>
      <c r="V141" s="169"/>
      <c r="W141" s="169"/>
      <c r="X141" s="169">
        <v>0</v>
      </c>
      <c r="Y141" s="169">
        <v>0</v>
      </c>
      <c r="Z141" s="169">
        <v>0</v>
      </c>
      <c r="AA141" s="169"/>
      <c r="AB141" s="169">
        <v>0</v>
      </c>
      <c r="AC141" s="169">
        <v>417</v>
      </c>
      <c r="AD141" s="172">
        <v>100</v>
      </c>
      <c r="AE141" s="169">
        <v>10</v>
      </c>
      <c r="AF141" s="169"/>
      <c r="AG141" s="169">
        <f t="shared" si="18"/>
        <v>5049</v>
      </c>
      <c r="AH141" s="169">
        <f>R141-AG141</f>
        <v>62227</v>
      </c>
      <c r="AI141" s="170"/>
    </row>
    <row r="142" spans="2:35" s="167" customFormat="1" ht="63" customHeight="1" x14ac:dyDescent="0.25">
      <c r="B142" s="161">
        <v>128</v>
      </c>
      <c r="C142" s="219">
        <v>100142</v>
      </c>
      <c r="D142" s="175" t="s">
        <v>950</v>
      </c>
      <c r="E142" s="198" t="s">
        <v>951</v>
      </c>
      <c r="F142" s="166" t="s">
        <v>657</v>
      </c>
      <c r="G142" s="162" t="s">
        <v>952</v>
      </c>
      <c r="H142" s="169">
        <v>39150</v>
      </c>
      <c r="I142" s="169">
        <f t="shared" si="17"/>
        <v>3915</v>
      </c>
      <c r="J142" s="169"/>
      <c r="K142" s="169">
        <v>1500</v>
      </c>
      <c r="L142" s="169"/>
      <c r="M142" s="169"/>
      <c r="N142" s="169"/>
      <c r="O142" s="169"/>
      <c r="P142" s="169"/>
      <c r="Q142" s="169"/>
      <c r="R142" s="170">
        <f t="shared" ref="R142:R156" si="35">SUM(H142:Q142)</f>
        <v>44565</v>
      </c>
      <c r="S142" s="171">
        <f t="shared" si="33"/>
        <v>3915</v>
      </c>
      <c r="T142" s="169"/>
      <c r="U142" s="169">
        <f t="shared" si="34"/>
        <v>392</v>
      </c>
      <c r="V142" s="169"/>
      <c r="W142" s="169"/>
      <c r="X142" s="169">
        <v>1080</v>
      </c>
      <c r="Y142" s="169">
        <v>80</v>
      </c>
      <c r="Z142" s="169">
        <v>30</v>
      </c>
      <c r="AA142" s="169">
        <v>1761</v>
      </c>
      <c r="AB142" s="169"/>
      <c r="AC142" s="169">
        <v>417</v>
      </c>
      <c r="AD142" s="205">
        <v>100</v>
      </c>
      <c r="AE142" s="206">
        <v>10</v>
      </c>
      <c r="AF142" s="169"/>
      <c r="AG142" s="169">
        <f t="shared" si="18"/>
        <v>7785</v>
      </c>
      <c r="AH142" s="169">
        <f t="shared" ref="AH142:AH156" si="36">R142-AG142</f>
        <v>36780</v>
      </c>
      <c r="AI142" s="179"/>
    </row>
    <row r="143" spans="2:35" s="167" customFormat="1" ht="54.75" customHeight="1" x14ac:dyDescent="0.25">
      <c r="B143" s="161">
        <v>129</v>
      </c>
      <c r="C143" s="219">
        <v>100143</v>
      </c>
      <c r="D143" s="175" t="s">
        <v>953</v>
      </c>
      <c r="E143" s="198" t="s">
        <v>954</v>
      </c>
      <c r="F143" s="166" t="s">
        <v>657</v>
      </c>
      <c r="G143" s="162" t="s">
        <v>955</v>
      </c>
      <c r="H143" s="169">
        <v>39150</v>
      </c>
      <c r="I143" s="169">
        <f t="shared" si="17"/>
        <v>3915</v>
      </c>
      <c r="J143" s="169"/>
      <c r="K143" s="169">
        <v>1500</v>
      </c>
      <c r="L143" s="169"/>
      <c r="M143" s="169"/>
      <c r="N143" s="169"/>
      <c r="O143" s="169"/>
      <c r="P143" s="169"/>
      <c r="Q143" s="169"/>
      <c r="R143" s="170">
        <f t="shared" si="35"/>
        <v>44565</v>
      </c>
      <c r="S143" s="171">
        <f t="shared" si="33"/>
        <v>3915</v>
      </c>
      <c r="T143" s="169"/>
      <c r="U143" s="169">
        <f t="shared" si="34"/>
        <v>392</v>
      </c>
      <c r="V143" s="169"/>
      <c r="W143" s="169"/>
      <c r="X143" s="169">
        <v>1080</v>
      </c>
      <c r="Y143" s="169">
        <v>30</v>
      </c>
      <c r="Z143" s="169">
        <v>10</v>
      </c>
      <c r="AA143" s="169">
        <v>1945</v>
      </c>
      <c r="AB143" s="169"/>
      <c r="AC143" s="169">
        <v>417</v>
      </c>
      <c r="AD143" s="205">
        <v>100</v>
      </c>
      <c r="AE143" s="206">
        <v>10</v>
      </c>
      <c r="AF143" s="169"/>
      <c r="AG143" s="169">
        <f t="shared" si="18"/>
        <v>7899</v>
      </c>
      <c r="AH143" s="169">
        <f t="shared" si="36"/>
        <v>36666</v>
      </c>
      <c r="AI143" s="179"/>
    </row>
    <row r="144" spans="2:35" s="167" customFormat="1" ht="57" customHeight="1" x14ac:dyDescent="0.25">
      <c r="B144" s="161">
        <v>130</v>
      </c>
      <c r="C144" s="219">
        <v>100144</v>
      </c>
      <c r="D144" s="175" t="s">
        <v>956</v>
      </c>
      <c r="E144" s="198" t="s">
        <v>957</v>
      </c>
      <c r="F144" s="166" t="s">
        <v>657</v>
      </c>
      <c r="G144" s="162" t="s">
        <v>958</v>
      </c>
      <c r="H144" s="169">
        <v>39150</v>
      </c>
      <c r="I144" s="169">
        <f t="shared" ref="I144:I191" si="37">ROUND((H144*10%),0)</f>
        <v>3915</v>
      </c>
      <c r="J144" s="169">
        <f t="shared" si="30"/>
        <v>19575</v>
      </c>
      <c r="K144" s="169">
        <v>1500</v>
      </c>
      <c r="L144" s="169"/>
      <c r="M144" s="169"/>
      <c r="N144" s="169"/>
      <c r="O144" s="169"/>
      <c r="P144" s="169"/>
      <c r="Q144" s="169"/>
      <c r="R144" s="170">
        <f t="shared" si="35"/>
        <v>64140</v>
      </c>
      <c r="S144" s="171">
        <f t="shared" si="33"/>
        <v>3915</v>
      </c>
      <c r="T144" s="169"/>
      <c r="U144" s="169">
        <f t="shared" si="34"/>
        <v>392</v>
      </c>
      <c r="V144" s="169"/>
      <c r="W144" s="169"/>
      <c r="X144" s="169"/>
      <c r="Y144" s="169"/>
      <c r="Z144" s="169"/>
      <c r="AA144" s="169"/>
      <c r="AB144" s="169">
        <v>250</v>
      </c>
      <c r="AC144" s="169">
        <v>417</v>
      </c>
      <c r="AD144" s="205">
        <v>100</v>
      </c>
      <c r="AE144" s="206">
        <v>10</v>
      </c>
      <c r="AF144" s="169"/>
      <c r="AG144" s="169">
        <f t="shared" ref="AG144:AG159" si="38">SUM(S144:AF144)</f>
        <v>5084</v>
      </c>
      <c r="AH144" s="169">
        <f t="shared" si="36"/>
        <v>59056</v>
      </c>
      <c r="AI144" s="179"/>
    </row>
    <row r="145" spans="2:54" s="167" customFormat="1" ht="51.75" customHeight="1" x14ac:dyDescent="0.25">
      <c r="B145" s="161">
        <v>131</v>
      </c>
      <c r="C145" s="219">
        <v>100145</v>
      </c>
      <c r="D145" s="175" t="s">
        <v>959</v>
      </c>
      <c r="E145" s="198" t="s">
        <v>960</v>
      </c>
      <c r="F145" s="166" t="s">
        <v>657</v>
      </c>
      <c r="G145" s="162" t="s">
        <v>961</v>
      </c>
      <c r="H145" s="169">
        <v>39150</v>
      </c>
      <c r="I145" s="169">
        <f t="shared" si="37"/>
        <v>3915</v>
      </c>
      <c r="J145" s="169">
        <f t="shared" si="30"/>
        <v>19575</v>
      </c>
      <c r="K145" s="169">
        <v>1500</v>
      </c>
      <c r="L145" s="169"/>
      <c r="M145" s="169"/>
      <c r="N145" s="169"/>
      <c r="O145" s="169"/>
      <c r="P145" s="169"/>
      <c r="Q145" s="169"/>
      <c r="R145" s="170">
        <f t="shared" si="35"/>
        <v>64140</v>
      </c>
      <c r="S145" s="171">
        <f t="shared" si="33"/>
        <v>3915</v>
      </c>
      <c r="T145" s="169"/>
      <c r="U145" s="169">
        <f t="shared" si="34"/>
        <v>392</v>
      </c>
      <c r="V145" s="169"/>
      <c r="W145" s="169"/>
      <c r="X145" s="169"/>
      <c r="Y145" s="169"/>
      <c r="Z145" s="169"/>
      <c r="AA145" s="169"/>
      <c r="AB145" s="169"/>
      <c r="AC145" s="169">
        <v>417</v>
      </c>
      <c r="AD145" s="205">
        <v>100</v>
      </c>
      <c r="AE145" s="206">
        <v>10</v>
      </c>
      <c r="AF145" s="169"/>
      <c r="AG145" s="169">
        <f t="shared" si="38"/>
        <v>4834</v>
      </c>
      <c r="AH145" s="169">
        <f t="shared" si="36"/>
        <v>59306</v>
      </c>
      <c r="AI145" s="179"/>
    </row>
    <row r="146" spans="2:54" s="167" customFormat="1" ht="51" customHeight="1" x14ac:dyDescent="0.25">
      <c r="B146" s="161">
        <v>132</v>
      </c>
      <c r="C146" s="219">
        <v>100150</v>
      </c>
      <c r="D146" s="175" t="s">
        <v>962</v>
      </c>
      <c r="E146" s="198" t="s">
        <v>963</v>
      </c>
      <c r="F146" s="166" t="s">
        <v>657</v>
      </c>
      <c r="G146" s="162" t="s">
        <v>964</v>
      </c>
      <c r="H146" s="169">
        <v>39150</v>
      </c>
      <c r="I146" s="169">
        <f t="shared" si="37"/>
        <v>3915</v>
      </c>
      <c r="J146" s="169">
        <f t="shared" si="30"/>
        <v>19575</v>
      </c>
      <c r="K146" s="169">
        <v>1500</v>
      </c>
      <c r="L146" s="169"/>
      <c r="M146" s="169"/>
      <c r="N146" s="169"/>
      <c r="O146" s="169"/>
      <c r="P146" s="169"/>
      <c r="Q146" s="169"/>
      <c r="R146" s="170">
        <f t="shared" si="35"/>
        <v>64140</v>
      </c>
      <c r="S146" s="171">
        <f t="shared" si="33"/>
        <v>3915</v>
      </c>
      <c r="T146" s="169"/>
      <c r="U146" s="169">
        <f t="shared" si="34"/>
        <v>392</v>
      </c>
      <c r="V146" s="169"/>
      <c r="W146" s="169"/>
      <c r="X146" s="169"/>
      <c r="Y146" s="169"/>
      <c r="Z146" s="169"/>
      <c r="AA146" s="169"/>
      <c r="AB146" s="169"/>
      <c r="AC146" s="206">
        <v>417</v>
      </c>
      <c r="AD146" s="205">
        <v>100</v>
      </c>
      <c r="AE146" s="206">
        <v>10</v>
      </c>
      <c r="AF146" s="169"/>
      <c r="AG146" s="169">
        <f t="shared" si="38"/>
        <v>4834</v>
      </c>
      <c r="AH146" s="169">
        <f t="shared" si="36"/>
        <v>59306</v>
      </c>
      <c r="AI146" s="179"/>
    </row>
    <row r="147" spans="2:54" s="167" customFormat="1" ht="63.75" customHeight="1" x14ac:dyDescent="0.25">
      <c r="B147" s="161">
        <v>133</v>
      </c>
      <c r="C147" s="219">
        <v>100152</v>
      </c>
      <c r="D147" s="175" t="s">
        <v>965</v>
      </c>
      <c r="E147" s="198" t="s">
        <v>966</v>
      </c>
      <c r="F147" s="166" t="s">
        <v>657</v>
      </c>
      <c r="G147" s="162" t="s">
        <v>967</v>
      </c>
      <c r="H147" s="169">
        <v>39150</v>
      </c>
      <c r="I147" s="169">
        <f t="shared" si="37"/>
        <v>3915</v>
      </c>
      <c r="J147" s="169"/>
      <c r="K147" s="169">
        <v>1500</v>
      </c>
      <c r="L147" s="169"/>
      <c r="M147" s="169">
        <f>ROUND((H147*12.5%),0)</f>
        <v>4894</v>
      </c>
      <c r="N147" s="169"/>
      <c r="O147" s="169"/>
      <c r="P147" s="169">
        <v>1000</v>
      </c>
      <c r="Q147" s="169"/>
      <c r="R147" s="170">
        <f t="shared" si="35"/>
        <v>50459</v>
      </c>
      <c r="S147" s="171">
        <f t="shared" si="33"/>
        <v>3915</v>
      </c>
      <c r="T147" s="169"/>
      <c r="U147" s="169">
        <f t="shared" si="34"/>
        <v>392</v>
      </c>
      <c r="V147" s="169"/>
      <c r="W147" s="169"/>
      <c r="X147" s="169">
        <v>1080</v>
      </c>
      <c r="Y147" s="169">
        <v>80</v>
      </c>
      <c r="Z147" s="169">
        <v>20</v>
      </c>
      <c r="AA147" s="169">
        <v>61</v>
      </c>
      <c r="AB147" s="169"/>
      <c r="AC147" s="206">
        <v>417</v>
      </c>
      <c r="AD147" s="205">
        <v>100</v>
      </c>
      <c r="AE147" s="206">
        <v>10</v>
      </c>
      <c r="AF147" s="169"/>
      <c r="AG147" s="169">
        <f t="shared" si="38"/>
        <v>6075</v>
      </c>
      <c r="AH147" s="169">
        <f t="shared" si="36"/>
        <v>44384</v>
      </c>
      <c r="AI147" s="179"/>
    </row>
    <row r="148" spans="2:54" s="167" customFormat="1" ht="52.5" customHeight="1" x14ac:dyDescent="0.25">
      <c r="B148" s="161">
        <v>134</v>
      </c>
      <c r="C148" s="219">
        <v>100156</v>
      </c>
      <c r="D148" s="175" t="s">
        <v>968</v>
      </c>
      <c r="E148" s="198" t="s">
        <v>969</v>
      </c>
      <c r="F148" s="166" t="s">
        <v>657</v>
      </c>
      <c r="G148" s="162" t="s">
        <v>970</v>
      </c>
      <c r="H148" s="169">
        <v>37280</v>
      </c>
      <c r="I148" s="169">
        <f t="shared" si="37"/>
        <v>3728</v>
      </c>
      <c r="J148" s="169">
        <v>19500</v>
      </c>
      <c r="K148" s="169">
        <v>1500</v>
      </c>
      <c r="L148" s="169"/>
      <c r="M148" s="169"/>
      <c r="N148" s="169"/>
      <c r="O148" s="169"/>
      <c r="P148" s="169"/>
      <c r="Q148" s="169">
        <v>1000</v>
      </c>
      <c r="R148" s="170">
        <f t="shared" si="35"/>
        <v>63008</v>
      </c>
      <c r="S148" s="171">
        <f t="shared" si="33"/>
        <v>3728</v>
      </c>
      <c r="T148" s="169"/>
      <c r="U148" s="169">
        <f t="shared" si="34"/>
        <v>373</v>
      </c>
      <c r="V148" s="169"/>
      <c r="W148" s="169"/>
      <c r="X148" s="169"/>
      <c r="Y148" s="169"/>
      <c r="Z148" s="169"/>
      <c r="AA148" s="169"/>
      <c r="AB148" s="169">
        <v>250</v>
      </c>
      <c r="AC148" s="206">
        <v>417</v>
      </c>
      <c r="AD148" s="205">
        <v>100</v>
      </c>
      <c r="AE148" s="206">
        <v>10</v>
      </c>
      <c r="AF148" s="169"/>
      <c r="AG148" s="169">
        <f t="shared" si="38"/>
        <v>4878</v>
      </c>
      <c r="AH148" s="169">
        <f t="shared" si="36"/>
        <v>58130</v>
      </c>
      <c r="AI148" s="179"/>
    </row>
    <row r="149" spans="2:54" s="167" customFormat="1" ht="52.5" customHeight="1" x14ac:dyDescent="0.25">
      <c r="B149" s="161">
        <v>135</v>
      </c>
      <c r="C149" s="219">
        <v>100162</v>
      </c>
      <c r="D149" s="175" t="s">
        <v>971</v>
      </c>
      <c r="E149" s="198" t="s">
        <v>972</v>
      </c>
      <c r="F149" s="166" t="s">
        <v>657</v>
      </c>
      <c r="G149" s="162" t="s">
        <v>973</v>
      </c>
      <c r="H149" s="169">
        <v>37280</v>
      </c>
      <c r="I149" s="169">
        <f t="shared" si="37"/>
        <v>3728</v>
      </c>
      <c r="J149" s="169"/>
      <c r="K149" s="169">
        <v>1500</v>
      </c>
      <c r="L149" s="169"/>
      <c r="M149" s="169">
        <f>ROUND((H149*12.5%),0)</f>
        <v>4660</v>
      </c>
      <c r="N149" s="169"/>
      <c r="O149" s="169"/>
      <c r="P149" s="169">
        <f>ROUND((1000),0)</f>
        <v>1000</v>
      </c>
      <c r="Q149" s="169"/>
      <c r="R149" s="170">
        <f t="shared" si="35"/>
        <v>48168</v>
      </c>
      <c r="S149" s="171">
        <f t="shared" si="33"/>
        <v>3728</v>
      </c>
      <c r="T149" s="169"/>
      <c r="U149" s="169">
        <f t="shared" si="34"/>
        <v>373</v>
      </c>
      <c r="V149" s="169"/>
      <c r="W149" s="169"/>
      <c r="X149" s="169">
        <v>1080</v>
      </c>
      <c r="Y149" s="169">
        <v>80</v>
      </c>
      <c r="Z149" s="169">
        <v>20</v>
      </c>
      <c r="AA149" s="169">
        <v>127</v>
      </c>
      <c r="AB149" s="169"/>
      <c r="AC149" s="206">
        <v>417</v>
      </c>
      <c r="AD149" s="205">
        <v>100</v>
      </c>
      <c r="AE149" s="206">
        <v>10</v>
      </c>
      <c r="AF149" s="169"/>
      <c r="AG149" s="169">
        <f t="shared" si="38"/>
        <v>5935</v>
      </c>
      <c r="AH149" s="169">
        <f t="shared" si="36"/>
        <v>42233</v>
      </c>
      <c r="AI149" s="179"/>
    </row>
    <row r="150" spans="2:54" s="194" customFormat="1" ht="49.5" customHeight="1" x14ac:dyDescent="0.25">
      <c r="B150" s="161">
        <v>136</v>
      </c>
      <c r="C150" s="234">
        <v>100155</v>
      </c>
      <c r="D150" s="207" t="s">
        <v>974</v>
      </c>
      <c r="E150" s="235" t="s">
        <v>975</v>
      </c>
      <c r="F150" s="236" t="s">
        <v>976</v>
      </c>
      <c r="G150" s="204" t="s">
        <v>977</v>
      </c>
      <c r="H150" s="178">
        <v>37280</v>
      </c>
      <c r="I150" s="169">
        <f t="shared" si="37"/>
        <v>3728</v>
      </c>
      <c r="J150" s="178"/>
      <c r="K150" s="178">
        <v>1500</v>
      </c>
      <c r="L150" s="178"/>
      <c r="M150" s="169"/>
      <c r="N150" s="178"/>
      <c r="O150" s="178"/>
      <c r="P150" s="169"/>
      <c r="Q150" s="178"/>
      <c r="R150" s="197">
        <f t="shared" si="35"/>
        <v>42508</v>
      </c>
      <c r="S150" s="195">
        <f t="shared" si="33"/>
        <v>3728</v>
      </c>
      <c r="T150" s="178"/>
      <c r="U150" s="178">
        <f t="shared" si="34"/>
        <v>373</v>
      </c>
      <c r="V150" s="178"/>
      <c r="W150" s="178"/>
      <c r="X150" s="178">
        <v>1080</v>
      </c>
      <c r="Y150" s="178">
        <v>80</v>
      </c>
      <c r="Z150" s="178">
        <v>20</v>
      </c>
      <c r="AA150" s="178">
        <v>1785</v>
      </c>
      <c r="AB150" s="178"/>
      <c r="AC150" s="237"/>
      <c r="AD150" s="238">
        <v>100</v>
      </c>
      <c r="AE150" s="237">
        <v>10</v>
      </c>
      <c r="AF150" s="169"/>
      <c r="AG150" s="169">
        <f t="shared" si="38"/>
        <v>7176</v>
      </c>
      <c r="AH150" s="178">
        <f t="shared" si="36"/>
        <v>35332</v>
      </c>
      <c r="AI150" s="239"/>
    </row>
    <row r="151" spans="2:54" s="167" customFormat="1" ht="54" customHeight="1" x14ac:dyDescent="0.25">
      <c r="B151" s="161">
        <v>137</v>
      </c>
      <c r="C151" s="219">
        <v>100160</v>
      </c>
      <c r="D151" s="175" t="s">
        <v>978</v>
      </c>
      <c r="E151" s="198" t="s">
        <v>979</v>
      </c>
      <c r="F151" s="160" t="s">
        <v>980</v>
      </c>
      <c r="G151" s="162" t="s">
        <v>981</v>
      </c>
      <c r="H151" s="169">
        <v>37280</v>
      </c>
      <c r="I151" s="169">
        <f t="shared" si="37"/>
        <v>3728</v>
      </c>
      <c r="J151" s="178">
        <v>19500</v>
      </c>
      <c r="K151" s="169">
        <v>1500</v>
      </c>
      <c r="L151" s="169"/>
      <c r="M151" s="169"/>
      <c r="N151" s="169"/>
      <c r="O151" s="169"/>
      <c r="P151" s="169"/>
      <c r="Q151" s="169"/>
      <c r="R151" s="170">
        <f t="shared" si="35"/>
        <v>62008</v>
      </c>
      <c r="S151" s="171">
        <f t="shared" si="33"/>
        <v>3728</v>
      </c>
      <c r="T151" s="169"/>
      <c r="U151" s="169">
        <f t="shared" si="34"/>
        <v>373</v>
      </c>
      <c r="V151" s="169"/>
      <c r="W151" s="169"/>
      <c r="X151" s="169"/>
      <c r="Y151" s="169"/>
      <c r="Z151" s="169"/>
      <c r="AA151" s="169"/>
      <c r="AB151" s="169">
        <v>250</v>
      </c>
      <c r="AC151" s="206">
        <v>417</v>
      </c>
      <c r="AD151" s="205">
        <v>100</v>
      </c>
      <c r="AE151" s="206">
        <v>10</v>
      </c>
      <c r="AF151" s="169"/>
      <c r="AG151" s="169">
        <f t="shared" si="38"/>
        <v>4878</v>
      </c>
      <c r="AH151" s="169">
        <f t="shared" si="36"/>
        <v>57130</v>
      </c>
      <c r="AI151" s="179"/>
    </row>
    <row r="152" spans="2:54" s="167" customFormat="1" ht="64.5" customHeight="1" x14ac:dyDescent="0.25">
      <c r="B152" s="161">
        <v>138</v>
      </c>
      <c r="C152" s="219">
        <v>100164</v>
      </c>
      <c r="D152" s="175" t="s">
        <v>982</v>
      </c>
      <c r="E152" s="198" t="s">
        <v>983</v>
      </c>
      <c r="F152" s="160" t="s">
        <v>976</v>
      </c>
      <c r="G152" s="162" t="s">
        <v>984</v>
      </c>
      <c r="H152" s="169">
        <v>37280</v>
      </c>
      <c r="I152" s="169">
        <f t="shared" si="37"/>
        <v>3728</v>
      </c>
      <c r="J152" s="169"/>
      <c r="K152" s="169">
        <v>1500</v>
      </c>
      <c r="L152" s="169"/>
      <c r="M152" s="169">
        <f>ROUND((H152*12.5%),0)</f>
        <v>4660</v>
      </c>
      <c r="N152" s="169"/>
      <c r="O152" s="169"/>
      <c r="P152" s="169">
        <f>ROUND((1000),0)</f>
        <v>1000</v>
      </c>
      <c r="Q152" s="169"/>
      <c r="R152" s="170">
        <f t="shared" si="35"/>
        <v>48168</v>
      </c>
      <c r="S152" s="171">
        <f t="shared" si="33"/>
        <v>3728</v>
      </c>
      <c r="T152" s="169"/>
      <c r="U152" s="169">
        <f t="shared" si="34"/>
        <v>373</v>
      </c>
      <c r="V152" s="169"/>
      <c r="W152" s="169"/>
      <c r="X152" s="169">
        <v>1080</v>
      </c>
      <c r="Y152" s="169">
        <v>80</v>
      </c>
      <c r="Z152" s="169">
        <v>20</v>
      </c>
      <c r="AA152" s="169">
        <v>79</v>
      </c>
      <c r="AB152" s="169"/>
      <c r="AC152" s="206">
        <v>417</v>
      </c>
      <c r="AD152" s="205">
        <v>100</v>
      </c>
      <c r="AE152" s="206">
        <v>10</v>
      </c>
      <c r="AF152" s="169"/>
      <c r="AG152" s="169">
        <f t="shared" si="38"/>
        <v>5887</v>
      </c>
      <c r="AH152" s="169">
        <f t="shared" si="36"/>
        <v>42281</v>
      </c>
      <c r="AI152" s="179"/>
    </row>
    <row r="153" spans="2:54" s="167" customFormat="1" ht="54" customHeight="1" x14ac:dyDescent="0.25">
      <c r="B153" s="161">
        <v>139</v>
      </c>
      <c r="C153" s="208">
        <v>100163</v>
      </c>
      <c r="D153" s="175" t="s">
        <v>985</v>
      </c>
      <c r="E153" s="198" t="s">
        <v>986</v>
      </c>
      <c r="F153" s="160" t="s">
        <v>987</v>
      </c>
      <c r="G153" s="162" t="s">
        <v>988</v>
      </c>
      <c r="H153" s="169">
        <v>37280</v>
      </c>
      <c r="I153" s="169">
        <f t="shared" si="37"/>
        <v>3728</v>
      </c>
      <c r="J153" s="169">
        <v>19500</v>
      </c>
      <c r="K153" s="169">
        <v>1500</v>
      </c>
      <c r="L153" s="169"/>
      <c r="M153" s="169"/>
      <c r="N153" s="169"/>
      <c r="O153" s="169"/>
      <c r="P153" s="169"/>
      <c r="Q153" s="169"/>
      <c r="R153" s="170">
        <f t="shared" si="35"/>
        <v>62008</v>
      </c>
      <c r="S153" s="171">
        <f t="shared" si="33"/>
        <v>3728</v>
      </c>
      <c r="T153" s="169"/>
      <c r="U153" s="169">
        <f t="shared" si="34"/>
        <v>373</v>
      </c>
      <c r="V153" s="169"/>
      <c r="W153" s="169"/>
      <c r="X153" s="169"/>
      <c r="Y153" s="169"/>
      <c r="Z153" s="169"/>
      <c r="AA153" s="169"/>
      <c r="AB153" s="169"/>
      <c r="AC153" s="206"/>
      <c r="AD153" s="205">
        <v>100</v>
      </c>
      <c r="AE153" s="206">
        <v>10</v>
      </c>
      <c r="AF153" s="169"/>
      <c r="AG153" s="169">
        <f t="shared" si="38"/>
        <v>4211</v>
      </c>
      <c r="AH153" s="169">
        <f t="shared" si="36"/>
        <v>57797</v>
      </c>
      <c r="AI153" s="179"/>
    </row>
    <row r="154" spans="2:54" s="167" customFormat="1" ht="51" customHeight="1" x14ac:dyDescent="0.25">
      <c r="B154" s="161">
        <v>140</v>
      </c>
      <c r="C154" s="208">
        <v>100165</v>
      </c>
      <c r="D154" s="175" t="s">
        <v>989</v>
      </c>
      <c r="E154" s="198" t="s">
        <v>990</v>
      </c>
      <c r="F154" s="160" t="s">
        <v>991</v>
      </c>
      <c r="G154" s="162" t="s">
        <v>992</v>
      </c>
      <c r="H154" s="169">
        <v>37280</v>
      </c>
      <c r="I154" s="169">
        <f t="shared" si="37"/>
        <v>3728</v>
      </c>
      <c r="J154" s="169">
        <v>19500</v>
      </c>
      <c r="K154" s="169">
        <v>1500</v>
      </c>
      <c r="L154" s="169"/>
      <c r="M154" s="169"/>
      <c r="N154" s="169"/>
      <c r="O154" s="169"/>
      <c r="P154" s="169"/>
      <c r="Q154" s="169"/>
      <c r="R154" s="170">
        <f t="shared" si="35"/>
        <v>62008</v>
      </c>
      <c r="S154" s="171">
        <f t="shared" si="33"/>
        <v>3728</v>
      </c>
      <c r="T154" s="169"/>
      <c r="U154" s="169">
        <f t="shared" si="34"/>
        <v>373</v>
      </c>
      <c r="V154" s="169"/>
      <c r="W154" s="169"/>
      <c r="X154" s="169"/>
      <c r="Y154" s="169"/>
      <c r="Z154" s="169"/>
      <c r="AA154" s="169"/>
      <c r="AB154" s="169">
        <v>250</v>
      </c>
      <c r="AC154" s="206">
        <v>417</v>
      </c>
      <c r="AD154" s="205">
        <v>100</v>
      </c>
      <c r="AE154" s="206">
        <v>10</v>
      </c>
      <c r="AF154" s="169"/>
      <c r="AG154" s="169">
        <f t="shared" si="38"/>
        <v>4878</v>
      </c>
      <c r="AH154" s="169">
        <f t="shared" si="36"/>
        <v>57130</v>
      </c>
      <c r="AI154" s="179"/>
    </row>
    <row r="155" spans="2:54" s="167" customFormat="1" ht="54.75" customHeight="1" x14ac:dyDescent="0.25">
      <c r="B155" s="161">
        <v>141</v>
      </c>
      <c r="C155" s="208">
        <v>100159</v>
      </c>
      <c r="D155" s="175" t="s">
        <v>993</v>
      </c>
      <c r="E155" s="198" t="s">
        <v>994</v>
      </c>
      <c r="F155" s="160" t="s">
        <v>828</v>
      </c>
      <c r="G155" s="162" t="s">
        <v>995</v>
      </c>
      <c r="H155" s="169">
        <v>35500</v>
      </c>
      <c r="I155" s="169">
        <f t="shared" si="37"/>
        <v>3550</v>
      </c>
      <c r="J155" s="169">
        <f>ROUND((H155*55%),0)</f>
        <v>19525</v>
      </c>
      <c r="K155" s="169">
        <v>1500</v>
      </c>
      <c r="L155" s="169"/>
      <c r="M155" s="169"/>
      <c r="N155" s="169"/>
      <c r="O155" s="169"/>
      <c r="P155" s="169"/>
      <c r="Q155" s="169">
        <v>500</v>
      </c>
      <c r="R155" s="170">
        <f t="shared" si="35"/>
        <v>60575</v>
      </c>
      <c r="S155" s="171">
        <f>ROUND((H155*10%),0)</f>
        <v>3550</v>
      </c>
      <c r="T155" s="169"/>
      <c r="U155" s="169">
        <f>ROUND((H155*1%),0)</f>
        <v>355</v>
      </c>
      <c r="V155" s="169"/>
      <c r="W155" s="169"/>
      <c r="X155" s="169"/>
      <c r="Y155" s="169"/>
      <c r="Z155" s="169"/>
      <c r="AA155" s="169"/>
      <c r="AB155" s="169">
        <v>250</v>
      </c>
      <c r="AC155" s="206"/>
      <c r="AD155" s="205">
        <v>100</v>
      </c>
      <c r="AE155" s="206">
        <v>10</v>
      </c>
      <c r="AF155" s="169"/>
      <c r="AG155" s="169">
        <f>SUM(S155:AF155)</f>
        <v>4265</v>
      </c>
      <c r="AH155" s="169">
        <f t="shared" si="36"/>
        <v>56310</v>
      </c>
      <c r="AI155" s="179"/>
    </row>
    <row r="156" spans="2:54" s="167" customFormat="1" ht="53.25" customHeight="1" x14ac:dyDescent="0.25">
      <c r="B156" s="161">
        <v>142</v>
      </c>
      <c r="C156" s="208">
        <v>100166</v>
      </c>
      <c r="D156" s="175" t="s">
        <v>996</v>
      </c>
      <c r="E156" s="198" t="s">
        <v>997</v>
      </c>
      <c r="F156" s="160" t="s">
        <v>998</v>
      </c>
      <c r="G156" s="162" t="s">
        <v>999</v>
      </c>
      <c r="H156" s="169">
        <v>35500</v>
      </c>
      <c r="I156" s="169">
        <f t="shared" si="37"/>
        <v>3550</v>
      </c>
      <c r="J156" s="169">
        <v>19500</v>
      </c>
      <c r="K156" s="169">
        <v>1500</v>
      </c>
      <c r="L156" s="169"/>
      <c r="M156" s="169"/>
      <c r="N156" s="169"/>
      <c r="O156" s="169"/>
      <c r="P156" s="169"/>
      <c r="Q156" s="169"/>
      <c r="R156" s="170">
        <f t="shared" si="35"/>
        <v>60050</v>
      </c>
      <c r="S156" s="171">
        <f>ROUND((H156*10%),0)</f>
        <v>3550</v>
      </c>
      <c r="T156" s="169"/>
      <c r="U156" s="169">
        <f>ROUND((H156*1%),0)</f>
        <v>355</v>
      </c>
      <c r="V156" s="169"/>
      <c r="W156" s="169"/>
      <c r="X156" s="169"/>
      <c r="Y156" s="169"/>
      <c r="Z156" s="169"/>
      <c r="AA156" s="169"/>
      <c r="AB156" s="169">
        <v>250</v>
      </c>
      <c r="AC156" s="206"/>
      <c r="AD156" s="205">
        <v>100</v>
      </c>
      <c r="AE156" s="206">
        <v>10</v>
      </c>
      <c r="AF156" s="169"/>
      <c r="AG156" s="169">
        <f>SUM(S156:AF156)</f>
        <v>4265</v>
      </c>
      <c r="AH156" s="169">
        <f t="shared" si="36"/>
        <v>55785</v>
      </c>
      <c r="AI156" s="179"/>
    </row>
    <row r="157" spans="2:54" x14ac:dyDescent="0.35">
      <c r="B157" s="161">
        <v>143</v>
      </c>
      <c r="D157" s="240" t="s">
        <v>1000</v>
      </c>
      <c r="I157" s="169">
        <f t="shared" si="37"/>
        <v>0</v>
      </c>
      <c r="S157" s="171">
        <f t="shared" si="33"/>
        <v>0</v>
      </c>
      <c r="U157" s="169">
        <f t="shared" si="34"/>
        <v>0</v>
      </c>
      <c r="V157" s="169"/>
      <c r="AF157" s="169"/>
      <c r="AG157" s="169">
        <f t="shared" si="38"/>
        <v>0</v>
      </c>
      <c r="AJ157" s="141"/>
      <c r="AK157" s="141"/>
      <c r="AL157" s="141"/>
      <c r="AM157" s="141"/>
      <c r="AN157" s="141"/>
      <c r="AO157" s="141"/>
      <c r="AP157" s="141"/>
      <c r="AQ157" s="141"/>
      <c r="AR157" s="141"/>
      <c r="AS157" s="141"/>
      <c r="AT157" s="141"/>
      <c r="AU157" s="141"/>
      <c r="AV157" s="141"/>
      <c r="AW157" s="141"/>
      <c r="AX157" s="141"/>
      <c r="AY157" s="141"/>
      <c r="AZ157" s="141"/>
      <c r="BA157" s="141"/>
      <c r="BB157" s="141"/>
    </row>
    <row r="158" spans="2:54" s="167" customFormat="1" ht="53.25" customHeight="1" x14ac:dyDescent="0.25">
      <c r="B158" s="161">
        <v>144</v>
      </c>
      <c r="C158" s="219">
        <v>100154</v>
      </c>
      <c r="D158" s="175" t="s">
        <v>1001</v>
      </c>
      <c r="E158" s="198" t="s">
        <v>1002</v>
      </c>
      <c r="F158" s="160" t="s">
        <v>1003</v>
      </c>
      <c r="G158" s="162" t="s">
        <v>1004</v>
      </c>
      <c r="H158" s="169">
        <v>29510</v>
      </c>
      <c r="I158" s="169">
        <f t="shared" si="37"/>
        <v>2951</v>
      </c>
      <c r="J158" s="169">
        <f>ROUND((H158*55%),0)</f>
        <v>16231</v>
      </c>
      <c r="K158" s="169">
        <v>1500</v>
      </c>
      <c r="L158" s="169"/>
      <c r="M158" s="169">
        <f>ROUND((H158*12.5%),0)</f>
        <v>3689</v>
      </c>
      <c r="N158" s="169"/>
      <c r="O158" s="169"/>
      <c r="P158" s="169">
        <v>1000</v>
      </c>
      <c r="Q158" s="169"/>
      <c r="R158" s="170">
        <f t="shared" ref="R158:R191" si="39">SUM(H158:Q158)</f>
        <v>54881</v>
      </c>
      <c r="S158" s="171">
        <f t="shared" si="33"/>
        <v>2951</v>
      </c>
      <c r="T158" s="169"/>
      <c r="U158" s="169">
        <f t="shared" si="34"/>
        <v>295</v>
      </c>
      <c r="V158" s="169"/>
      <c r="W158" s="169"/>
      <c r="X158" s="169"/>
      <c r="Y158" s="169"/>
      <c r="Z158" s="169"/>
      <c r="AA158" s="169"/>
      <c r="AB158" s="169"/>
      <c r="AC158" s="206">
        <v>417</v>
      </c>
      <c r="AD158" s="205">
        <v>100</v>
      </c>
      <c r="AE158" s="206">
        <v>10</v>
      </c>
      <c r="AF158" s="169"/>
      <c r="AG158" s="169">
        <f t="shared" si="38"/>
        <v>3773</v>
      </c>
      <c r="AH158" s="169">
        <f t="shared" ref="AH158:AH191" si="40">R158-AG158</f>
        <v>51108</v>
      </c>
      <c r="AI158" s="179"/>
    </row>
    <row r="159" spans="2:54" s="167" customFormat="1" ht="70.5" customHeight="1" x14ac:dyDescent="0.25">
      <c r="B159" s="161">
        <v>145</v>
      </c>
      <c r="C159" s="208">
        <v>100167</v>
      </c>
      <c r="D159" s="175" t="s">
        <v>1005</v>
      </c>
      <c r="E159" s="198" t="s">
        <v>1006</v>
      </c>
      <c r="F159" s="160" t="s">
        <v>1007</v>
      </c>
      <c r="G159" s="162" t="s">
        <v>1008</v>
      </c>
      <c r="H159" s="169">
        <v>26760</v>
      </c>
      <c r="I159" s="169">
        <f t="shared" si="37"/>
        <v>2676</v>
      </c>
      <c r="J159" s="169">
        <f t="shared" ref="J159:J191" si="41">ROUND((H159*55%),0)</f>
        <v>14718</v>
      </c>
      <c r="K159" s="169">
        <v>1500</v>
      </c>
      <c r="L159" s="169"/>
      <c r="M159" s="169"/>
      <c r="N159" s="169"/>
      <c r="O159" s="169"/>
      <c r="P159" s="169"/>
      <c r="Q159" s="169"/>
      <c r="R159" s="170">
        <f t="shared" si="39"/>
        <v>45654</v>
      </c>
      <c r="S159" s="171">
        <f t="shared" si="33"/>
        <v>2676</v>
      </c>
      <c r="T159" s="169"/>
      <c r="U159" s="169">
        <f t="shared" si="34"/>
        <v>268</v>
      </c>
      <c r="V159" s="169"/>
      <c r="W159" s="169"/>
      <c r="X159" s="169"/>
      <c r="Y159" s="169"/>
      <c r="Z159" s="169"/>
      <c r="AA159" s="169"/>
      <c r="AB159" s="169">
        <v>250</v>
      </c>
      <c r="AC159" s="206"/>
      <c r="AD159" s="205">
        <v>100</v>
      </c>
      <c r="AE159" s="206">
        <v>10</v>
      </c>
      <c r="AF159" s="169"/>
      <c r="AG159" s="169">
        <f t="shared" si="38"/>
        <v>3304</v>
      </c>
      <c r="AH159" s="169">
        <f t="shared" si="40"/>
        <v>42350</v>
      </c>
      <c r="AI159" s="179"/>
    </row>
    <row r="160" spans="2:54" s="167" customFormat="1" ht="50.25" customHeight="1" x14ac:dyDescent="0.25">
      <c r="B160" s="161">
        <v>146</v>
      </c>
      <c r="C160" s="208">
        <v>100169</v>
      </c>
      <c r="D160" s="175" t="s">
        <v>1009</v>
      </c>
      <c r="E160" s="198" t="s">
        <v>1010</v>
      </c>
      <c r="F160" s="160" t="s">
        <v>1011</v>
      </c>
      <c r="G160" s="162" t="s">
        <v>1012</v>
      </c>
      <c r="H160" s="169">
        <v>24260</v>
      </c>
      <c r="I160" s="169">
        <f t="shared" si="37"/>
        <v>2426</v>
      </c>
      <c r="J160" s="169"/>
      <c r="K160" s="169">
        <v>1500</v>
      </c>
      <c r="L160" s="169"/>
      <c r="M160" s="169">
        <f>ROUND((H160*12.5%),0)</f>
        <v>3033</v>
      </c>
      <c r="N160" s="169"/>
      <c r="O160" s="169"/>
      <c r="P160" s="169">
        <v>1000</v>
      </c>
      <c r="Q160" s="169"/>
      <c r="R160" s="170">
        <f t="shared" si="39"/>
        <v>32219</v>
      </c>
      <c r="S160" s="171">
        <f t="shared" si="33"/>
        <v>2426</v>
      </c>
      <c r="T160" s="169"/>
      <c r="U160" s="169">
        <f t="shared" si="34"/>
        <v>243</v>
      </c>
      <c r="V160" s="169"/>
      <c r="W160" s="169"/>
      <c r="X160" s="169">
        <v>1080</v>
      </c>
      <c r="Y160" s="169">
        <v>30</v>
      </c>
      <c r="Z160" s="169">
        <v>10</v>
      </c>
      <c r="AA160" s="169">
        <v>66</v>
      </c>
      <c r="AB160" s="169"/>
      <c r="AC160" s="206"/>
      <c r="AD160" s="205">
        <v>100</v>
      </c>
      <c r="AE160" s="206">
        <v>10</v>
      </c>
      <c r="AF160" s="169"/>
      <c r="AG160" s="169">
        <f>SUM(S160:AF160)</f>
        <v>3965</v>
      </c>
      <c r="AH160" s="169">
        <f t="shared" si="40"/>
        <v>28254</v>
      </c>
      <c r="AI160" s="179"/>
    </row>
    <row r="161" spans="2:35" s="167" customFormat="1" ht="70.5" customHeight="1" x14ac:dyDescent="0.25">
      <c r="B161" s="161">
        <v>147</v>
      </c>
      <c r="C161" s="208">
        <v>100170</v>
      </c>
      <c r="D161" s="175" t="s">
        <v>1013</v>
      </c>
      <c r="E161" s="198" t="s">
        <v>1014</v>
      </c>
      <c r="F161" s="160" t="s">
        <v>1015</v>
      </c>
      <c r="G161" s="162" t="s">
        <v>1016</v>
      </c>
      <c r="H161" s="169">
        <v>24260</v>
      </c>
      <c r="I161" s="169">
        <f t="shared" si="37"/>
        <v>2426</v>
      </c>
      <c r="J161" s="169">
        <f t="shared" si="41"/>
        <v>13343</v>
      </c>
      <c r="K161" s="169">
        <v>1500</v>
      </c>
      <c r="L161" s="169"/>
      <c r="M161" s="169"/>
      <c r="N161" s="169"/>
      <c r="O161" s="169"/>
      <c r="P161" s="169"/>
      <c r="Q161" s="169"/>
      <c r="R161" s="170">
        <f t="shared" si="39"/>
        <v>41529</v>
      </c>
      <c r="S161" s="171">
        <f t="shared" si="33"/>
        <v>2426</v>
      </c>
      <c r="T161" s="169"/>
      <c r="U161" s="169">
        <f t="shared" si="34"/>
        <v>243</v>
      </c>
      <c r="V161" s="169"/>
      <c r="W161" s="169"/>
      <c r="X161" s="169"/>
      <c r="Y161" s="169"/>
      <c r="Z161" s="169"/>
      <c r="AA161" s="169"/>
      <c r="AB161" s="169"/>
      <c r="AC161" s="206"/>
      <c r="AD161" s="205">
        <v>100</v>
      </c>
      <c r="AE161" s="206">
        <v>10</v>
      </c>
      <c r="AF161" s="169"/>
      <c r="AG161" s="169">
        <f>SUM(S161:AF161)</f>
        <v>2779</v>
      </c>
      <c r="AH161" s="169">
        <f t="shared" si="40"/>
        <v>38750</v>
      </c>
      <c r="AI161" s="179"/>
    </row>
    <row r="162" spans="2:35" s="167" customFormat="1" ht="70.5" customHeight="1" x14ac:dyDescent="0.25">
      <c r="B162" s="161">
        <v>148</v>
      </c>
      <c r="C162" s="208">
        <v>100173</v>
      </c>
      <c r="D162" s="175" t="s">
        <v>1017</v>
      </c>
      <c r="E162" s="198" t="s">
        <v>1018</v>
      </c>
      <c r="F162" s="160" t="s">
        <v>1000</v>
      </c>
      <c r="G162" s="162" t="s">
        <v>1019</v>
      </c>
      <c r="H162" s="169">
        <v>25480</v>
      </c>
      <c r="I162" s="169">
        <f t="shared" si="37"/>
        <v>2548</v>
      </c>
      <c r="J162" s="169">
        <f t="shared" si="41"/>
        <v>14014</v>
      </c>
      <c r="K162" s="169">
        <v>1500</v>
      </c>
      <c r="L162" s="169"/>
      <c r="M162" s="169"/>
      <c r="N162" s="169"/>
      <c r="O162" s="169"/>
      <c r="P162" s="169"/>
      <c r="Q162" s="169"/>
      <c r="R162" s="170">
        <f t="shared" si="39"/>
        <v>43542</v>
      </c>
      <c r="S162" s="171">
        <f t="shared" si="33"/>
        <v>2548</v>
      </c>
      <c r="T162" s="169"/>
      <c r="U162" s="169">
        <f t="shared" si="34"/>
        <v>255</v>
      </c>
      <c r="V162" s="169"/>
      <c r="W162" s="169"/>
      <c r="X162" s="169"/>
      <c r="Y162" s="169"/>
      <c r="Z162" s="169"/>
      <c r="AA162" s="169"/>
      <c r="AB162" s="169"/>
      <c r="AC162" s="206"/>
      <c r="AD162" s="205">
        <v>100</v>
      </c>
      <c r="AE162" s="206">
        <v>10</v>
      </c>
      <c r="AF162" s="169"/>
      <c r="AG162" s="169">
        <f t="shared" ref="AG162:AG191" si="42">SUM(S162:AF162)</f>
        <v>2913</v>
      </c>
      <c r="AH162" s="169">
        <f t="shared" si="40"/>
        <v>40629</v>
      </c>
      <c r="AI162" s="179"/>
    </row>
    <row r="163" spans="2:35" s="167" customFormat="1" ht="70.5" customHeight="1" x14ac:dyDescent="0.25">
      <c r="B163" s="161">
        <v>149</v>
      </c>
      <c r="C163" s="208">
        <v>100172</v>
      </c>
      <c r="D163" s="175" t="s">
        <v>1020</v>
      </c>
      <c r="E163" s="198" t="s">
        <v>1021</v>
      </c>
      <c r="F163" s="160" t="s">
        <v>1000</v>
      </c>
      <c r="G163" s="162" t="s">
        <v>1022</v>
      </c>
      <c r="H163" s="169">
        <v>25480</v>
      </c>
      <c r="I163" s="169">
        <f t="shared" si="37"/>
        <v>2548</v>
      </c>
      <c r="J163" s="169"/>
      <c r="K163" s="169">
        <v>1500</v>
      </c>
      <c r="L163" s="169"/>
      <c r="M163" s="169"/>
      <c r="N163" s="169"/>
      <c r="O163" s="169"/>
      <c r="P163" s="169"/>
      <c r="Q163" s="169"/>
      <c r="R163" s="170">
        <f t="shared" si="39"/>
        <v>29528</v>
      </c>
      <c r="S163" s="171">
        <f t="shared" si="33"/>
        <v>2548</v>
      </c>
      <c r="T163" s="169"/>
      <c r="U163" s="169">
        <f t="shared" si="34"/>
        <v>255</v>
      </c>
      <c r="V163" s="169"/>
      <c r="W163" s="169"/>
      <c r="X163" s="169">
        <v>1080</v>
      </c>
      <c r="Y163" s="169">
        <v>120</v>
      </c>
      <c r="Z163" s="169">
        <v>30</v>
      </c>
      <c r="AA163" s="169">
        <v>2745</v>
      </c>
      <c r="AB163" s="169"/>
      <c r="AC163" s="206"/>
      <c r="AD163" s="205">
        <v>100</v>
      </c>
      <c r="AE163" s="206">
        <v>10</v>
      </c>
      <c r="AF163" s="169"/>
      <c r="AG163" s="169">
        <f t="shared" si="42"/>
        <v>6888</v>
      </c>
      <c r="AH163" s="169">
        <f t="shared" si="40"/>
        <v>22640</v>
      </c>
      <c r="AI163" s="179"/>
    </row>
    <row r="164" spans="2:35" s="167" customFormat="1" ht="70.5" customHeight="1" x14ac:dyDescent="0.25">
      <c r="B164" s="161">
        <v>150</v>
      </c>
      <c r="C164" s="208">
        <v>100171</v>
      </c>
      <c r="D164" s="175" t="s">
        <v>1023</v>
      </c>
      <c r="E164" s="198" t="s">
        <v>1024</v>
      </c>
      <c r="F164" s="160" t="s">
        <v>1025</v>
      </c>
      <c r="G164" s="162" t="s">
        <v>1026</v>
      </c>
      <c r="H164" s="169">
        <v>29510</v>
      </c>
      <c r="I164" s="169">
        <f t="shared" si="37"/>
        <v>2951</v>
      </c>
      <c r="J164" s="169">
        <f t="shared" si="41"/>
        <v>16231</v>
      </c>
      <c r="K164" s="169">
        <v>1500</v>
      </c>
      <c r="L164" s="169"/>
      <c r="M164" s="169"/>
      <c r="N164" s="169"/>
      <c r="O164" s="169"/>
      <c r="P164" s="169"/>
      <c r="Q164" s="169">
        <v>500</v>
      </c>
      <c r="R164" s="170">
        <f t="shared" si="39"/>
        <v>50692</v>
      </c>
      <c r="S164" s="171">
        <f t="shared" si="33"/>
        <v>2951</v>
      </c>
      <c r="T164" s="169"/>
      <c r="U164" s="169">
        <f t="shared" si="34"/>
        <v>295</v>
      </c>
      <c r="V164" s="169"/>
      <c r="W164" s="169"/>
      <c r="X164" s="169"/>
      <c r="Y164" s="169"/>
      <c r="Z164" s="169"/>
      <c r="AA164" s="169"/>
      <c r="AB164" s="169"/>
      <c r="AC164" s="206"/>
      <c r="AD164" s="205">
        <v>100</v>
      </c>
      <c r="AE164" s="206">
        <v>10</v>
      </c>
      <c r="AF164" s="169"/>
      <c r="AG164" s="169">
        <f t="shared" si="42"/>
        <v>3356</v>
      </c>
      <c r="AH164" s="169">
        <f t="shared" si="40"/>
        <v>47336</v>
      </c>
      <c r="AI164" s="179"/>
    </row>
    <row r="165" spans="2:35" s="167" customFormat="1" ht="70.5" customHeight="1" x14ac:dyDescent="0.25">
      <c r="B165" s="161">
        <v>151</v>
      </c>
      <c r="C165" s="208">
        <v>100176</v>
      </c>
      <c r="D165" s="175" t="s">
        <v>1027</v>
      </c>
      <c r="E165" s="198" t="s">
        <v>1028</v>
      </c>
      <c r="F165" s="160" t="s">
        <v>1029</v>
      </c>
      <c r="G165" s="162" t="s">
        <v>1030</v>
      </c>
      <c r="H165" s="169">
        <v>25480</v>
      </c>
      <c r="I165" s="169">
        <f t="shared" si="37"/>
        <v>2548</v>
      </c>
      <c r="J165" s="169">
        <f>ROUND((H165*55%),0)</f>
        <v>14014</v>
      </c>
      <c r="K165" s="169">
        <v>1500</v>
      </c>
      <c r="L165" s="169"/>
      <c r="M165" s="169"/>
      <c r="N165" s="169"/>
      <c r="O165" s="169"/>
      <c r="P165" s="169"/>
      <c r="Q165" s="169"/>
      <c r="R165" s="170">
        <f>SUM(H165:Q165)</f>
        <v>43542</v>
      </c>
      <c r="S165" s="171">
        <f t="shared" si="33"/>
        <v>2548</v>
      </c>
      <c r="T165" s="169"/>
      <c r="U165" s="169">
        <f>ROUND((H165*1%),0)</f>
        <v>255</v>
      </c>
      <c r="V165" s="169"/>
      <c r="W165" s="169"/>
      <c r="X165" s="169"/>
      <c r="Y165" s="169"/>
      <c r="Z165" s="169"/>
      <c r="AA165" s="169"/>
      <c r="AB165" s="169">
        <v>250</v>
      </c>
      <c r="AC165" s="206"/>
      <c r="AD165" s="205">
        <v>100</v>
      </c>
      <c r="AE165" s="206">
        <v>10</v>
      </c>
      <c r="AF165" s="169"/>
      <c r="AG165" s="169">
        <f>SUM(S165:AF165)</f>
        <v>3163</v>
      </c>
      <c r="AH165" s="169">
        <f>R165-AG165</f>
        <v>40379</v>
      </c>
      <c r="AI165" s="179"/>
    </row>
    <row r="166" spans="2:35" s="167" customFormat="1" ht="65.25" customHeight="1" x14ac:dyDescent="0.25">
      <c r="B166" s="161">
        <v>152</v>
      </c>
      <c r="C166" s="208">
        <v>100174</v>
      </c>
      <c r="D166" s="175" t="s">
        <v>1031</v>
      </c>
      <c r="E166" s="198" t="s">
        <v>1032</v>
      </c>
      <c r="F166" s="160" t="s">
        <v>1033</v>
      </c>
      <c r="G166" s="162" t="s">
        <v>1034</v>
      </c>
      <c r="H166" s="169">
        <v>24260</v>
      </c>
      <c r="I166" s="169">
        <f t="shared" si="37"/>
        <v>2426</v>
      </c>
      <c r="J166" s="169">
        <f t="shared" si="41"/>
        <v>13343</v>
      </c>
      <c r="K166" s="169">
        <v>1500</v>
      </c>
      <c r="L166" s="169"/>
      <c r="M166" s="169"/>
      <c r="N166" s="169"/>
      <c r="O166" s="169"/>
      <c r="P166" s="169"/>
      <c r="Q166" s="169"/>
      <c r="R166" s="170">
        <f t="shared" si="39"/>
        <v>41529</v>
      </c>
      <c r="S166" s="171">
        <f t="shared" si="33"/>
        <v>2426</v>
      </c>
      <c r="T166" s="169"/>
      <c r="U166" s="169">
        <f t="shared" si="34"/>
        <v>243</v>
      </c>
      <c r="V166" s="169"/>
      <c r="W166" s="169"/>
      <c r="X166" s="169"/>
      <c r="Y166" s="169"/>
      <c r="Z166" s="169"/>
      <c r="AA166" s="169"/>
      <c r="AB166" s="169"/>
      <c r="AC166" s="206"/>
      <c r="AD166" s="205">
        <v>100</v>
      </c>
      <c r="AE166" s="206">
        <v>10</v>
      </c>
      <c r="AF166" s="169"/>
      <c r="AG166" s="169">
        <f t="shared" si="42"/>
        <v>2779</v>
      </c>
      <c r="AH166" s="169">
        <f t="shared" si="40"/>
        <v>38750</v>
      </c>
      <c r="AI166" s="179"/>
    </row>
    <row r="167" spans="2:35" s="167" customFormat="1" ht="66" customHeight="1" x14ac:dyDescent="0.25">
      <c r="B167" s="161">
        <v>153</v>
      </c>
      <c r="C167" s="208">
        <v>100175</v>
      </c>
      <c r="D167" s="175" t="s">
        <v>1035</v>
      </c>
      <c r="E167" s="198" t="s">
        <v>1036</v>
      </c>
      <c r="F167" s="160" t="s">
        <v>1033</v>
      </c>
      <c r="G167" s="162" t="s">
        <v>1037</v>
      </c>
      <c r="H167" s="169">
        <v>24260</v>
      </c>
      <c r="I167" s="169">
        <f t="shared" si="37"/>
        <v>2426</v>
      </c>
      <c r="J167" s="169">
        <f t="shared" si="41"/>
        <v>13343</v>
      </c>
      <c r="K167" s="169">
        <v>1500</v>
      </c>
      <c r="L167" s="169"/>
      <c r="M167" s="169"/>
      <c r="N167" s="169"/>
      <c r="O167" s="169"/>
      <c r="P167" s="169"/>
      <c r="Q167" s="169"/>
      <c r="R167" s="170">
        <f t="shared" si="39"/>
        <v>41529</v>
      </c>
      <c r="S167" s="171">
        <f t="shared" si="33"/>
        <v>2426</v>
      </c>
      <c r="T167" s="169"/>
      <c r="U167" s="169">
        <f t="shared" si="34"/>
        <v>243</v>
      </c>
      <c r="V167" s="169"/>
      <c r="W167" s="169"/>
      <c r="X167" s="169"/>
      <c r="Y167" s="169"/>
      <c r="Z167" s="169"/>
      <c r="AA167" s="169"/>
      <c r="AB167" s="169"/>
      <c r="AC167" s="206"/>
      <c r="AD167" s="205">
        <v>100</v>
      </c>
      <c r="AE167" s="206">
        <v>10</v>
      </c>
      <c r="AF167" s="169"/>
      <c r="AG167" s="169">
        <f t="shared" si="42"/>
        <v>2779</v>
      </c>
      <c r="AH167" s="169">
        <f t="shared" si="40"/>
        <v>38750</v>
      </c>
      <c r="AI167" s="179"/>
    </row>
    <row r="168" spans="2:35" s="167" customFormat="1" ht="70.5" customHeight="1" x14ac:dyDescent="0.25">
      <c r="B168" s="161">
        <v>154</v>
      </c>
      <c r="C168" s="208">
        <v>100178</v>
      </c>
      <c r="D168" s="175" t="s">
        <v>1038</v>
      </c>
      <c r="E168" s="198" t="s">
        <v>1039</v>
      </c>
      <c r="F168" s="160" t="s">
        <v>1040</v>
      </c>
      <c r="G168" s="162" t="s">
        <v>1041</v>
      </c>
      <c r="H168" s="169">
        <v>24260</v>
      </c>
      <c r="I168" s="169">
        <f t="shared" si="37"/>
        <v>2426</v>
      </c>
      <c r="J168" s="169">
        <f t="shared" si="41"/>
        <v>13343</v>
      </c>
      <c r="K168" s="169">
        <v>1500</v>
      </c>
      <c r="L168" s="169"/>
      <c r="M168" s="169"/>
      <c r="N168" s="169"/>
      <c r="O168" s="169"/>
      <c r="P168" s="169"/>
      <c r="Q168" s="169"/>
      <c r="R168" s="170">
        <f t="shared" si="39"/>
        <v>41529</v>
      </c>
      <c r="S168" s="171">
        <f t="shared" si="33"/>
        <v>2426</v>
      </c>
      <c r="T168" s="169"/>
      <c r="U168" s="169">
        <f t="shared" si="34"/>
        <v>243</v>
      </c>
      <c r="V168" s="169"/>
      <c r="W168" s="169">
        <v>2650</v>
      </c>
      <c r="X168" s="169">
        <v>180</v>
      </c>
      <c r="Y168" s="169">
        <v>20</v>
      </c>
      <c r="Z168" s="169">
        <v>5</v>
      </c>
      <c r="AA168" s="169">
        <v>175</v>
      </c>
      <c r="AB168" s="169"/>
      <c r="AC168" s="206"/>
      <c r="AD168" s="205">
        <v>100</v>
      </c>
      <c r="AE168" s="206">
        <v>10</v>
      </c>
      <c r="AF168" s="169"/>
      <c r="AG168" s="169">
        <f t="shared" si="42"/>
        <v>5809</v>
      </c>
      <c r="AH168" s="169">
        <f t="shared" si="40"/>
        <v>35720</v>
      </c>
      <c r="AI168" s="179"/>
    </row>
    <row r="169" spans="2:35" s="167" customFormat="1" ht="70.5" customHeight="1" x14ac:dyDescent="0.25">
      <c r="B169" s="161">
        <v>155</v>
      </c>
      <c r="C169" s="208">
        <v>100177</v>
      </c>
      <c r="D169" s="175" t="s">
        <v>1042</v>
      </c>
      <c r="E169" s="198" t="s">
        <v>1043</v>
      </c>
      <c r="F169" s="160" t="s">
        <v>1040</v>
      </c>
      <c r="G169" s="162" t="s">
        <v>1044</v>
      </c>
      <c r="H169" s="169">
        <v>24260</v>
      </c>
      <c r="I169" s="169">
        <f t="shared" si="37"/>
        <v>2426</v>
      </c>
      <c r="J169" s="169">
        <f t="shared" si="41"/>
        <v>13343</v>
      </c>
      <c r="K169" s="169">
        <v>1500</v>
      </c>
      <c r="L169" s="169"/>
      <c r="M169" s="169">
        <f>ROUND((H169*12.5%),0)</f>
        <v>3033</v>
      </c>
      <c r="N169" s="169"/>
      <c r="O169" s="169"/>
      <c r="P169" s="169">
        <v>1000</v>
      </c>
      <c r="Q169" s="169"/>
      <c r="R169" s="170">
        <f t="shared" si="39"/>
        <v>45562</v>
      </c>
      <c r="S169" s="171">
        <f t="shared" si="33"/>
        <v>2426</v>
      </c>
      <c r="T169" s="169"/>
      <c r="U169" s="169">
        <f t="shared" si="34"/>
        <v>243</v>
      </c>
      <c r="V169" s="169"/>
      <c r="W169" s="169">
        <v>2650</v>
      </c>
      <c r="X169" s="169">
        <v>180</v>
      </c>
      <c r="Y169" s="169">
        <v>20</v>
      </c>
      <c r="Z169" s="169">
        <v>5</v>
      </c>
      <c r="AA169" s="169">
        <v>175</v>
      </c>
      <c r="AB169" s="169"/>
      <c r="AC169" s="206"/>
      <c r="AD169" s="205">
        <v>100</v>
      </c>
      <c r="AE169" s="206">
        <v>10</v>
      </c>
      <c r="AF169" s="169"/>
      <c r="AG169" s="169">
        <f t="shared" si="42"/>
        <v>5809</v>
      </c>
      <c r="AH169" s="169">
        <f t="shared" si="40"/>
        <v>39753</v>
      </c>
      <c r="AI169" s="179"/>
    </row>
    <row r="170" spans="2:35" s="167" customFormat="1" ht="70.5" customHeight="1" x14ac:dyDescent="0.25">
      <c r="B170" s="161">
        <v>156</v>
      </c>
      <c r="C170" s="208">
        <v>100189</v>
      </c>
      <c r="D170" s="175" t="s">
        <v>1045</v>
      </c>
      <c r="E170" s="198" t="s">
        <v>1046</v>
      </c>
      <c r="F170" s="160" t="s">
        <v>1047</v>
      </c>
      <c r="G170" s="162" t="s">
        <v>1048</v>
      </c>
      <c r="H170" s="169">
        <v>24260</v>
      </c>
      <c r="I170" s="169">
        <f t="shared" si="37"/>
        <v>2426</v>
      </c>
      <c r="J170" s="169">
        <f t="shared" si="41"/>
        <v>13343</v>
      </c>
      <c r="K170" s="169">
        <v>1500</v>
      </c>
      <c r="L170" s="169"/>
      <c r="M170" s="169">
        <f>ROUND((H170*12.5%),0)</f>
        <v>3033</v>
      </c>
      <c r="N170" s="169"/>
      <c r="O170" s="169"/>
      <c r="P170" s="169">
        <f>1000</f>
        <v>1000</v>
      </c>
      <c r="Q170" s="169"/>
      <c r="R170" s="170">
        <f t="shared" si="39"/>
        <v>45562</v>
      </c>
      <c r="S170" s="171">
        <f t="shared" si="33"/>
        <v>2426</v>
      </c>
      <c r="T170" s="169"/>
      <c r="U170" s="169">
        <f t="shared" si="34"/>
        <v>243</v>
      </c>
      <c r="V170" s="169"/>
      <c r="W170" s="169">
        <v>2650</v>
      </c>
      <c r="X170" s="169">
        <v>180</v>
      </c>
      <c r="Y170" s="169">
        <v>20</v>
      </c>
      <c r="Z170" s="169">
        <v>5</v>
      </c>
      <c r="AA170" s="169">
        <v>175</v>
      </c>
      <c r="AB170" s="169"/>
      <c r="AC170" s="206"/>
      <c r="AD170" s="205">
        <v>100</v>
      </c>
      <c r="AE170" s="206">
        <v>10</v>
      </c>
      <c r="AF170" s="169"/>
      <c r="AG170" s="169">
        <f t="shared" si="42"/>
        <v>5809</v>
      </c>
      <c r="AH170" s="169">
        <f t="shared" si="40"/>
        <v>39753</v>
      </c>
      <c r="AI170" s="179"/>
    </row>
    <row r="171" spans="2:35" s="167" customFormat="1" ht="70.5" customHeight="1" x14ac:dyDescent="0.25">
      <c r="B171" s="161">
        <v>157</v>
      </c>
      <c r="C171" s="208">
        <v>100196</v>
      </c>
      <c r="D171" s="175" t="s">
        <v>1049</v>
      </c>
      <c r="E171" s="198" t="s">
        <v>1050</v>
      </c>
      <c r="F171" s="160" t="s">
        <v>1047</v>
      </c>
      <c r="G171" s="162" t="s">
        <v>1051</v>
      </c>
      <c r="H171" s="169">
        <v>26760</v>
      </c>
      <c r="I171" s="169">
        <f t="shared" si="37"/>
        <v>2676</v>
      </c>
      <c r="J171" s="169">
        <f t="shared" si="41"/>
        <v>14718</v>
      </c>
      <c r="K171" s="169">
        <v>1500</v>
      </c>
      <c r="L171" s="169"/>
      <c r="M171" s="169"/>
      <c r="N171" s="169"/>
      <c r="O171" s="169"/>
      <c r="P171" s="169"/>
      <c r="Q171" s="169"/>
      <c r="R171" s="170">
        <f t="shared" si="39"/>
        <v>45654</v>
      </c>
      <c r="S171" s="171">
        <f t="shared" si="33"/>
        <v>2676</v>
      </c>
      <c r="T171" s="169"/>
      <c r="U171" s="169">
        <f t="shared" si="34"/>
        <v>268</v>
      </c>
      <c r="V171" s="169"/>
      <c r="W171" s="169"/>
      <c r="X171" s="169"/>
      <c r="Y171" s="169"/>
      <c r="Z171" s="169"/>
      <c r="AA171" s="169"/>
      <c r="AB171" s="169"/>
      <c r="AC171" s="206"/>
      <c r="AD171" s="205">
        <v>100</v>
      </c>
      <c r="AE171" s="206">
        <v>10</v>
      </c>
      <c r="AF171" s="169"/>
      <c r="AG171" s="169">
        <f t="shared" si="42"/>
        <v>3054</v>
      </c>
      <c r="AH171" s="169">
        <f t="shared" si="40"/>
        <v>42600</v>
      </c>
      <c r="AI171" s="179"/>
    </row>
    <row r="172" spans="2:35" s="167" customFormat="1" ht="70.5" customHeight="1" x14ac:dyDescent="0.25">
      <c r="B172" s="161">
        <v>158</v>
      </c>
      <c r="C172" s="208">
        <v>100190</v>
      </c>
      <c r="D172" s="175" t="s">
        <v>1052</v>
      </c>
      <c r="E172" s="198" t="s">
        <v>1053</v>
      </c>
      <c r="F172" s="160" t="s">
        <v>1047</v>
      </c>
      <c r="G172" s="162" t="s">
        <v>1054</v>
      </c>
      <c r="H172" s="169">
        <v>24260</v>
      </c>
      <c r="I172" s="169">
        <f t="shared" si="37"/>
        <v>2426</v>
      </c>
      <c r="J172" s="169">
        <f t="shared" si="41"/>
        <v>13343</v>
      </c>
      <c r="K172" s="169">
        <v>1500</v>
      </c>
      <c r="L172" s="169"/>
      <c r="M172" s="169"/>
      <c r="N172" s="169"/>
      <c r="O172" s="169"/>
      <c r="P172" s="169"/>
      <c r="Q172" s="169"/>
      <c r="R172" s="170">
        <f t="shared" si="39"/>
        <v>41529</v>
      </c>
      <c r="S172" s="171">
        <f t="shared" si="33"/>
        <v>2426</v>
      </c>
      <c r="T172" s="169"/>
      <c r="U172" s="169">
        <f t="shared" si="34"/>
        <v>243</v>
      </c>
      <c r="V172" s="169"/>
      <c r="W172" s="169"/>
      <c r="X172" s="169"/>
      <c r="Y172" s="169"/>
      <c r="Z172" s="169"/>
      <c r="AA172" s="169"/>
      <c r="AB172" s="169"/>
      <c r="AC172" s="206"/>
      <c r="AD172" s="205">
        <v>100</v>
      </c>
      <c r="AE172" s="206">
        <v>10</v>
      </c>
      <c r="AF172" s="169"/>
      <c r="AG172" s="169">
        <f t="shared" si="42"/>
        <v>2779</v>
      </c>
      <c r="AH172" s="169">
        <f t="shared" si="40"/>
        <v>38750</v>
      </c>
      <c r="AI172" s="179"/>
    </row>
    <row r="173" spans="2:35" s="167" customFormat="1" ht="70.5" customHeight="1" x14ac:dyDescent="0.25">
      <c r="B173" s="161">
        <v>159</v>
      </c>
      <c r="C173" s="208">
        <v>100187</v>
      </c>
      <c r="D173" s="175" t="s">
        <v>1055</v>
      </c>
      <c r="E173" s="198" t="s">
        <v>1056</v>
      </c>
      <c r="F173" s="160" t="s">
        <v>1029</v>
      </c>
      <c r="G173" s="162" t="s">
        <v>1057</v>
      </c>
      <c r="H173" s="169">
        <v>24260</v>
      </c>
      <c r="I173" s="169">
        <f t="shared" si="37"/>
        <v>2426</v>
      </c>
      <c r="J173" s="169">
        <f t="shared" si="41"/>
        <v>13343</v>
      </c>
      <c r="K173" s="169">
        <v>1500</v>
      </c>
      <c r="L173" s="169"/>
      <c r="M173" s="169"/>
      <c r="N173" s="169"/>
      <c r="O173" s="169"/>
      <c r="P173" s="169"/>
      <c r="Q173" s="169"/>
      <c r="R173" s="170">
        <f t="shared" si="39"/>
        <v>41529</v>
      </c>
      <c r="S173" s="171">
        <f t="shared" si="33"/>
        <v>2426</v>
      </c>
      <c r="T173" s="169"/>
      <c r="U173" s="169">
        <f t="shared" si="34"/>
        <v>243</v>
      </c>
      <c r="V173" s="169"/>
      <c r="W173" s="169"/>
      <c r="X173" s="169"/>
      <c r="Y173" s="169"/>
      <c r="Z173" s="169"/>
      <c r="AA173" s="169"/>
      <c r="AB173" s="169"/>
      <c r="AC173" s="206"/>
      <c r="AD173" s="205">
        <v>100</v>
      </c>
      <c r="AE173" s="206">
        <v>10</v>
      </c>
      <c r="AF173" s="169"/>
      <c r="AG173" s="169">
        <f t="shared" si="42"/>
        <v>2779</v>
      </c>
      <c r="AH173" s="169">
        <f t="shared" si="40"/>
        <v>38750</v>
      </c>
      <c r="AI173" s="179"/>
    </row>
    <row r="174" spans="2:35" s="167" customFormat="1" ht="70.5" customHeight="1" x14ac:dyDescent="0.25">
      <c r="B174" s="161">
        <v>160</v>
      </c>
      <c r="C174" s="208">
        <v>100181</v>
      </c>
      <c r="D174" s="175" t="s">
        <v>1058</v>
      </c>
      <c r="E174" s="198" t="s">
        <v>1059</v>
      </c>
      <c r="F174" s="160" t="s">
        <v>1029</v>
      </c>
      <c r="G174" s="162" t="s">
        <v>1060</v>
      </c>
      <c r="H174" s="169">
        <v>24260</v>
      </c>
      <c r="I174" s="169">
        <f t="shared" si="37"/>
        <v>2426</v>
      </c>
      <c r="J174" s="169">
        <f t="shared" si="41"/>
        <v>13343</v>
      </c>
      <c r="K174" s="169">
        <v>1500</v>
      </c>
      <c r="L174" s="169"/>
      <c r="M174" s="169"/>
      <c r="N174" s="169"/>
      <c r="O174" s="169"/>
      <c r="P174" s="169"/>
      <c r="Q174" s="169"/>
      <c r="R174" s="170">
        <f t="shared" si="39"/>
        <v>41529</v>
      </c>
      <c r="S174" s="171">
        <f t="shared" si="33"/>
        <v>2426</v>
      </c>
      <c r="T174" s="169"/>
      <c r="U174" s="169">
        <f t="shared" si="34"/>
        <v>243</v>
      </c>
      <c r="V174" s="169"/>
      <c r="W174" s="169"/>
      <c r="X174" s="169"/>
      <c r="Y174" s="169"/>
      <c r="Z174" s="169"/>
      <c r="AA174" s="169"/>
      <c r="AB174" s="169"/>
      <c r="AC174" s="206"/>
      <c r="AD174" s="205">
        <v>100</v>
      </c>
      <c r="AE174" s="206">
        <v>10</v>
      </c>
      <c r="AF174" s="169"/>
      <c r="AG174" s="169">
        <f t="shared" si="42"/>
        <v>2779</v>
      </c>
      <c r="AH174" s="169">
        <f t="shared" si="40"/>
        <v>38750</v>
      </c>
      <c r="AI174" s="179"/>
    </row>
    <row r="175" spans="2:35" s="167" customFormat="1" ht="70.5" customHeight="1" x14ac:dyDescent="0.25">
      <c r="B175" s="161">
        <v>161</v>
      </c>
      <c r="C175" s="208">
        <v>100184</v>
      </c>
      <c r="D175" s="175" t="s">
        <v>1061</v>
      </c>
      <c r="E175" s="198" t="s">
        <v>1062</v>
      </c>
      <c r="F175" s="160" t="s">
        <v>1029</v>
      </c>
      <c r="G175" s="162" t="s">
        <v>1063</v>
      </c>
      <c r="H175" s="169">
        <v>24260</v>
      </c>
      <c r="I175" s="169">
        <f t="shared" si="37"/>
        <v>2426</v>
      </c>
      <c r="J175" s="169">
        <f t="shared" si="41"/>
        <v>13343</v>
      </c>
      <c r="K175" s="169">
        <v>1500</v>
      </c>
      <c r="L175" s="169"/>
      <c r="M175" s="169"/>
      <c r="N175" s="169"/>
      <c r="O175" s="169"/>
      <c r="P175" s="169"/>
      <c r="Q175" s="169"/>
      <c r="R175" s="170">
        <f t="shared" si="39"/>
        <v>41529</v>
      </c>
      <c r="S175" s="171">
        <f t="shared" si="33"/>
        <v>2426</v>
      </c>
      <c r="T175" s="169"/>
      <c r="U175" s="169">
        <f t="shared" si="34"/>
        <v>243</v>
      </c>
      <c r="V175" s="169"/>
      <c r="W175" s="169"/>
      <c r="X175" s="169"/>
      <c r="Y175" s="169"/>
      <c r="Z175" s="169"/>
      <c r="AA175" s="169"/>
      <c r="AB175" s="169"/>
      <c r="AC175" s="206"/>
      <c r="AD175" s="205">
        <v>100</v>
      </c>
      <c r="AE175" s="206">
        <v>10</v>
      </c>
      <c r="AF175" s="169"/>
      <c r="AG175" s="169">
        <f t="shared" si="42"/>
        <v>2779</v>
      </c>
      <c r="AH175" s="169">
        <f t="shared" si="40"/>
        <v>38750</v>
      </c>
      <c r="AI175" s="179"/>
    </row>
    <row r="176" spans="2:35" s="167" customFormat="1" ht="70.5" customHeight="1" x14ac:dyDescent="0.25">
      <c r="B176" s="161">
        <v>162</v>
      </c>
      <c r="C176" s="208">
        <v>100188</v>
      </c>
      <c r="D176" s="175" t="s">
        <v>1064</v>
      </c>
      <c r="E176" s="198" t="s">
        <v>1065</v>
      </c>
      <c r="F176" s="160" t="s">
        <v>1040</v>
      </c>
      <c r="G176" s="162" t="s">
        <v>1066</v>
      </c>
      <c r="H176" s="169">
        <v>24260</v>
      </c>
      <c r="I176" s="169">
        <f t="shared" si="37"/>
        <v>2426</v>
      </c>
      <c r="J176" s="169">
        <f t="shared" si="41"/>
        <v>13343</v>
      </c>
      <c r="K176" s="169">
        <v>1500</v>
      </c>
      <c r="L176" s="169"/>
      <c r="M176" s="169"/>
      <c r="N176" s="169"/>
      <c r="O176" s="169"/>
      <c r="P176" s="169"/>
      <c r="Q176" s="169"/>
      <c r="R176" s="170">
        <f t="shared" si="39"/>
        <v>41529</v>
      </c>
      <c r="S176" s="171">
        <f t="shared" si="33"/>
        <v>2426</v>
      </c>
      <c r="T176" s="169"/>
      <c r="U176" s="169">
        <f t="shared" si="34"/>
        <v>243</v>
      </c>
      <c r="V176" s="169"/>
      <c r="W176" s="169"/>
      <c r="X176" s="169"/>
      <c r="Y176" s="169"/>
      <c r="Z176" s="169"/>
      <c r="AA176" s="169"/>
      <c r="AB176" s="169"/>
      <c r="AC176" s="206"/>
      <c r="AD176" s="205">
        <v>100</v>
      </c>
      <c r="AE176" s="206">
        <v>10</v>
      </c>
      <c r="AF176" s="169"/>
      <c r="AG176" s="169">
        <f t="shared" si="42"/>
        <v>2779</v>
      </c>
      <c r="AH176" s="169">
        <f t="shared" si="40"/>
        <v>38750</v>
      </c>
      <c r="AI176" s="179"/>
    </row>
    <row r="177" spans="2:35" s="167" customFormat="1" ht="70.5" customHeight="1" x14ac:dyDescent="0.25">
      <c r="B177" s="161">
        <v>163</v>
      </c>
      <c r="C177" s="208">
        <v>100180</v>
      </c>
      <c r="D177" s="175" t="s">
        <v>1067</v>
      </c>
      <c r="E177" s="198" t="s">
        <v>1068</v>
      </c>
      <c r="F177" s="160" t="s">
        <v>1025</v>
      </c>
      <c r="G177" s="162" t="s">
        <v>1069</v>
      </c>
      <c r="H177" s="169">
        <v>24260</v>
      </c>
      <c r="I177" s="169">
        <f t="shared" si="37"/>
        <v>2426</v>
      </c>
      <c r="J177" s="169">
        <f t="shared" si="41"/>
        <v>13343</v>
      </c>
      <c r="K177" s="169">
        <v>1500</v>
      </c>
      <c r="L177" s="169"/>
      <c r="M177" s="169"/>
      <c r="N177" s="169"/>
      <c r="O177" s="169"/>
      <c r="P177" s="169"/>
      <c r="Q177" s="169"/>
      <c r="R177" s="170">
        <f t="shared" si="39"/>
        <v>41529</v>
      </c>
      <c r="S177" s="171">
        <f t="shared" si="33"/>
        <v>2426</v>
      </c>
      <c r="T177" s="169"/>
      <c r="U177" s="169">
        <f t="shared" si="34"/>
        <v>243</v>
      </c>
      <c r="V177" s="169"/>
      <c r="W177" s="169"/>
      <c r="X177" s="169"/>
      <c r="Y177" s="169"/>
      <c r="Z177" s="169"/>
      <c r="AA177" s="169"/>
      <c r="AB177" s="169"/>
      <c r="AC177" s="206"/>
      <c r="AD177" s="205">
        <v>100</v>
      </c>
      <c r="AE177" s="206">
        <v>10</v>
      </c>
      <c r="AF177" s="169"/>
      <c r="AG177" s="169">
        <f t="shared" si="42"/>
        <v>2779</v>
      </c>
      <c r="AH177" s="169">
        <f t="shared" si="40"/>
        <v>38750</v>
      </c>
      <c r="AI177" s="179"/>
    </row>
    <row r="178" spans="2:35" s="167" customFormat="1" ht="70.5" customHeight="1" x14ac:dyDescent="0.25">
      <c r="B178" s="161">
        <v>164</v>
      </c>
      <c r="C178" s="208">
        <v>100183</v>
      </c>
      <c r="D178" s="175" t="s">
        <v>1070</v>
      </c>
      <c r="E178" s="198" t="s">
        <v>1071</v>
      </c>
      <c r="F178" s="160" t="s">
        <v>1025</v>
      </c>
      <c r="G178" s="162" t="s">
        <v>1072</v>
      </c>
      <c r="H178" s="169">
        <v>24260</v>
      </c>
      <c r="I178" s="169">
        <f t="shared" si="37"/>
        <v>2426</v>
      </c>
      <c r="J178" s="169">
        <f t="shared" si="41"/>
        <v>13343</v>
      </c>
      <c r="K178" s="169">
        <v>1500</v>
      </c>
      <c r="L178" s="169"/>
      <c r="M178" s="169"/>
      <c r="N178" s="169"/>
      <c r="O178" s="169"/>
      <c r="P178" s="169"/>
      <c r="Q178" s="169"/>
      <c r="R178" s="170">
        <f t="shared" si="39"/>
        <v>41529</v>
      </c>
      <c r="S178" s="171">
        <f t="shared" si="33"/>
        <v>2426</v>
      </c>
      <c r="T178" s="169"/>
      <c r="U178" s="169">
        <f t="shared" si="34"/>
        <v>243</v>
      </c>
      <c r="V178" s="169"/>
      <c r="W178" s="169"/>
      <c r="X178" s="169"/>
      <c r="Y178" s="169"/>
      <c r="Z178" s="169"/>
      <c r="AA178" s="169"/>
      <c r="AB178" s="169"/>
      <c r="AC178" s="206"/>
      <c r="AD178" s="205">
        <v>100</v>
      </c>
      <c r="AE178" s="206">
        <v>10</v>
      </c>
      <c r="AF178" s="169"/>
      <c r="AG178" s="169">
        <f t="shared" si="42"/>
        <v>2779</v>
      </c>
      <c r="AH178" s="169">
        <f t="shared" si="40"/>
        <v>38750</v>
      </c>
      <c r="AI178" s="179"/>
    </row>
    <row r="179" spans="2:35" s="167" customFormat="1" ht="70.5" customHeight="1" x14ac:dyDescent="0.25">
      <c r="B179" s="161">
        <v>165</v>
      </c>
      <c r="C179" s="208">
        <v>100179</v>
      </c>
      <c r="D179" s="175" t="s">
        <v>1073</v>
      </c>
      <c r="E179" s="198" t="s">
        <v>1074</v>
      </c>
      <c r="F179" s="160" t="s">
        <v>1025</v>
      </c>
      <c r="G179" s="162" t="s">
        <v>1075</v>
      </c>
      <c r="H179" s="169">
        <v>24260</v>
      </c>
      <c r="I179" s="169">
        <f t="shared" si="37"/>
        <v>2426</v>
      </c>
      <c r="J179" s="169">
        <f t="shared" si="41"/>
        <v>13343</v>
      </c>
      <c r="K179" s="169">
        <v>1500</v>
      </c>
      <c r="L179" s="169"/>
      <c r="M179" s="169"/>
      <c r="N179" s="169"/>
      <c r="O179" s="169"/>
      <c r="P179" s="169"/>
      <c r="Q179" s="169"/>
      <c r="R179" s="170">
        <f t="shared" si="39"/>
        <v>41529</v>
      </c>
      <c r="S179" s="171">
        <f t="shared" si="33"/>
        <v>2426</v>
      </c>
      <c r="T179" s="169"/>
      <c r="U179" s="169">
        <f t="shared" si="34"/>
        <v>243</v>
      </c>
      <c r="V179" s="169"/>
      <c r="W179" s="169"/>
      <c r="X179" s="169"/>
      <c r="Y179" s="169"/>
      <c r="Z179" s="169"/>
      <c r="AA179" s="169"/>
      <c r="AB179" s="169"/>
      <c r="AC179" s="206"/>
      <c r="AD179" s="205">
        <v>100</v>
      </c>
      <c r="AE179" s="206">
        <v>10</v>
      </c>
      <c r="AF179" s="169"/>
      <c r="AG179" s="169">
        <f t="shared" si="42"/>
        <v>2779</v>
      </c>
      <c r="AH179" s="169">
        <f t="shared" si="40"/>
        <v>38750</v>
      </c>
      <c r="AI179" s="179"/>
    </row>
    <row r="180" spans="2:35" s="167" customFormat="1" ht="70.5" customHeight="1" x14ac:dyDescent="0.25">
      <c r="B180" s="161">
        <v>166</v>
      </c>
      <c r="C180" s="208">
        <v>100186</v>
      </c>
      <c r="D180" s="175" t="s">
        <v>1076</v>
      </c>
      <c r="E180" s="198" t="s">
        <v>1077</v>
      </c>
      <c r="F180" s="160" t="s">
        <v>1025</v>
      </c>
      <c r="G180" s="162" t="s">
        <v>1078</v>
      </c>
      <c r="H180" s="169">
        <v>24260</v>
      </c>
      <c r="I180" s="169">
        <f t="shared" si="37"/>
        <v>2426</v>
      </c>
      <c r="J180" s="169">
        <f t="shared" si="41"/>
        <v>13343</v>
      </c>
      <c r="K180" s="169">
        <v>1500</v>
      </c>
      <c r="L180" s="169"/>
      <c r="M180" s="169"/>
      <c r="N180" s="169"/>
      <c r="O180" s="169"/>
      <c r="P180" s="169"/>
      <c r="Q180" s="169"/>
      <c r="R180" s="170">
        <f t="shared" si="39"/>
        <v>41529</v>
      </c>
      <c r="S180" s="171">
        <f t="shared" si="33"/>
        <v>2426</v>
      </c>
      <c r="T180" s="169"/>
      <c r="U180" s="169">
        <f t="shared" si="34"/>
        <v>243</v>
      </c>
      <c r="V180" s="169"/>
      <c r="W180" s="169"/>
      <c r="X180" s="169"/>
      <c r="Y180" s="169"/>
      <c r="Z180" s="169"/>
      <c r="AA180" s="169"/>
      <c r="AB180" s="169"/>
      <c r="AC180" s="206"/>
      <c r="AD180" s="205">
        <v>100</v>
      </c>
      <c r="AE180" s="206">
        <v>10</v>
      </c>
      <c r="AF180" s="169"/>
      <c r="AG180" s="169">
        <f t="shared" si="42"/>
        <v>2779</v>
      </c>
      <c r="AH180" s="169">
        <f t="shared" si="40"/>
        <v>38750</v>
      </c>
      <c r="AI180" s="179"/>
    </row>
    <row r="181" spans="2:35" s="167" customFormat="1" ht="70.5" customHeight="1" x14ac:dyDescent="0.25">
      <c r="B181" s="161">
        <v>167</v>
      </c>
      <c r="C181" s="208">
        <v>100185</v>
      </c>
      <c r="D181" s="175" t="s">
        <v>1079</v>
      </c>
      <c r="E181" s="198" t="s">
        <v>1080</v>
      </c>
      <c r="F181" s="160" t="s">
        <v>1081</v>
      </c>
      <c r="G181" s="162" t="s">
        <v>1082</v>
      </c>
      <c r="H181" s="169">
        <v>24260</v>
      </c>
      <c r="I181" s="169">
        <f t="shared" si="37"/>
        <v>2426</v>
      </c>
      <c r="J181" s="169">
        <f t="shared" si="41"/>
        <v>13343</v>
      </c>
      <c r="K181" s="169">
        <v>1500</v>
      </c>
      <c r="L181" s="169"/>
      <c r="M181" s="169"/>
      <c r="N181" s="169"/>
      <c r="O181" s="169"/>
      <c r="P181" s="169"/>
      <c r="Q181" s="169"/>
      <c r="R181" s="170">
        <f t="shared" si="39"/>
        <v>41529</v>
      </c>
      <c r="S181" s="171">
        <f t="shared" si="33"/>
        <v>2426</v>
      </c>
      <c r="T181" s="169"/>
      <c r="U181" s="169">
        <f t="shared" si="34"/>
        <v>243</v>
      </c>
      <c r="V181" s="169"/>
      <c r="W181" s="169"/>
      <c r="X181" s="169"/>
      <c r="Y181" s="169"/>
      <c r="Z181" s="169"/>
      <c r="AA181" s="169"/>
      <c r="AB181" s="169"/>
      <c r="AC181" s="206"/>
      <c r="AD181" s="205">
        <v>100</v>
      </c>
      <c r="AE181" s="206">
        <v>10</v>
      </c>
      <c r="AF181" s="169"/>
      <c r="AG181" s="169">
        <f t="shared" si="42"/>
        <v>2779</v>
      </c>
      <c r="AH181" s="169">
        <f t="shared" si="40"/>
        <v>38750</v>
      </c>
      <c r="AI181" s="179"/>
    </row>
    <row r="182" spans="2:35" s="167" customFormat="1" ht="70.5" customHeight="1" x14ac:dyDescent="0.25">
      <c r="B182" s="161">
        <v>168</v>
      </c>
      <c r="C182" s="208">
        <v>100182</v>
      </c>
      <c r="D182" s="175" t="s">
        <v>1083</v>
      </c>
      <c r="E182" s="198" t="s">
        <v>1084</v>
      </c>
      <c r="F182" s="160" t="s">
        <v>1085</v>
      </c>
      <c r="G182" s="162" t="s">
        <v>1086</v>
      </c>
      <c r="H182" s="169">
        <v>24260</v>
      </c>
      <c r="I182" s="169">
        <f t="shared" si="37"/>
        <v>2426</v>
      </c>
      <c r="J182" s="169">
        <f t="shared" si="41"/>
        <v>13343</v>
      </c>
      <c r="K182" s="169">
        <v>1500</v>
      </c>
      <c r="L182" s="169"/>
      <c r="M182" s="169">
        <f>ROUND((H182*12.5%),0)</f>
        <v>3033</v>
      </c>
      <c r="N182" s="169"/>
      <c r="O182" s="169"/>
      <c r="P182" s="169">
        <v>1000</v>
      </c>
      <c r="Q182" s="169"/>
      <c r="R182" s="170">
        <f t="shared" si="39"/>
        <v>45562</v>
      </c>
      <c r="S182" s="171">
        <f t="shared" si="33"/>
        <v>2426</v>
      </c>
      <c r="T182" s="169"/>
      <c r="U182" s="169">
        <f t="shared" si="34"/>
        <v>243</v>
      </c>
      <c r="V182" s="169"/>
      <c r="W182" s="169">
        <v>2650</v>
      </c>
      <c r="X182" s="169">
        <v>180</v>
      </c>
      <c r="Y182" s="169">
        <v>20</v>
      </c>
      <c r="Z182" s="169">
        <v>5</v>
      </c>
      <c r="AA182" s="169">
        <v>175</v>
      </c>
      <c r="AB182" s="169"/>
      <c r="AC182" s="206"/>
      <c r="AD182" s="205">
        <v>100</v>
      </c>
      <c r="AE182" s="206">
        <v>10</v>
      </c>
      <c r="AF182" s="169"/>
      <c r="AG182" s="169">
        <f t="shared" si="42"/>
        <v>5809</v>
      </c>
      <c r="AH182" s="169">
        <f t="shared" si="40"/>
        <v>39753</v>
      </c>
      <c r="AI182" s="179"/>
    </row>
    <row r="183" spans="2:35" s="167" customFormat="1" ht="70.5" customHeight="1" x14ac:dyDescent="0.25">
      <c r="B183" s="161">
        <v>169</v>
      </c>
      <c r="C183" s="208">
        <v>100191</v>
      </c>
      <c r="D183" s="191" t="s">
        <v>1087</v>
      </c>
      <c r="E183" s="198" t="s">
        <v>1088</v>
      </c>
      <c r="F183" s="160" t="s">
        <v>1081</v>
      </c>
      <c r="G183" s="162" t="s">
        <v>1089</v>
      </c>
      <c r="H183" s="169">
        <v>24260</v>
      </c>
      <c r="I183" s="169">
        <f t="shared" si="37"/>
        <v>2426</v>
      </c>
      <c r="J183" s="169">
        <f t="shared" si="41"/>
        <v>13343</v>
      </c>
      <c r="K183" s="169">
        <v>1500</v>
      </c>
      <c r="L183" s="169"/>
      <c r="M183" s="169"/>
      <c r="N183" s="169"/>
      <c r="O183" s="169"/>
      <c r="P183" s="169"/>
      <c r="Q183" s="169"/>
      <c r="R183" s="170">
        <f t="shared" si="39"/>
        <v>41529</v>
      </c>
      <c r="S183" s="171">
        <f t="shared" si="33"/>
        <v>2426</v>
      </c>
      <c r="T183" s="169"/>
      <c r="U183" s="169">
        <f t="shared" si="34"/>
        <v>243</v>
      </c>
      <c r="V183" s="169"/>
      <c r="W183" s="169"/>
      <c r="X183" s="169"/>
      <c r="Y183" s="169"/>
      <c r="Z183" s="169"/>
      <c r="AA183" s="169"/>
      <c r="AB183" s="169"/>
      <c r="AC183" s="206"/>
      <c r="AD183" s="205">
        <v>100</v>
      </c>
      <c r="AE183" s="206">
        <v>10</v>
      </c>
      <c r="AF183" s="169"/>
      <c r="AG183" s="169">
        <f t="shared" si="42"/>
        <v>2779</v>
      </c>
      <c r="AH183" s="169">
        <f t="shared" si="40"/>
        <v>38750</v>
      </c>
      <c r="AI183" s="179"/>
    </row>
    <row r="184" spans="2:35" s="167" customFormat="1" ht="70.5" customHeight="1" x14ac:dyDescent="0.25">
      <c r="B184" s="161">
        <v>170</v>
      </c>
      <c r="C184" s="208">
        <v>100192</v>
      </c>
      <c r="D184" s="175" t="s">
        <v>1090</v>
      </c>
      <c r="E184" s="198" t="s">
        <v>1091</v>
      </c>
      <c r="F184" s="160" t="s">
        <v>1040</v>
      </c>
      <c r="G184" s="162" t="s">
        <v>1092</v>
      </c>
      <c r="H184" s="169">
        <v>24260</v>
      </c>
      <c r="I184" s="169">
        <f t="shared" si="37"/>
        <v>2426</v>
      </c>
      <c r="J184" s="169">
        <f t="shared" si="41"/>
        <v>13343</v>
      </c>
      <c r="K184" s="169">
        <v>1500</v>
      </c>
      <c r="L184" s="169"/>
      <c r="M184" s="169"/>
      <c r="N184" s="169"/>
      <c r="O184" s="169"/>
      <c r="P184" s="169"/>
      <c r="Q184" s="169"/>
      <c r="R184" s="170">
        <f t="shared" si="39"/>
        <v>41529</v>
      </c>
      <c r="S184" s="171">
        <f t="shared" si="33"/>
        <v>2426</v>
      </c>
      <c r="T184" s="169"/>
      <c r="U184" s="169">
        <f t="shared" si="34"/>
        <v>243</v>
      </c>
      <c r="V184" s="169"/>
      <c r="W184" s="169">
        <v>2650</v>
      </c>
      <c r="X184" s="169">
        <v>180</v>
      </c>
      <c r="Y184" s="169">
        <v>20</v>
      </c>
      <c r="Z184" s="169">
        <v>5</v>
      </c>
      <c r="AA184" s="169">
        <v>175</v>
      </c>
      <c r="AB184" s="169"/>
      <c r="AC184" s="206"/>
      <c r="AD184" s="205">
        <v>100</v>
      </c>
      <c r="AE184" s="206">
        <v>10</v>
      </c>
      <c r="AF184" s="169"/>
      <c r="AG184" s="169">
        <f t="shared" si="42"/>
        <v>5809</v>
      </c>
      <c r="AH184" s="169">
        <f t="shared" si="40"/>
        <v>35720</v>
      </c>
      <c r="AI184" s="179"/>
    </row>
    <row r="185" spans="2:35" s="167" customFormat="1" ht="70.5" customHeight="1" x14ac:dyDescent="0.25">
      <c r="B185" s="161">
        <v>171</v>
      </c>
      <c r="C185" s="208">
        <v>100193</v>
      </c>
      <c r="D185" s="175" t="s">
        <v>1093</v>
      </c>
      <c r="E185" s="198" t="s">
        <v>1094</v>
      </c>
      <c r="F185" s="160" t="s">
        <v>1029</v>
      </c>
      <c r="G185" s="162" t="s">
        <v>1095</v>
      </c>
      <c r="H185" s="169">
        <v>24260</v>
      </c>
      <c r="I185" s="169">
        <f t="shared" si="37"/>
        <v>2426</v>
      </c>
      <c r="J185" s="169">
        <f t="shared" si="41"/>
        <v>13343</v>
      </c>
      <c r="K185" s="169">
        <v>1500</v>
      </c>
      <c r="L185" s="169"/>
      <c r="M185" s="169"/>
      <c r="N185" s="169"/>
      <c r="O185" s="169"/>
      <c r="P185" s="169"/>
      <c r="Q185" s="169"/>
      <c r="R185" s="170">
        <f t="shared" si="39"/>
        <v>41529</v>
      </c>
      <c r="S185" s="171">
        <f t="shared" si="33"/>
        <v>2426</v>
      </c>
      <c r="T185" s="169"/>
      <c r="U185" s="169">
        <f t="shared" si="34"/>
        <v>243</v>
      </c>
      <c r="V185" s="169"/>
      <c r="W185" s="169">
        <v>2650</v>
      </c>
      <c r="X185" s="169">
        <v>180</v>
      </c>
      <c r="Y185" s="169">
        <v>20</v>
      </c>
      <c r="Z185" s="169">
        <v>5</v>
      </c>
      <c r="AA185" s="169">
        <v>175</v>
      </c>
      <c r="AB185" s="169"/>
      <c r="AC185" s="206"/>
      <c r="AD185" s="205">
        <v>100</v>
      </c>
      <c r="AE185" s="206">
        <v>10</v>
      </c>
      <c r="AF185" s="169"/>
      <c r="AG185" s="169">
        <f t="shared" si="42"/>
        <v>5809</v>
      </c>
      <c r="AH185" s="169">
        <f t="shared" si="40"/>
        <v>35720</v>
      </c>
      <c r="AI185" s="179"/>
    </row>
    <row r="186" spans="2:35" s="167" customFormat="1" ht="70.5" customHeight="1" x14ac:dyDescent="0.25">
      <c r="B186" s="161">
        <v>172</v>
      </c>
      <c r="C186" s="208">
        <v>100194</v>
      </c>
      <c r="D186" s="175" t="s">
        <v>1096</v>
      </c>
      <c r="E186" s="198" t="s">
        <v>1097</v>
      </c>
      <c r="F186" s="160" t="s">
        <v>1029</v>
      </c>
      <c r="G186" s="162" t="s">
        <v>1098</v>
      </c>
      <c r="H186" s="169">
        <v>24260</v>
      </c>
      <c r="I186" s="169">
        <f t="shared" si="37"/>
        <v>2426</v>
      </c>
      <c r="J186" s="169">
        <f t="shared" si="41"/>
        <v>13343</v>
      </c>
      <c r="K186" s="169">
        <v>1500</v>
      </c>
      <c r="L186" s="169"/>
      <c r="M186" s="169"/>
      <c r="N186" s="169"/>
      <c r="O186" s="169"/>
      <c r="P186" s="169"/>
      <c r="Q186" s="169"/>
      <c r="R186" s="170">
        <f t="shared" si="39"/>
        <v>41529</v>
      </c>
      <c r="S186" s="171">
        <f t="shared" si="33"/>
        <v>2426</v>
      </c>
      <c r="T186" s="169"/>
      <c r="U186" s="169">
        <f t="shared" si="34"/>
        <v>243</v>
      </c>
      <c r="V186" s="169"/>
      <c r="W186" s="169"/>
      <c r="X186" s="169"/>
      <c r="Y186" s="169"/>
      <c r="Z186" s="169"/>
      <c r="AA186" s="169"/>
      <c r="AB186" s="169"/>
      <c r="AC186" s="206"/>
      <c r="AD186" s="205">
        <v>100</v>
      </c>
      <c r="AE186" s="206">
        <v>10</v>
      </c>
      <c r="AF186" s="169"/>
      <c r="AG186" s="169">
        <f t="shared" si="42"/>
        <v>2779</v>
      </c>
      <c r="AH186" s="169">
        <f t="shared" si="40"/>
        <v>38750</v>
      </c>
      <c r="AI186" s="179"/>
    </row>
    <row r="187" spans="2:35" s="167" customFormat="1" ht="70.5" customHeight="1" x14ac:dyDescent="0.25">
      <c r="B187" s="161">
        <v>173</v>
      </c>
      <c r="C187" s="208">
        <v>100195</v>
      </c>
      <c r="D187" s="175" t="s">
        <v>1099</v>
      </c>
      <c r="E187" s="198" t="s">
        <v>1100</v>
      </c>
      <c r="F187" s="160" t="s">
        <v>1040</v>
      </c>
      <c r="G187" s="162" t="s">
        <v>1101</v>
      </c>
      <c r="H187" s="169">
        <v>24260</v>
      </c>
      <c r="I187" s="169">
        <f t="shared" si="37"/>
        <v>2426</v>
      </c>
      <c r="J187" s="169">
        <f t="shared" si="41"/>
        <v>13343</v>
      </c>
      <c r="K187" s="169">
        <v>1500</v>
      </c>
      <c r="L187" s="169"/>
      <c r="M187" s="169"/>
      <c r="N187" s="169"/>
      <c r="O187" s="169"/>
      <c r="P187" s="169"/>
      <c r="Q187" s="169"/>
      <c r="R187" s="170">
        <f t="shared" si="39"/>
        <v>41529</v>
      </c>
      <c r="S187" s="171">
        <f t="shared" si="33"/>
        <v>2426</v>
      </c>
      <c r="T187" s="169"/>
      <c r="U187" s="169">
        <f t="shared" si="34"/>
        <v>243</v>
      </c>
      <c r="V187" s="169"/>
      <c r="W187" s="169"/>
      <c r="X187" s="169"/>
      <c r="Y187" s="169"/>
      <c r="Z187" s="169"/>
      <c r="AA187" s="169"/>
      <c r="AB187" s="169"/>
      <c r="AC187" s="206"/>
      <c r="AD187" s="205">
        <v>100</v>
      </c>
      <c r="AE187" s="206">
        <v>10</v>
      </c>
      <c r="AF187" s="169"/>
      <c r="AG187" s="169">
        <f t="shared" si="42"/>
        <v>2779</v>
      </c>
      <c r="AH187" s="169">
        <f t="shared" si="40"/>
        <v>38750</v>
      </c>
      <c r="AI187" s="179"/>
    </row>
    <row r="188" spans="2:35" s="167" customFormat="1" ht="70.5" customHeight="1" x14ac:dyDescent="0.25">
      <c r="B188" s="161">
        <v>174</v>
      </c>
      <c r="C188" s="208">
        <v>100197</v>
      </c>
      <c r="D188" s="175" t="s">
        <v>1102</v>
      </c>
      <c r="E188" s="198" t="s">
        <v>1103</v>
      </c>
      <c r="F188" s="160" t="s">
        <v>1104</v>
      </c>
      <c r="G188" s="162" t="s">
        <v>1105</v>
      </c>
      <c r="H188" s="169">
        <v>24260</v>
      </c>
      <c r="I188" s="169">
        <f t="shared" si="37"/>
        <v>2426</v>
      </c>
      <c r="J188" s="169">
        <f t="shared" si="41"/>
        <v>13343</v>
      </c>
      <c r="K188" s="169">
        <v>1500</v>
      </c>
      <c r="L188" s="169"/>
      <c r="M188" s="169"/>
      <c r="N188" s="169"/>
      <c r="O188" s="169"/>
      <c r="P188" s="169"/>
      <c r="Q188" s="169"/>
      <c r="R188" s="170">
        <f t="shared" si="39"/>
        <v>41529</v>
      </c>
      <c r="S188" s="171">
        <f t="shared" si="33"/>
        <v>2426</v>
      </c>
      <c r="T188" s="169"/>
      <c r="U188" s="169">
        <f t="shared" si="34"/>
        <v>243</v>
      </c>
      <c r="V188" s="169"/>
      <c r="W188" s="169"/>
      <c r="X188" s="169"/>
      <c r="Y188" s="169"/>
      <c r="Z188" s="169"/>
      <c r="AA188" s="169"/>
      <c r="AB188" s="169"/>
      <c r="AC188" s="206"/>
      <c r="AD188" s="205">
        <v>100</v>
      </c>
      <c r="AE188" s="206">
        <v>10</v>
      </c>
      <c r="AF188" s="169"/>
      <c r="AG188" s="169">
        <f t="shared" si="42"/>
        <v>2779</v>
      </c>
      <c r="AH188" s="169">
        <f t="shared" si="40"/>
        <v>38750</v>
      </c>
      <c r="AI188" s="179"/>
    </row>
    <row r="189" spans="2:35" s="167" customFormat="1" ht="70.5" customHeight="1" x14ac:dyDescent="0.25">
      <c r="B189" s="161">
        <v>175</v>
      </c>
      <c r="C189" s="208">
        <v>100198</v>
      </c>
      <c r="D189" s="175" t="s">
        <v>1106</v>
      </c>
      <c r="E189" s="198" t="s">
        <v>1107</v>
      </c>
      <c r="F189" s="160" t="s">
        <v>1108</v>
      </c>
      <c r="G189" s="162" t="s">
        <v>1109</v>
      </c>
      <c r="H189" s="169">
        <v>24260</v>
      </c>
      <c r="I189" s="169">
        <f t="shared" si="37"/>
        <v>2426</v>
      </c>
      <c r="J189" s="169">
        <f t="shared" si="41"/>
        <v>13343</v>
      </c>
      <c r="K189" s="169">
        <v>1500</v>
      </c>
      <c r="L189" s="169"/>
      <c r="M189" s="169"/>
      <c r="N189" s="169"/>
      <c r="O189" s="169"/>
      <c r="P189" s="169"/>
      <c r="Q189" s="169"/>
      <c r="R189" s="170">
        <f t="shared" si="39"/>
        <v>41529</v>
      </c>
      <c r="S189" s="171">
        <f t="shared" si="33"/>
        <v>2426</v>
      </c>
      <c r="T189" s="169"/>
      <c r="U189" s="169">
        <f t="shared" si="34"/>
        <v>243</v>
      </c>
      <c r="V189" s="169"/>
      <c r="W189" s="169"/>
      <c r="X189" s="169"/>
      <c r="Y189" s="169"/>
      <c r="Z189" s="169"/>
      <c r="AA189" s="169"/>
      <c r="AB189" s="169"/>
      <c r="AC189" s="206"/>
      <c r="AD189" s="205">
        <v>100</v>
      </c>
      <c r="AE189" s="206">
        <v>10</v>
      </c>
      <c r="AF189" s="169"/>
      <c r="AG189" s="169">
        <f t="shared" si="42"/>
        <v>2779</v>
      </c>
      <c r="AH189" s="169">
        <f t="shared" si="40"/>
        <v>38750</v>
      </c>
      <c r="AI189" s="179"/>
    </row>
    <row r="190" spans="2:35" s="167" customFormat="1" ht="70.5" customHeight="1" x14ac:dyDescent="0.25">
      <c r="B190" s="161">
        <v>176</v>
      </c>
      <c r="C190" s="208">
        <v>100200</v>
      </c>
      <c r="D190" s="175" t="s">
        <v>1110</v>
      </c>
      <c r="E190" s="198" t="s">
        <v>1111</v>
      </c>
      <c r="F190" s="160" t="s">
        <v>1112</v>
      </c>
      <c r="G190" s="162" t="s">
        <v>1113</v>
      </c>
      <c r="H190" s="169">
        <v>24260</v>
      </c>
      <c r="I190" s="169">
        <f t="shared" si="37"/>
        <v>2426</v>
      </c>
      <c r="J190" s="169">
        <f t="shared" si="41"/>
        <v>13343</v>
      </c>
      <c r="K190" s="169">
        <v>1500</v>
      </c>
      <c r="L190" s="169"/>
      <c r="M190" s="169"/>
      <c r="N190" s="169"/>
      <c r="O190" s="169"/>
      <c r="P190" s="169"/>
      <c r="Q190" s="169"/>
      <c r="R190" s="170">
        <f t="shared" si="39"/>
        <v>41529</v>
      </c>
      <c r="S190" s="171">
        <f t="shared" si="33"/>
        <v>2426</v>
      </c>
      <c r="T190" s="169"/>
      <c r="U190" s="169">
        <f t="shared" si="34"/>
        <v>243</v>
      </c>
      <c r="V190" s="169"/>
      <c r="W190" s="169"/>
      <c r="X190" s="169"/>
      <c r="Y190" s="169"/>
      <c r="Z190" s="169"/>
      <c r="AA190" s="169"/>
      <c r="AB190" s="169"/>
      <c r="AC190" s="206"/>
      <c r="AD190" s="205">
        <v>100</v>
      </c>
      <c r="AE190" s="206">
        <v>10</v>
      </c>
      <c r="AF190" s="169"/>
      <c r="AG190" s="169">
        <f t="shared" si="42"/>
        <v>2779</v>
      </c>
      <c r="AH190" s="169">
        <f t="shared" si="40"/>
        <v>38750</v>
      </c>
      <c r="AI190" s="179"/>
    </row>
    <row r="191" spans="2:35" s="167" customFormat="1" ht="70.5" customHeight="1" x14ac:dyDescent="0.25">
      <c r="B191" s="161">
        <v>177</v>
      </c>
      <c r="C191" s="208">
        <v>100199</v>
      </c>
      <c r="D191" s="175" t="s">
        <v>1114</v>
      </c>
      <c r="E191" s="198" t="s">
        <v>1115</v>
      </c>
      <c r="F191" s="160" t="s">
        <v>1116</v>
      </c>
      <c r="G191" s="162" t="s">
        <v>1117</v>
      </c>
      <c r="H191" s="169">
        <v>24260</v>
      </c>
      <c r="I191" s="169">
        <f t="shared" si="37"/>
        <v>2426</v>
      </c>
      <c r="J191" s="169">
        <f t="shared" si="41"/>
        <v>13343</v>
      </c>
      <c r="K191" s="169">
        <v>1500</v>
      </c>
      <c r="L191" s="169"/>
      <c r="M191" s="169"/>
      <c r="N191" s="169"/>
      <c r="O191" s="169"/>
      <c r="P191" s="169"/>
      <c r="Q191" s="169"/>
      <c r="R191" s="170">
        <f t="shared" si="39"/>
        <v>41529</v>
      </c>
      <c r="S191" s="171">
        <f t="shared" si="33"/>
        <v>2426</v>
      </c>
      <c r="T191" s="169"/>
      <c r="U191" s="169">
        <f t="shared" si="34"/>
        <v>243</v>
      </c>
      <c r="V191" s="169"/>
      <c r="W191" s="169"/>
      <c r="X191" s="169"/>
      <c r="Y191" s="169"/>
      <c r="Z191" s="169"/>
      <c r="AA191" s="169"/>
      <c r="AB191" s="169"/>
      <c r="AC191" s="206"/>
      <c r="AD191" s="205">
        <v>100</v>
      </c>
      <c r="AE191" s="206">
        <v>10</v>
      </c>
      <c r="AF191" s="169"/>
      <c r="AG191" s="169">
        <f t="shared" si="42"/>
        <v>2779</v>
      </c>
      <c r="AH191" s="169">
        <f t="shared" si="40"/>
        <v>38750</v>
      </c>
      <c r="AI191" s="179"/>
    </row>
    <row r="192" spans="2:35" s="167" customFormat="1" ht="11.25" customHeight="1" x14ac:dyDescent="0.25">
      <c r="B192" s="161"/>
      <c r="C192" s="161"/>
      <c r="D192" s="175"/>
      <c r="E192" s="245"/>
      <c r="F192" s="245"/>
      <c r="G192" s="246"/>
      <c r="H192" s="169"/>
      <c r="I192" s="169"/>
      <c r="J192" s="169"/>
      <c r="K192" s="169"/>
      <c r="L192" s="169"/>
      <c r="M192" s="169"/>
      <c r="N192" s="169"/>
      <c r="O192" s="169"/>
      <c r="P192" s="169"/>
      <c r="Q192" s="169"/>
      <c r="R192" s="170"/>
      <c r="S192" s="171">
        <f>ROUND((H192*10%),0)</f>
        <v>0</v>
      </c>
      <c r="T192" s="169"/>
      <c r="U192" s="169"/>
      <c r="V192" s="169"/>
      <c r="W192" s="169"/>
      <c r="X192" s="169"/>
      <c r="Y192" s="169"/>
      <c r="Z192" s="169"/>
      <c r="AA192" s="169"/>
      <c r="AB192" s="169"/>
      <c r="AC192" s="169"/>
      <c r="AD192" s="205"/>
      <c r="AE192" s="169"/>
      <c r="AF192" s="169"/>
      <c r="AG192" s="169"/>
      <c r="AH192" s="169"/>
      <c r="AI192" s="170"/>
    </row>
    <row r="193" spans="2:35" s="142" customFormat="1" ht="17.25" x14ac:dyDescent="0.35">
      <c r="B193" s="247"/>
      <c r="C193" s="247"/>
      <c r="D193" s="161" t="s">
        <v>1118</v>
      </c>
      <c r="E193" s="157"/>
      <c r="F193" s="157"/>
      <c r="G193" s="158"/>
      <c r="H193" s="248">
        <f>SUM(H11:H192)</f>
        <v>7478260</v>
      </c>
      <c r="I193" s="248">
        <f t="shared" ref="I193:AI193" si="43">SUM(I11:I192)</f>
        <v>747826</v>
      </c>
      <c r="J193" s="248">
        <f t="shared" si="43"/>
        <v>3025119</v>
      </c>
      <c r="K193" s="248">
        <f t="shared" si="43"/>
        <v>241500</v>
      </c>
      <c r="L193" s="248">
        <f t="shared" si="43"/>
        <v>3000</v>
      </c>
      <c r="M193" s="248">
        <f t="shared" si="43"/>
        <v>285468</v>
      </c>
      <c r="N193" s="248">
        <f t="shared" si="43"/>
        <v>0</v>
      </c>
      <c r="O193" s="248">
        <f t="shared" si="43"/>
        <v>0</v>
      </c>
      <c r="P193" s="248">
        <f t="shared" si="43"/>
        <v>185600</v>
      </c>
      <c r="Q193" s="248">
        <f t="shared" si="43"/>
        <v>31000</v>
      </c>
      <c r="R193" s="248">
        <f t="shared" si="43"/>
        <v>11997773</v>
      </c>
      <c r="S193" s="248">
        <f t="shared" si="43"/>
        <v>747826</v>
      </c>
      <c r="T193" s="248">
        <f t="shared" si="43"/>
        <v>338421</v>
      </c>
      <c r="U193" s="248">
        <f t="shared" si="43"/>
        <v>74807</v>
      </c>
      <c r="V193" s="248">
        <f t="shared" si="43"/>
        <v>0</v>
      </c>
      <c r="W193" s="248">
        <f t="shared" si="43"/>
        <v>15900</v>
      </c>
      <c r="X193" s="248">
        <f t="shared" si="43"/>
        <v>30240</v>
      </c>
      <c r="Y193" s="248">
        <f t="shared" si="43"/>
        <v>2540</v>
      </c>
      <c r="Z193" s="248">
        <f t="shared" si="43"/>
        <v>780</v>
      </c>
      <c r="AA193" s="248">
        <f t="shared" si="43"/>
        <v>51664</v>
      </c>
      <c r="AB193" s="248">
        <f t="shared" si="43"/>
        <v>9100</v>
      </c>
      <c r="AC193" s="248">
        <f t="shared" si="43"/>
        <v>91903</v>
      </c>
      <c r="AD193" s="248">
        <f t="shared" si="43"/>
        <v>16100</v>
      </c>
      <c r="AE193" s="248">
        <f t="shared" si="43"/>
        <v>1610</v>
      </c>
      <c r="AF193" s="248">
        <f t="shared" si="43"/>
        <v>0</v>
      </c>
      <c r="AG193" s="248">
        <f t="shared" si="43"/>
        <v>1380891</v>
      </c>
      <c r="AH193" s="248">
        <f t="shared" si="43"/>
        <v>10616882</v>
      </c>
      <c r="AI193" s="248">
        <f t="shared" si="43"/>
        <v>0</v>
      </c>
    </row>
    <row r="194" spans="2:35" s="249" customFormat="1" ht="18.75" customHeight="1" x14ac:dyDescent="0.35">
      <c r="D194" s="213"/>
      <c r="E194" s="250"/>
      <c r="F194" s="250"/>
      <c r="G194" s="251"/>
      <c r="H194" s="474" t="s">
        <v>318</v>
      </c>
      <c r="I194" s="474"/>
      <c r="J194" s="474"/>
      <c r="K194" s="474"/>
      <c r="L194" s="474"/>
      <c r="M194" s="474"/>
      <c r="N194" s="474"/>
      <c r="O194" s="474"/>
      <c r="P194" s="474"/>
      <c r="Q194" s="474"/>
      <c r="R194" s="474"/>
      <c r="S194" s="474"/>
      <c r="T194" s="474"/>
      <c r="U194" s="474"/>
      <c r="V194" s="474"/>
      <c r="W194" s="474"/>
      <c r="X194" s="474"/>
      <c r="Y194" s="474"/>
      <c r="Z194" s="474"/>
      <c r="AA194" s="474"/>
      <c r="AB194" s="474"/>
      <c r="AC194" s="474"/>
      <c r="AD194" s="474"/>
      <c r="AE194" s="474"/>
      <c r="AF194" s="474"/>
      <c r="AG194" s="474"/>
      <c r="AH194" s="474"/>
      <c r="AI194" s="474"/>
    </row>
    <row r="195" spans="2:35" s="142" customFormat="1" ht="33" customHeight="1" x14ac:dyDescent="0.35">
      <c r="D195" s="167"/>
      <c r="E195" s="252"/>
      <c r="F195" s="252"/>
      <c r="G195" s="253"/>
      <c r="H195" s="243"/>
      <c r="I195" s="243"/>
      <c r="J195" s="243"/>
      <c r="K195" s="243"/>
      <c r="M195" s="243"/>
      <c r="N195" s="243"/>
      <c r="O195" s="243"/>
      <c r="R195" s="244"/>
      <c r="S195" s="254"/>
      <c r="U195" s="243"/>
      <c r="V195" s="243"/>
      <c r="AC195" s="243"/>
      <c r="AD195" s="243"/>
      <c r="AE195" s="243"/>
      <c r="AF195" s="243"/>
      <c r="AG195" s="243"/>
      <c r="AH195" s="243"/>
    </row>
    <row r="196" spans="2:35" s="142" customFormat="1" ht="25.5" customHeight="1" x14ac:dyDescent="0.35">
      <c r="D196" s="167"/>
      <c r="E196" s="252"/>
      <c r="F196" s="252"/>
      <c r="G196" s="253"/>
      <c r="H196" s="243"/>
      <c r="I196" s="243"/>
      <c r="J196" s="243"/>
      <c r="K196" s="243"/>
      <c r="M196" s="243"/>
      <c r="N196" s="243"/>
      <c r="O196" s="243"/>
      <c r="Q196" s="167"/>
      <c r="R196" s="244"/>
      <c r="S196" s="254"/>
      <c r="U196" s="243"/>
      <c r="V196" s="243"/>
      <c r="AC196" s="243"/>
      <c r="AD196" s="243"/>
      <c r="AE196" s="243"/>
      <c r="AF196" s="243"/>
      <c r="AG196" s="243"/>
      <c r="AH196" s="243"/>
    </row>
    <row r="197" spans="2:35" s="142" customFormat="1" x14ac:dyDescent="0.35">
      <c r="D197" s="167"/>
      <c r="E197" s="252"/>
      <c r="F197" s="252"/>
      <c r="G197" s="253"/>
      <c r="H197" s="255"/>
      <c r="I197" s="255"/>
      <c r="J197" s="255"/>
      <c r="K197" s="255"/>
      <c r="L197" s="255"/>
      <c r="M197" s="255"/>
      <c r="N197" s="255"/>
      <c r="O197" s="255"/>
      <c r="P197" s="255"/>
      <c r="Q197" s="255"/>
      <c r="R197" s="255"/>
      <c r="S197" s="256"/>
      <c r="T197" s="255"/>
      <c r="U197" s="255"/>
      <c r="V197" s="255"/>
      <c r="W197" s="255"/>
      <c r="X197" s="255"/>
      <c r="Y197" s="255"/>
      <c r="Z197" s="255"/>
      <c r="AA197" s="255"/>
      <c r="AB197" s="255"/>
      <c r="AC197" s="255"/>
      <c r="AD197" s="243"/>
      <c r="AE197" s="243"/>
      <c r="AF197" s="243"/>
      <c r="AG197" s="243"/>
      <c r="AH197" s="243"/>
    </row>
    <row r="198" spans="2:35" s="142" customFormat="1" x14ac:dyDescent="0.35">
      <c r="D198" s="167"/>
      <c r="E198" s="252"/>
      <c r="F198" s="252"/>
      <c r="G198" s="253"/>
      <c r="H198" s="243"/>
      <c r="I198" s="243"/>
      <c r="J198" s="243"/>
      <c r="K198" s="243"/>
      <c r="M198" s="243"/>
      <c r="N198" s="243"/>
      <c r="O198" s="243"/>
      <c r="R198" s="244"/>
      <c r="S198" s="254"/>
      <c r="U198" s="243"/>
      <c r="V198" s="243"/>
      <c r="AC198" s="243"/>
      <c r="AD198" s="243"/>
      <c r="AE198" s="243"/>
      <c r="AF198" s="243"/>
      <c r="AG198" s="243"/>
      <c r="AH198" s="243"/>
    </row>
    <row r="199" spans="2:35" s="142" customFormat="1" ht="37.5" customHeight="1" x14ac:dyDescent="0.35">
      <c r="D199" s="167"/>
      <c r="E199" s="252"/>
      <c r="F199" s="252"/>
      <c r="G199" s="253"/>
      <c r="H199" s="243"/>
      <c r="I199" s="243"/>
      <c r="J199" s="243"/>
      <c r="K199" s="243"/>
      <c r="M199" s="243"/>
      <c r="N199" s="243"/>
      <c r="O199" s="243"/>
      <c r="R199" s="244"/>
      <c r="S199" s="254"/>
      <c r="U199" s="243"/>
      <c r="V199" s="243"/>
      <c r="AC199" s="243"/>
      <c r="AD199" s="243"/>
      <c r="AE199" s="243"/>
      <c r="AF199" s="243"/>
      <c r="AG199" s="243"/>
      <c r="AH199" s="243"/>
    </row>
    <row r="200" spans="2:35" s="142" customFormat="1" x14ac:dyDescent="0.35">
      <c r="D200" s="167"/>
      <c r="E200" s="252"/>
      <c r="F200" s="252"/>
      <c r="G200" s="253"/>
      <c r="H200" s="243"/>
      <c r="I200" s="243"/>
      <c r="J200" s="243"/>
      <c r="K200" s="243"/>
      <c r="M200" s="243"/>
      <c r="N200" s="243"/>
      <c r="O200" s="243"/>
      <c r="P200" s="257"/>
      <c r="R200" s="244"/>
      <c r="S200" s="254"/>
      <c r="U200" s="243"/>
      <c r="V200" s="243"/>
      <c r="AC200" s="243"/>
      <c r="AD200" s="243"/>
      <c r="AE200" s="243"/>
      <c r="AF200" s="243"/>
      <c r="AG200" s="243"/>
      <c r="AH200" s="243"/>
    </row>
    <row r="237" spans="3:54" ht="142.5" x14ac:dyDescent="0.35">
      <c r="C237" s="260" t="s">
        <v>1119</v>
      </c>
      <c r="D237" s="141"/>
      <c r="E237" s="141"/>
      <c r="F237" s="141"/>
      <c r="G237" s="141"/>
      <c r="H237" s="141"/>
      <c r="I237" s="141"/>
      <c r="J237" s="141"/>
      <c r="K237" s="141"/>
      <c r="L237" s="141"/>
      <c r="M237" s="141"/>
      <c r="N237" s="141"/>
      <c r="O237" s="141"/>
      <c r="P237" s="141"/>
      <c r="Q237" s="141"/>
      <c r="R237" s="141"/>
      <c r="S237" s="141"/>
      <c r="T237" s="141"/>
      <c r="U237" s="141"/>
      <c r="V237" s="141"/>
      <c r="W237" s="141"/>
      <c r="X237" s="141"/>
      <c r="Y237" s="141"/>
      <c r="Z237" s="141"/>
      <c r="AA237" s="141"/>
      <c r="AB237" s="141"/>
      <c r="AC237" s="141"/>
      <c r="AD237" s="141"/>
      <c r="AE237" s="141"/>
      <c r="AF237" s="141"/>
      <c r="AG237" s="141"/>
      <c r="AH237" s="141"/>
      <c r="AI237" s="141"/>
      <c r="AJ237" s="141"/>
      <c r="AK237" s="141"/>
      <c r="AL237" s="141"/>
      <c r="AM237" s="141"/>
      <c r="AN237" s="141"/>
      <c r="AO237" s="141"/>
      <c r="AP237" s="141"/>
      <c r="AQ237" s="141"/>
      <c r="AR237" s="141"/>
      <c r="AS237" s="141"/>
      <c r="AT237" s="141"/>
      <c r="AU237" s="141"/>
      <c r="AV237" s="141"/>
      <c r="AW237" s="141"/>
      <c r="AX237" s="141"/>
      <c r="AY237" s="141"/>
      <c r="AZ237" s="141"/>
      <c r="BA237" s="141"/>
      <c r="BB237" s="141"/>
    </row>
  </sheetData>
  <mergeCells count="36">
    <mergeCell ref="A6:AF6"/>
    <mergeCell ref="B1:AI1"/>
    <mergeCell ref="B2:AI2"/>
    <mergeCell ref="B3:AI3"/>
    <mergeCell ref="A4:AF4"/>
    <mergeCell ref="A5:AF5"/>
    <mergeCell ref="AI7:AI9"/>
    <mergeCell ref="H8:H9"/>
    <mergeCell ref="J8:J9"/>
    <mergeCell ref="K8:K9"/>
    <mergeCell ref="L8:L9"/>
    <mergeCell ref="Q8:Q9"/>
    <mergeCell ref="R8:R9"/>
    <mergeCell ref="S8:T8"/>
    <mergeCell ref="U8:U9"/>
    <mergeCell ref="B7:B8"/>
    <mergeCell ref="D7:D9"/>
    <mergeCell ref="H7:R7"/>
    <mergeCell ref="S7:AG7"/>
    <mergeCell ref="B54:D54"/>
    <mergeCell ref="H194:AI194"/>
    <mergeCell ref="AB8:AB9"/>
    <mergeCell ref="AC8:AC9"/>
    <mergeCell ref="AD8:AD9"/>
    <mergeCell ref="AE8:AE9"/>
    <mergeCell ref="AF8:AF9"/>
    <mergeCell ref="AG8:AG9"/>
    <mergeCell ref="V8:V9"/>
    <mergeCell ref="W8:W9"/>
    <mergeCell ref="X8:X9"/>
    <mergeCell ref="Y8:Y9"/>
    <mergeCell ref="Z8:Z9"/>
    <mergeCell ref="AA8:AA9"/>
    <mergeCell ref="M8:M9"/>
    <mergeCell ref="P8:P9"/>
    <mergeCell ref="AH7:AH9"/>
  </mergeCells>
  <conditionalFormatting sqref="G117">
    <cfRule type="duplicateValues" dxfId="23" priority="20"/>
  </conditionalFormatting>
  <conditionalFormatting sqref="G58">
    <cfRule type="duplicateValues" dxfId="22" priority="19"/>
  </conditionalFormatting>
  <conditionalFormatting sqref="G58">
    <cfRule type="duplicateValues" dxfId="21" priority="15"/>
    <cfRule type="duplicateValues" dxfId="20" priority="16"/>
    <cfRule type="duplicateValues" dxfId="19" priority="17"/>
    <cfRule type="duplicateValues" dxfId="18" priority="18"/>
  </conditionalFormatting>
  <conditionalFormatting sqref="G40">
    <cfRule type="duplicateValues" dxfId="17" priority="14"/>
  </conditionalFormatting>
  <conditionalFormatting sqref="G40">
    <cfRule type="duplicateValues" dxfId="16" priority="10"/>
    <cfRule type="duplicateValues" dxfId="15" priority="11"/>
    <cfRule type="duplicateValues" dxfId="14" priority="12"/>
    <cfRule type="duplicateValues" dxfId="13" priority="13"/>
  </conditionalFormatting>
  <conditionalFormatting sqref="G60">
    <cfRule type="duplicateValues" dxfId="12" priority="9"/>
  </conditionalFormatting>
  <conditionalFormatting sqref="G60">
    <cfRule type="duplicateValues" dxfId="11" priority="5"/>
    <cfRule type="duplicateValues" dxfId="10" priority="6"/>
    <cfRule type="duplicateValues" dxfId="9" priority="7"/>
    <cfRule type="duplicateValues" dxfId="8" priority="8"/>
  </conditionalFormatting>
  <conditionalFormatting sqref="G23">
    <cfRule type="expression" dxfId="7" priority="21" stopIfTrue="1">
      <formula>AND(COUNTIF(#REF!, G23)+COUNTIF($G$23:$G$23, G23)&gt;1,NOT(ISBLANK(G23)))</formula>
    </cfRule>
  </conditionalFormatting>
  <conditionalFormatting sqref="G23">
    <cfRule type="expression" dxfId="6" priority="22" stopIfTrue="1">
      <formula>AND(COUNTIF(#REF!, G23)+COUNTIF($G$23:$G$23, G23)&gt;1,NOT(ISBLANK(G23)))</formula>
    </cfRule>
    <cfRule type="expression" dxfId="5" priority="23" stopIfTrue="1">
      <formula>AND(COUNTIF(#REF!, G23)+COUNTIF($G$23:$G$23, G23)&gt;1,NOT(ISBLANK(G23)))</formula>
    </cfRule>
    <cfRule type="expression" dxfId="4" priority="24" stopIfTrue="1">
      <formula>AND(COUNTIF(#REF!, G23)+COUNTIF($G$23:$G$23, G23)&gt;1,NOT(ISBLANK(G23)))</formula>
    </cfRule>
  </conditionalFormatting>
  <conditionalFormatting sqref="G56">
    <cfRule type="expression" dxfId="3" priority="1" stopIfTrue="1">
      <formula>AND(COUNTIF($G$56:$G$56, G56)+COUNTIF($G$23:$G$23, G56)&gt;1,NOT(ISBLANK(G56)))</formula>
    </cfRule>
  </conditionalFormatting>
  <conditionalFormatting sqref="G56">
    <cfRule type="expression" dxfId="2" priority="2" stopIfTrue="1">
      <formula>AND(COUNTIF($G$56:$G$56, G56)+COUNTIF($G$23:$G$23, G56)&gt;1,NOT(ISBLANK(G56)))</formula>
    </cfRule>
    <cfRule type="expression" dxfId="1" priority="3" stopIfTrue="1">
      <formula>AND(COUNTIF($G$56:$G$56, G56)+COUNTIF($G$23:$G$23, G56)&gt;1,NOT(ISBLANK(G56)))</formula>
    </cfRule>
    <cfRule type="expression" dxfId="0" priority="4" stopIfTrue="1">
      <formula>AND(COUNTIF($G$56:$G$56, G56)+COUNTIF($G$23:$G$23, G56)&gt;1,NOT(ISBLANK(G56)))</formula>
    </cfRule>
  </conditionalFormatting>
  <dataValidations count="1">
    <dataValidation type="whole" operator="greaterThanOrEqual" allowBlank="1" showInputMessage="1" showErrorMessage="1" promptTitle="Worrong Entry !" prompt="Please Entry Round Figer." sqref="L192 JH192 TD192 ACZ192 AMV192 AWR192 BGN192 BQJ192 CAF192 CKB192 CTX192 DDT192 DNP192 DXL192 EHH192 ERD192 FAZ192 FKV192 FUR192 GEN192 GOJ192 GYF192 HIB192 HRX192 IBT192 ILP192 IVL192 JFH192 JPD192 JYZ192 KIV192 KSR192 LCN192 LMJ192 LWF192 MGB192 MPX192 MZT192 NJP192 NTL192 ODH192 OND192 OWZ192 PGV192 PQR192 QAN192 QKJ192 QUF192 REB192 RNX192 RXT192 SHP192 SRL192 TBH192 TLD192 TUZ192 UEV192 UOR192 UYN192 VIJ192 VSF192 WCB192 WLX192 WVT192 L65728 JH65728 TD65728 ACZ65728 AMV65728 AWR65728 BGN65728 BQJ65728 CAF65728 CKB65728 CTX65728 DDT65728 DNP65728 DXL65728 EHH65728 ERD65728 FAZ65728 FKV65728 FUR65728 GEN65728 GOJ65728 GYF65728 HIB65728 HRX65728 IBT65728 ILP65728 IVL65728 JFH65728 JPD65728 JYZ65728 KIV65728 KSR65728 LCN65728 LMJ65728 LWF65728 MGB65728 MPX65728 MZT65728 NJP65728 NTL65728 ODH65728 OND65728 OWZ65728 PGV65728 PQR65728 QAN65728 QKJ65728 QUF65728 REB65728 RNX65728 RXT65728 SHP65728 SRL65728 TBH65728 TLD65728 TUZ65728 UEV65728 UOR65728 UYN65728 VIJ65728 VSF65728 WCB65728 WLX65728 WVT65728 L131264 JH131264 TD131264 ACZ131264 AMV131264 AWR131264 BGN131264 BQJ131264 CAF131264 CKB131264 CTX131264 DDT131264 DNP131264 DXL131264 EHH131264 ERD131264 FAZ131264 FKV131264 FUR131264 GEN131264 GOJ131264 GYF131264 HIB131264 HRX131264 IBT131264 ILP131264 IVL131264 JFH131264 JPD131264 JYZ131264 KIV131264 KSR131264 LCN131264 LMJ131264 LWF131264 MGB131264 MPX131264 MZT131264 NJP131264 NTL131264 ODH131264 OND131264 OWZ131264 PGV131264 PQR131264 QAN131264 QKJ131264 QUF131264 REB131264 RNX131264 RXT131264 SHP131264 SRL131264 TBH131264 TLD131264 TUZ131264 UEV131264 UOR131264 UYN131264 VIJ131264 VSF131264 WCB131264 WLX131264 WVT131264 L196800 JH196800 TD196800 ACZ196800 AMV196800 AWR196800 BGN196800 BQJ196800 CAF196800 CKB196800 CTX196800 DDT196800 DNP196800 DXL196800 EHH196800 ERD196800 FAZ196800 FKV196800 FUR196800 GEN196800 GOJ196800 GYF196800 HIB196800 HRX196800 IBT196800 ILP196800 IVL196800 JFH196800 JPD196800 JYZ196800 KIV196800 KSR196800 LCN196800 LMJ196800 LWF196800 MGB196800 MPX196800 MZT196800 NJP196800 NTL196800 ODH196800 OND196800 OWZ196800 PGV196800 PQR196800 QAN196800 QKJ196800 QUF196800 REB196800 RNX196800 RXT196800 SHP196800 SRL196800 TBH196800 TLD196800 TUZ196800 UEV196800 UOR196800 UYN196800 VIJ196800 VSF196800 WCB196800 WLX196800 WVT196800 L262336 JH262336 TD262336 ACZ262336 AMV262336 AWR262336 BGN262336 BQJ262336 CAF262336 CKB262336 CTX262336 DDT262336 DNP262336 DXL262336 EHH262336 ERD262336 FAZ262336 FKV262336 FUR262336 GEN262336 GOJ262336 GYF262336 HIB262336 HRX262336 IBT262336 ILP262336 IVL262336 JFH262336 JPD262336 JYZ262336 KIV262336 KSR262336 LCN262336 LMJ262336 LWF262336 MGB262336 MPX262336 MZT262336 NJP262336 NTL262336 ODH262336 OND262336 OWZ262336 PGV262336 PQR262336 QAN262336 QKJ262336 QUF262336 REB262336 RNX262336 RXT262336 SHP262336 SRL262336 TBH262336 TLD262336 TUZ262336 UEV262336 UOR262336 UYN262336 VIJ262336 VSF262336 WCB262336 WLX262336 WVT262336 L327872 JH327872 TD327872 ACZ327872 AMV327872 AWR327872 BGN327872 BQJ327872 CAF327872 CKB327872 CTX327872 DDT327872 DNP327872 DXL327872 EHH327872 ERD327872 FAZ327872 FKV327872 FUR327872 GEN327872 GOJ327872 GYF327872 HIB327872 HRX327872 IBT327872 ILP327872 IVL327872 JFH327872 JPD327872 JYZ327872 KIV327872 KSR327872 LCN327872 LMJ327872 LWF327872 MGB327872 MPX327872 MZT327872 NJP327872 NTL327872 ODH327872 OND327872 OWZ327872 PGV327872 PQR327872 QAN327872 QKJ327872 QUF327872 REB327872 RNX327872 RXT327872 SHP327872 SRL327872 TBH327872 TLD327872 TUZ327872 UEV327872 UOR327872 UYN327872 VIJ327872 VSF327872 WCB327872 WLX327872 WVT327872 L393408 JH393408 TD393408 ACZ393408 AMV393408 AWR393408 BGN393408 BQJ393408 CAF393408 CKB393408 CTX393408 DDT393408 DNP393408 DXL393408 EHH393408 ERD393408 FAZ393408 FKV393408 FUR393408 GEN393408 GOJ393408 GYF393408 HIB393408 HRX393408 IBT393408 ILP393408 IVL393408 JFH393408 JPD393408 JYZ393408 KIV393408 KSR393408 LCN393408 LMJ393408 LWF393408 MGB393408 MPX393408 MZT393408 NJP393408 NTL393408 ODH393408 OND393408 OWZ393408 PGV393408 PQR393408 QAN393408 QKJ393408 QUF393408 REB393408 RNX393408 RXT393408 SHP393408 SRL393408 TBH393408 TLD393408 TUZ393408 UEV393408 UOR393408 UYN393408 VIJ393408 VSF393408 WCB393408 WLX393408 WVT393408 L458944 JH458944 TD458944 ACZ458944 AMV458944 AWR458944 BGN458944 BQJ458944 CAF458944 CKB458944 CTX458944 DDT458944 DNP458944 DXL458944 EHH458944 ERD458944 FAZ458944 FKV458944 FUR458944 GEN458944 GOJ458944 GYF458944 HIB458944 HRX458944 IBT458944 ILP458944 IVL458944 JFH458944 JPD458944 JYZ458944 KIV458944 KSR458944 LCN458944 LMJ458944 LWF458944 MGB458944 MPX458944 MZT458944 NJP458944 NTL458944 ODH458944 OND458944 OWZ458944 PGV458944 PQR458944 QAN458944 QKJ458944 QUF458944 REB458944 RNX458944 RXT458944 SHP458944 SRL458944 TBH458944 TLD458944 TUZ458944 UEV458944 UOR458944 UYN458944 VIJ458944 VSF458944 WCB458944 WLX458944 WVT458944 L524480 JH524480 TD524480 ACZ524480 AMV524480 AWR524480 BGN524480 BQJ524480 CAF524480 CKB524480 CTX524480 DDT524480 DNP524480 DXL524480 EHH524480 ERD524480 FAZ524480 FKV524480 FUR524480 GEN524480 GOJ524480 GYF524480 HIB524480 HRX524480 IBT524480 ILP524480 IVL524480 JFH524480 JPD524480 JYZ524480 KIV524480 KSR524480 LCN524480 LMJ524480 LWF524480 MGB524480 MPX524480 MZT524480 NJP524480 NTL524480 ODH524480 OND524480 OWZ524480 PGV524480 PQR524480 QAN524480 QKJ524480 QUF524480 REB524480 RNX524480 RXT524480 SHP524480 SRL524480 TBH524480 TLD524480 TUZ524480 UEV524480 UOR524480 UYN524480 VIJ524480 VSF524480 WCB524480 WLX524480 WVT524480 L590016 JH590016 TD590016 ACZ590016 AMV590016 AWR590016 BGN590016 BQJ590016 CAF590016 CKB590016 CTX590016 DDT590016 DNP590016 DXL590016 EHH590016 ERD590016 FAZ590016 FKV590016 FUR590016 GEN590016 GOJ590016 GYF590016 HIB590016 HRX590016 IBT590016 ILP590016 IVL590016 JFH590016 JPD590016 JYZ590016 KIV590016 KSR590016 LCN590016 LMJ590016 LWF590016 MGB590016 MPX590016 MZT590016 NJP590016 NTL590016 ODH590016 OND590016 OWZ590016 PGV590016 PQR590016 QAN590016 QKJ590016 QUF590016 REB590016 RNX590016 RXT590016 SHP590016 SRL590016 TBH590016 TLD590016 TUZ590016 UEV590016 UOR590016 UYN590016 VIJ590016 VSF590016 WCB590016 WLX590016 WVT590016 L655552 JH655552 TD655552 ACZ655552 AMV655552 AWR655552 BGN655552 BQJ655552 CAF655552 CKB655552 CTX655552 DDT655552 DNP655552 DXL655552 EHH655552 ERD655552 FAZ655552 FKV655552 FUR655552 GEN655552 GOJ655552 GYF655552 HIB655552 HRX655552 IBT655552 ILP655552 IVL655552 JFH655552 JPD655552 JYZ655552 KIV655552 KSR655552 LCN655552 LMJ655552 LWF655552 MGB655552 MPX655552 MZT655552 NJP655552 NTL655552 ODH655552 OND655552 OWZ655552 PGV655552 PQR655552 QAN655552 QKJ655552 QUF655552 REB655552 RNX655552 RXT655552 SHP655552 SRL655552 TBH655552 TLD655552 TUZ655552 UEV655552 UOR655552 UYN655552 VIJ655552 VSF655552 WCB655552 WLX655552 WVT655552 L721088 JH721088 TD721088 ACZ721088 AMV721088 AWR721088 BGN721088 BQJ721088 CAF721088 CKB721088 CTX721088 DDT721088 DNP721088 DXL721088 EHH721088 ERD721088 FAZ721088 FKV721088 FUR721088 GEN721088 GOJ721088 GYF721088 HIB721088 HRX721088 IBT721088 ILP721088 IVL721088 JFH721088 JPD721088 JYZ721088 KIV721088 KSR721088 LCN721088 LMJ721088 LWF721088 MGB721088 MPX721088 MZT721088 NJP721088 NTL721088 ODH721088 OND721088 OWZ721088 PGV721088 PQR721088 QAN721088 QKJ721088 QUF721088 REB721088 RNX721088 RXT721088 SHP721088 SRL721088 TBH721088 TLD721088 TUZ721088 UEV721088 UOR721088 UYN721088 VIJ721088 VSF721088 WCB721088 WLX721088 WVT721088 L786624 JH786624 TD786624 ACZ786624 AMV786624 AWR786624 BGN786624 BQJ786624 CAF786624 CKB786624 CTX786624 DDT786624 DNP786624 DXL786624 EHH786624 ERD786624 FAZ786624 FKV786624 FUR786624 GEN786624 GOJ786624 GYF786624 HIB786624 HRX786624 IBT786624 ILP786624 IVL786624 JFH786624 JPD786624 JYZ786624 KIV786624 KSR786624 LCN786624 LMJ786624 LWF786624 MGB786624 MPX786624 MZT786624 NJP786624 NTL786624 ODH786624 OND786624 OWZ786624 PGV786624 PQR786624 QAN786624 QKJ786624 QUF786624 REB786624 RNX786624 RXT786624 SHP786624 SRL786624 TBH786624 TLD786624 TUZ786624 UEV786624 UOR786624 UYN786624 VIJ786624 VSF786624 WCB786624 WLX786624 WVT786624 L852160 JH852160 TD852160 ACZ852160 AMV852160 AWR852160 BGN852160 BQJ852160 CAF852160 CKB852160 CTX852160 DDT852160 DNP852160 DXL852160 EHH852160 ERD852160 FAZ852160 FKV852160 FUR852160 GEN852160 GOJ852160 GYF852160 HIB852160 HRX852160 IBT852160 ILP852160 IVL852160 JFH852160 JPD852160 JYZ852160 KIV852160 KSR852160 LCN852160 LMJ852160 LWF852160 MGB852160 MPX852160 MZT852160 NJP852160 NTL852160 ODH852160 OND852160 OWZ852160 PGV852160 PQR852160 QAN852160 QKJ852160 QUF852160 REB852160 RNX852160 RXT852160 SHP852160 SRL852160 TBH852160 TLD852160 TUZ852160 UEV852160 UOR852160 UYN852160 VIJ852160 VSF852160 WCB852160 WLX852160 WVT852160 L917696 JH917696 TD917696 ACZ917696 AMV917696 AWR917696 BGN917696 BQJ917696 CAF917696 CKB917696 CTX917696 DDT917696 DNP917696 DXL917696 EHH917696 ERD917696 FAZ917696 FKV917696 FUR917696 GEN917696 GOJ917696 GYF917696 HIB917696 HRX917696 IBT917696 ILP917696 IVL917696 JFH917696 JPD917696 JYZ917696 KIV917696 KSR917696 LCN917696 LMJ917696 LWF917696 MGB917696 MPX917696 MZT917696 NJP917696 NTL917696 ODH917696 OND917696 OWZ917696 PGV917696 PQR917696 QAN917696 QKJ917696 QUF917696 REB917696 RNX917696 RXT917696 SHP917696 SRL917696 TBH917696 TLD917696 TUZ917696 UEV917696 UOR917696 UYN917696 VIJ917696 VSF917696 WCB917696 WLX917696 WVT917696 L983232 JH983232 TD983232 ACZ983232 AMV983232 AWR983232 BGN983232 BQJ983232 CAF983232 CKB983232 CTX983232 DDT983232 DNP983232 DXL983232 EHH983232 ERD983232 FAZ983232 FKV983232 FUR983232 GEN983232 GOJ983232 GYF983232 HIB983232 HRX983232 IBT983232 ILP983232 IVL983232 JFH983232 JPD983232 JYZ983232 KIV983232 KSR983232 LCN983232 LMJ983232 LWF983232 MGB983232 MPX983232 MZT983232 NJP983232 NTL983232 ODH983232 OND983232 OWZ983232 PGV983232 PQR983232 QAN983232 QKJ983232 QUF983232 REB983232 RNX983232 RXT983232 SHP983232 SRL983232 TBH983232 TLD983232 TUZ983232 UEV983232 UOR983232 UYN983232 VIJ983232 VSF983232 WCB983232 WLX983232 WVT983232">
      <formula1>1</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whole" errorStyle="warning" operator="greaterThanOrEqual" allowBlank="1" showInputMessage="1" showErrorMessage="1" errorTitle="Warring Entry !" error="Please Entry Round Figer.">
          <x14:formula1>
            <xm:f>1</xm:f>
          </x14:formula1>
          <xm:sqref>U54:AD54 JQ54:JZ54 TM54:TV54 ADI54:ADR54 ANE54:ANN54 AXA54:AXJ54 BGW54:BHF54 BQS54:BRB54 CAO54:CAX54 CKK54:CKT54 CUG54:CUP54 DEC54:DEL54 DNY54:DOH54 DXU54:DYD54 EHQ54:EHZ54 ERM54:ERV54 FBI54:FBR54 FLE54:FLN54 FVA54:FVJ54 GEW54:GFF54 GOS54:GPB54 GYO54:GYX54 HIK54:HIT54 HSG54:HSP54 ICC54:ICL54 ILY54:IMH54 IVU54:IWD54 JFQ54:JFZ54 JPM54:JPV54 JZI54:JZR54 KJE54:KJN54 KTA54:KTJ54 LCW54:LDF54 LMS54:LNB54 LWO54:LWX54 MGK54:MGT54 MQG54:MQP54 NAC54:NAL54 NJY54:NKH54 NTU54:NUD54 ODQ54:ODZ54 ONM54:ONV54 OXI54:OXR54 PHE54:PHN54 PRA54:PRJ54 QAW54:QBF54 QKS54:QLB54 QUO54:QUX54 REK54:RET54 ROG54:ROP54 RYC54:RYL54 SHY54:SIH54 SRU54:SSD54 TBQ54:TBZ54 TLM54:TLV54 TVI54:TVR54 UFE54:UFN54 UPA54:UPJ54 UYW54:UZF54 VIS54:VJB54 VSO54:VSX54 WCK54:WCT54 WMG54:WMP54 WWC54:WWL54 U65590:AD65590 JQ65590:JZ65590 TM65590:TV65590 ADI65590:ADR65590 ANE65590:ANN65590 AXA65590:AXJ65590 BGW65590:BHF65590 BQS65590:BRB65590 CAO65590:CAX65590 CKK65590:CKT65590 CUG65590:CUP65590 DEC65590:DEL65590 DNY65590:DOH65590 DXU65590:DYD65590 EHQ65590:EHZ65590 ERM65590:ERV65590 FBI65590:FBR65590 FLE65590:FLN65590 FVA65590:FVJ65590 GEW65590:GFF65590 GOS65590:GPB65590 GYO65590:GYX65590 HIK65590:HIT65590 HSG65590:HSP65590 ICC65590:ICL65590 ILY65590:IMH65590 IVU65590:IWD65590 JFQ65590:JFZ65590 JPM65590:JPV65590 JZI65590:JZR65590 KJE65590:KJN65590 KTA65590:KTJ65590 LCW65590:LDF65590 LMS65590:LNB65590 LWO65590:LWX65590 MGK65590:MGT65590 MQG65590:MQP65590 NAC65590:NAL65590 NJY65590:NKH65590 NTU65590:NUD65590 ODQ65590:ODZ65590 ONM65590:ONV65590 OXI65590:OXR65590 PHE65590:PHN65590 PRA65590:PRJ65590 QAW65590:QBF65590 QKS65590:QLB65590 QUO65590:QUX65590 REK65590:RET65590 ROG65590:ROP65590 RYC65590:RYL65590 SHY65590:SIH65590 SRU65590:SSD65590 TBQ65590:TBZ65590 TLM65590:TLV65590 TVI65590:TVR65590 UFE65590:UFN65590 UPA65590:UPJ65590 UYW65590:UZF65590 VIS65590:VJB65590 VSO65590:VSX65590 WCK65590:WCT65590 WMG65590:WMP65590 WWC65590:WWL65590 U131126:AD131126 JQ131126:JZ131126 TM131126:TV131126 ADI131126:ADR131126 ANE131126:ANN131126 AXA131126:AXJ131126 BGW131126:BHF131126 BQS131126:BRB131126 CAO131126:CAX131126 CKK131126:CKT131126 CUG131126:CUP131126 DEC131126:DEL131126 DNY131126:DOH131126 DXU131126:DYD131126 EHQ131126:EHZ131126 ERM131126:ERV131126 FBI131126:FBR131126 FLE131126:FLN131126 FVA131126:FVJ131126 GEW131126:GFF131126 GOS131126:GPB131126 GYO131126:GYX131126 HIK131126:HIT131126 HSG131126:HSP131126 ICC131126:ICL131126 ILY131126:IMH131126 IVU131126:IWD131126 JFQ131126:JFZ131126 JPM131126:JPV131126 JZI131126:JZR131126 KJE131126:KJN131126 KTA131126:KTJ131126 LCW131126:LDF131126 LMS131126:LNB131126 LWO131126:LWX131126 MGK131126:MGT131126 MQG131126:MQP131126 NAC131126:NAL131126 NJY131126:NKH131126 NTU131126:NUD131126 ODQ131126:ODZ131126 ONM131126:ONV131126 OXI131126:OXR131126 PHE131126:PHN131126 PRA131126:PRJ131126 QAW131126:QBF131126 QKS131126:QLB131126 QUO131126:QUX131126 REK131126:RET131126 ROG131126:ROP131126 RYC131126:RYL131126 SHY131126:SIH131126 SRU131126:SSD131126 TBQ131126:TBZ131126 TLM131126:TLV131126 TVI131126:TVR131126 UFE131126:UFN131126 UPA131126:UPJ131126 UYW131126:UZF131126 VIS131126:VJB131126 VSO131126:VSX131126 WCK131126:WCT131126 WMG131126:WMP131126 WWC131126:WWL131126 U196662:AD196662 JQ196662:JZ196662 TM196662:TV196662 ADI196662:ADR196662 ANE196662:ANN196662 AXA196662:AXJ196662 BGW196662:BHF196662 BQS196662:BRB196662 CAO196662:CAX196662 CKK196662:CKT196662 CUG196662:CUP196662 DEC196662:DEL196662 DNY196662:DOH196662 DXU196662:DYD196662 EHQ196662:EHZ196662 ERM196662:ERV196662 FBI196662:FBR196662 FLE196662:FLN196662 FVA196662:FVJ196662 GEW196662:GFF196662 GOS196662:GPB196662 GYO196662:GYX196662 HIK196662:HIT196662 HSG196662:HSP196662 ICC196662:ICL196662 ILY196662:IMH196662 IVU196662:IWD196662 JFQ196662:JFZ196662 JPM196662:JPV196662 JZI196662:JZR196662 KJE196662:KJN196662 KTA196662:KTJ196662 LCW196662:LDF196662 LMS196662:LNB196662 LWO196662:LWX196662 MGK196662:MGT196662 MQG196662:MQP196662 NAC196662:NAL196662 NJY196662:NKH196662 NTU196662:NUD196662 ODQ196662:ODZ196662 ONM196662:ONV196662 OXI196662:OXR196662 PHE196662:PHN196662 PRA196662:PRJ196662 QAW196662:QBF196662 QKS196662:QLB196662 QUO196662:QUX196662 REK196662:RET196662 ROG196662:ROP196662 RYC196662:RYL196662 SHY196662:SIH196662 SRU196662:SSD196662 TBQ196662:TBZ196662 TLM196662:TLV196662 TVI196662:TVR196662 UFE196662:UFN196662 UPA196662:UPJ196662 UYW196662:UZF196662 VIS196662:VJB196662 VSO196662:VSX196662 WCK196662:WCT196662 WMG196662:WMP196662 WWC196662:WWL196662 U262198:AD262198 JQ262198:JZ262198 TM262198:TV262198 ADI262198:ADR262198 ANE262198:ANN262198 AXA262198:AXJ262198 BGW262198:BHF262198 BQS262198:BRB262198 CAO262198:CAX262198 CKK262198:CKT262198 CUG262198:CUP262198 DEC262198:DEL262198 DNY262198:DOH262198 DXU262198:DYD262198 EHQ262198:EHZ262198 ERM262198:ERV262198 FBI262198:FBR262198 FLE262198:FLN262198 FVA262198:FVJ262198 GEW262198:GFF262198 GOS262198:GPB262198 GYO262198:GYX262198 HIK262198:HIT262198 HSG262198:HSP262198 ICC262198:ICL262198 ILY262198:IMH262198 IVU262198:IWD262198 JFQ262198:JFZ262198 JPM262198:JPV262198 JZI262198:JZR262198 KJE262198:KJN262198 KTA262198:KTJ262198 LCW262198:LDF262198 LMS262198:LNB262198 LWO262198:LWX262198 MGK262198:MGT262198 MQG262198:MQP262198 NAC262198:NAL262198 NJY262198:NKH262198 NTU262198:NUD262198 ODQ262198:ODZ262198 ONM262198:ONV262198 OXI262198:OXR262198 PHE262198:PHN262198 PRA262198:PRJ262198 QAW262198:QBF262198 QKS262198:QLB262198 QUO262198:QUX262198 REK262198:RET262198 ROG262198:ROP262198 RYC262198:RYL262198 SHY262198:SIH262198 SRU262198:SSD262198 TBQ262198:TBZ262198 TLM262198:TLV262198 TVI262198:TVR262198 UFE262198:UFN262198 UPA262198:UPJ262198 UYW262198:UZF262198 VIS262198:VJB262198 VSO262198:VSX262198 WCK262198:WCT262198 WMG262198:WMP262198 WWC262198:WWL262198 U327734:AD327734 JQ327734:JZ327734 TM327734:TV327734 ADI327734:ADR327734 ANE327734:ANN327734 AXA327734:AXJ327734 BGW327734:BHF327734 BQS327734:BRB327734 CAO327734:CAX327734 CKK327734:CKT327734 CUG327734:CUP327734 DEC327734:DEL327734 DNY327734:DOH327734 DXU327734:DYD327734 EHQ327734:EHZ327734 ERM327734:ERV327734 FBI327734:FBR327734 FLE327734:FLN327734 FVA327734:FVJ327734 GEW327734:GFF327734 GOS327734:GPB327734 GYO327734:GYX327734 HIK327734:HIT327734 HSG327734:HSP327734 ICC327734:ICL327734 ILY327734:IMH327734 IVU327734:IWD327734 JFQ327734:JFZ327734 JPM327734:JPV327734 JZI327734:JZR327734 KJE327734:KJN327734 KTA327734:KTJ327734 LCW327734:LDF327734 LMS327734:LNB327734 LWO327734:LWX327734 MGK327734:MGT327734 MQG327734:MQP327734 NAC327734:NAL327734 NJY327734:NKH327734 NTU327734:NUD327734 ODQ327734:ODZ327734 ONM327734:ONV327734 OXI327734:OXR327734 PHE327734:PHN327734 PRA327734:PRJ327734 QAW327734:QBF327734 QKS327734:QLB327734 QUO327734:QUX327734 REK327734:RET327734 ROG327734:ROP327734 RYC327734:RYL327734 SHY327734:SIH327734 SRU327734:SSD327734 TBQ327734:TBZ327734 TLM327734:TLV327734 TVI327734:TVR327734 UFE327734:UFN327734 UPA327734:UPJ327734 UYW327734:UZF327734 VIS327734:VJB327734 VSO327734:VSX327734 WCK327734:WCT327734 WMG327734:WMP327734 WWC327734:WWL327734 U393270:AD393270 JQ393270:JZ393270 TM393270:TV393270 ADI393270:ADR393270 ANE393270:ANN393270 AXA393270:AXJ393270 BGW393270:BHF393270 BQS393270:BRB393270 CAO393270:CAX393270 CKK393270:CKT393270 CUG393270:CUP393270 DEC393270:DEL393270 DNY393270:DOH393270 DXU393270:DYD393270 EHQ393270:EHZ393270 ERM393270:ERV393270 FBI393270:FBR393270 FLE393270:FLN393270 FVA393270:FVJ393270 GEW393270:GFF393270 GOS393270:GPB393270 GYO393270:GYX393270 HIK393270:HIT393270 HSG393270:HSP393270 ICC393270:ICL393270 ILY393270:IMH393270 IVU393270:IWD393270 JFQ393270:JFZ393270 JPM393270:JPV393270 JZI393270:JZR393270 KJE393270:KJN393270 KTA393270:KTJ393270 LCW393270:LDF393270 LMS393270:LNB393270 LWO393270:LWX393270 MGK393270:MGT393270 MQG393270:MQP393270 NAC393270:NAL393270 NJY393270:NKH393270 NTU393270:NUD393270 ODQ393270:ODZ393270 ONM393270:ONV393270 OXI393270:OXR393270 PHE393270:PHN393270 PRA393270:PRJ393270 QAW393270:QBF393270 QKS393270:QLB393270 QUO393270:QUX393270 REK393270:RET393270 ROG393270:ROP393270 RYC393270:RYL393270 SHY393270:SIH393270 SRU393270:SSD393270 TBQ393270:TBZ393270 TLM393270:TLV393270 TVI393270:TVR393270 UFE393270:UFN393270 UPA393270:UPJ393270 UYW393270:UZF393270 VIS393270:VJB393270 VSO393270:VSX393270 WCK393270:WCT393270 WMG393270:WMP393270 WWC393270:WWL393270 U458806:AD458806 JQ458806:JZ458806 TM458806:TV458806 ADI458806:ADR458806 ANE458806:ANN458806 AXA458806:AXJ458806 BGW458806:BHF458806 BQS458806:BRB458806 CAO458806:CAX458806 CKK458806:CKT458806 CUG458806:CUP458806 DEC458806:DEL458806 DNY458806:DOH458806 DXU458806:DYD458806 EHQ458806:EHZ458806 ERM458806:ERV458806 FBI458806:FBR458806 FLE458806:FLN458806 FVA458806:FVJ458806 GEW458806:GFF458806 GOS458806:GPB458806 GYO458806:GYX458806 HIK458806:HIT458806 HSG458806:HSP458806 ICC458806:ICL458806 ILY458806:IMH458806 IVU458806:IWD458806 JFQ458806:JFZ458806 JPM458806:JPV458806 JZI458806:JZR458806 KJE458806:KJN458806 KTA458806:KTJ458806 LCW458806:LDF458806 LMS458806:LNB458806 LWO458806:LWX458806 MGK458806:MGT458806 MQG458806:MQP458806 NAC458806:NAL458806 NJY458806:NKH458806 NTU458806:NUD458806 ODQ458806:ODZ458806 ONM458806:ONV458806 OXI458806:OXR458806 PHE458806:PHN458806 PRA458806:PRJ458806 QAW458806:QBF458806 QKS458806:QLB458806 QUO458806:QUX458806 REK458806:RET458806 ROG458806:ROP458806 RYC458806:RYL458806 SHY458806:SIH458806 SRU458806:SSD458806 TBQ458806:TBZ458806 TLM458806:TLV458806 TVI458806:TVR458806 UFE458806:UFN458806 UPA458806:UPJ458806 UYW458806:UZF458806 VIS458806:VJB458806 VSO458806:VSX458806 WCK458806:WCT458806 WMG458806:WMP458806 WWC458806:WWL458806 U524342:AD524342 JQ524342:JZ524342 TM524342:TV524342 ADI524342:ADR524342 ANE524342:ANN524342 AXA524342:AXJ524342 BGW524342:BHF524342 BQS524342:BRB524342 CAO524342:CAX524342 CKK524342:CKT524342 CUG524342:CUP524342 DEC524342:DEL524342 DNY524342:DOH524342 DXU524342:DYD524342 EHQ524342:EHZ524342 ERM524342:ERV524342 FBI524342:FBR524342 FLE524342:FLN524342 FVA524342:FVJ524342 GEW524342:GFF524342 GOS524342:GPB524342 GYO524342:GYX524342 HIK524342:HIT524342 HSG524342:HSP524342 ICC524342:ICL524342 ILY524342:IMH524342 IVU524342:IWD524342 JFQ524342:JFZ524342 JPM524342:JPV524342 JZI524342:JZR524342 KJE524342:KJN524342 KTA524342:KTJ524342 LCW524342:LDF524342 LMS524342:LNB524342 LWO524342:LWX524342 MGK524342:MGT524342 MQG524342:MQP524342 NAC524342:NAL524342 NJY524342:NKH524342 NTU524342:NUD524342 ODQ524342:ODZ524342 ONM524342:ONV524342 OXI524342:OXR524342 PHE524342:PHN524342 PRA524342:PRJ524342 QAW524342:QBF524342 QKS524342:QLB524342 QUO524342:QUX524342 REK524342:RET524342 ROG524342:ROP524342 RYC524342:RYL524342 SHY524342:SIH524342 SRU524342:SSD524342 TBQ524342:TBZ524342 TLM524342:TLV524342 TVI524342:TVR524342 UFE524342:UFN524342 UPA524342:UPJ524342 UYW524342:UZF524342 VIS524342:VJB524342 VSO524342:VSX524342 WCK524342:WCT524342 WMG524342:WMP524342 WWC524342:WWL524342 U589878:AD589878 JQ589878:JZ589878 TM589878:TV589878 ADI589878:ADR589878 ANE589878:ANN589878 AXA589878:AXJ589878 BGW589878:BHF589878 BQS589878:BRB589878 CAO589878:CAX589878 CKK589878:CKT589878 CUG589878:CUP589878 DEC589878:DEL589878 DNY589878:DOH589878 DXU589878:DYD589878 EHQ589878:EHZ589878 ERM589878:ERV589878 FBI589878:FBR589878 FLE589878:FLN589878 FVA589878:FVJ589878 GEW589878:GFF589878 GOS589878:GPB589878 GYO589878:GYX589878 HIK589878:HIT589878 HSG589878:HSP589878 ICC589878:ICL589878 ILY589878:IMH589878 IVU589878:IWD589878 JFQ589878:JFZ589878 JPM589878:JPV589878 JZI589878:JZR589878 KJE589878:KJN589878 KTA589878:KTJ589878 LCW589878:LDF589878 LMS589878:LNB589878 LWO589878:LWX589878 MGK589878:MGT589878 MQG589878:MQP589878 NAC589878:NAL589878 NJY589878:NKH589878 NTU589878:NUD589878 ODQ589878:ODZ589878 ONM589878:ONV589878 OXI589878:OXR589878 PHE589878:PHN589878 PRA589878:PRJ589878 QAW589878:QBF589878 QKS589878:QLB589878 QUO589878:QUX589878 REK589878:RET589878 ROG589878:ROP589878 RYC589878:RYL589878 SHY589878:SIH589878 SRU589878:SSD589878 TBQ589878:TBZ589878 TLM589878:TLV589878 TVI589878:TVR589878 UFE589878:UFN589878 UPA589878:UPJ589878 UYW589878:UZF589878 VIS589878:VJB589878 VSO589878:VSX589878 WCK589878:WCT589878 WMG589878:WMP589878 WWC589878:WWL589878 U655414:AD655414 JQ655414:JZ655414 TM655414:TV655414 ADI655414:ADR655414 ANE655414:ANN655414 AXA655414:AXJ655414 BGW655414:BHF655414 BQS655414:BRB655414 CAO655414:CAX655414 CKK655414:CKT655414 CUG655414:CUP655414 DEC655414:DEL655414 DNY655414:DOH655414 DXU655414:DYD655414 EHQ655414:EHZ655414 ERM655414:ERV655414 FBI655414:FBR655414 FLE655414:FLN655414 FVA655414:FVJ655414 GEW655414:GFF655414 GOS655414:GPB655414 GYO655414:GYX655414 HIK655414:HIT655414 HSG655414:HSP655414 ICC655414:ICL655414 ILY655414:IMH655414 IVU655414:IWD655414 JFQ655414:JFZ655414 JPM655414:JPV655414 JZI655414:JZR655414 KJE655414:KJN655414 KTA655414:KTJ655414 LCW655414:LDF655414 LMS655414:LNB655414 LWO655414:LWX655414 MGK655414:MGT655414 MQG655414:MQP655414 NAC655414:NAL655414 NJY655414:NKH655414 NTU655414:NUD655414 ODQ655414:ODZ655414 ONM655414:ONV655414 OXI655414:OXR655414 PHE655414:PHN655414 PRA655414:PRJ655414 QAW655414:QBF655414 QKS655414:QLB655414 QUO655414:QUX655414 REK655414:RET655414 ROG655414:ROP655414 RYC655414:RYL655414 SHY655414:SIH655414 SRU655414:SSD655414 TBQ655414:TBZ655414 TLM655414:TLV655414 TVI655414:TVR655414 UFE655414:UFN655414 UPA655414:UPJ655414 UYW655414:UZF655414 VIS655414:VJB655414 VSO655414:VSX655414 WCK655414:WCT655414 WMG655414:WMP655414 WWC655414:WWL655414 U720950:AD720950 JQ720950:JZ720950 TM720950:TV720950 ADI720950:ADR720950 ANE720950:ANN720950 AXA720950:AXJ720950 BGW720950:BHF720950 BQS720950:BRB720950 CAO720950:CAX720950 CKK720950:CKT720950 CUG720950:CUP720950 DEC720950:DEL720950 DNY720950:DOH720950 DXU720950:DYD720950 EHQ720950:EHZ720950 ERM720950:ERV720950 FBI720950:FBR720950 FLE720950:FLN720950 FVA720950:FVJ720950 GEW720950:GFF720950 GOS720950:GPB720950 GYO720950:GYX720950 HIK720950:HIT720950 HSG720950:HSP720950 ICC720950:ICL720950 ILY720950:IMH720950 IVU720950:IWD720950 JFQ720950:JFZ720950 JPM720950:JPV720950 JZI720950:JZR720950 KJE720950:KJN720950 KTA720950:KTJ720950 LCW720950:LDF720950 LMS720950:LNB720950 LWO720950:LWX720950 MGK720950:MGT720950 MQG720950:MQP720950 NAC720950:NAL720950 NJY720950:NKH720950 NTU720950:NUD720950 ODQ720950:ODZ720950 ONM720950:ONV720950 OXI720950:OXR720950 PHE720950:PHN720950 PRA720950:PRJ720950 QAW720950:QBF720950 QKS720950:QLB720950 QUO720950:QUX720950 REK720950:RET720950 ROG720950:ROP720950 RYC720950:RYL720950 SHY720950:SIH720950 SRU720950:SSD720950 TBQ720950:TBZ720950 TLM720950:TLV720950 TVI720950:TVR720950 UFE720950:UFN720950 UPA720950:UPJ720950 UYW720950:UZF720950 VIS720950:VJB720950 VSO720950:VSX720950 WCK720950:WCT720950 WMG720950:WMP720950 WWC720950:WWL720950 U786486:AD786486 JQ786486:JZ786486 TM786486:TV786486 ADI786486:ADR786486 ANE786486:ANN786486 AXA786486:AXJ786486 BGW786486:BHF786486 BQS786486:BRB786486 CAO786486:CAX786486 CKK786486:CKT786486 CUG786486:CUP786486 DEC786486:DEL786486 DNY786486:DOH786486 DXU786486:DYD786486 EHQ786486:EHZ786486 ERM786486:ERV786486 FBI786486:FBR786486 FLE786486:FLN786486 FVA786486:FVJ786486 GEW786486:GFF786486 GOS786486:GPB786486 GYO786486:GYX786486 HIK786486:HIT786486 HSG786486:HSP786486 ICC786486:ICL786486 ILY786486:IMH786486 IVU786486:IWD786486 JFQ786486:JFZ786486 JPM786486:JPV786486 JZI786486:JZR786486 KJE786486:KJN786486 KTA786486:KTJ786486 LCW786486:LDF786486 LMS786486:LNB786486 LWO786486:LWX786486 MGK786486:MGT786486 MQG786486:MQP786486 NAC786486:NAL786486 NJY786486:NKH786486 NTU786486:NUD786486 ODQ786486:ODZ786486 ONM786486:ONV786486 OXI786486:OXR786486 PHE786486:PHN786486 PRA786486:PRJ786486 QAW786486:QBF786486 QKS786486:QLB786486 QUO786486:QUX786486 REK786486:RET786486 ROG786486:ROP786486 RYC786486:RYL786486 SHY786486:SIH786486 SRU786486:SSD786486 TBQ786486:TBZ786486 TLM786486:TLV786486 TVI786486:TVR786486 UFE786486:UFN786486 UPA786486:UPJ786486 UYW786486:UZF786486 VIS786486:VJB786486 VSO786486:VSX786486 WCK786486:WCT786486 WMG786486:WMP786486 WWC786486:WWL786486 U852022:AD852022 JQ852022:JZ852022 TM852022:TV852022 ADI852022:ADR852022 ANE852022:ANN852022 AXA852022:AXJ852022 BGW852022:BHF852022 BQS852022:BRB852022 CAO852022:CAX852022 CKK852022:CKT852022 CUG852022:CUP852022 DEC852022:DEL852022 DNY852022:DOH852022 DXU852022:DYD852022 EHQ852022:EHZ852022 ERM852022:ERV852022 FBI852022:FBR852022 FLE852022:FLN852022 FVA852022:FVJ852022 GEW852022:GFF852022 GOS852022:GPB852022 GYO852022:GYX852022 HIK852022:HIT852022 HSG852022:HSP852022 ICC852022:ICL852022 ILY852022:IMH852022 IVU852022:IWD852022 JFQ852022:JFZ852022 JPM852022:JPV852022 JZI852022:JZR852022 KJE852022:KJN852022 KTA852022:KTJ852022 LCW852022:LDF852022 LMS852022:LNB852022 LWO852022:LWX852022 MGK852022:MGT852022 MQG852022:MQP852022 NAC852022:NAL852022 NJY852022:NKH852022 NTU852022:NUD852022 ODQ852022:ODZ852022 ONM852022:ONV852022 OXI852022:OXR852022 PHE852022:PHN852022 PRA852022:PRJ852022 QAW852022:QBF852022 QKS852022:QLB852022 QUO852022:QUX852022 REK852022:RET852022 ROG852022:ROP852022 RYC852022:RYL852022 SHY852022:SIH852022 SRU852022:SSD852022 TBQ852022:TBZ852022 TLM852022:TLV852022 TVI852022:TVR852022 UFE852022:UFN852022 UPA852022:UPJ852022 UYW852022:UZF852022 VIS852022:VJB852022 VSO852022:VSX852022 WCK852022:WCT852022 WMG852022:WMP852022 WWC852022:WWL852022 U917558:AD917558 JQ917558:JZ917558 TM917558:TV917558 ADI917558:ADR917558 ANE917558:ANN917558 AXA917558:AXJ917558 BGW917558:BHF917558 BQS917558:BRB917558 CAO917558:CAX917558 CKK917558:CKT917558 CUG917558:CUP917558 DEC917558:DEL917558 DNY917558:DOH917558 DXU917558:DYD917558 EHQ917558:EHZ917558 ERM917558:ERV917558 FBI917558:FBR917558 FLE917558:FLN917558 FVA917558:FVJ917558 GEW917558:GFF917558 GOS917558:GPB917558 GYO917558:GYX917558 HIK917558:HIT917558 HSG917558:HSP917558 ICC917558:ICL917558 ILY917558:IMH917558 IVU917558:IWD917558 JFQ917558:JFZ917558 JPM917558:JPV917558 JZI917558:JZR917558 KJE917558:KJN917558 KTA917558:KTJ917558 LCW917558:LDF917558 LMS917558:LNB917558 LWO917558:LWX917558 MGK917558:MGT917558 MQG917558:MQP917558 NAC917558:NAL917558 NJY917558:NKH917558 NTU917558:NUD917558 ODQ917558:ODZ917558 ONM917558:ONV917558 OXI917558:OXR917558 PHE917558:PHN917558 PRA917558:PRJ917558 QAW917558:QBF917558 QKS917558:QLB917558 QUO917558:QUX917558 REK917558:RET917558 ROG917558:ROP917558 RYC917558:RYL917558 SHY917558:SIH917558 SRU917558:SSD917558 TBQ917558:TBZ917558 TLM917558:TLV917558 TVI917558:TVR917558 UFE917558:UFN917558 UPA917558:UPJ917558 UYW917558:UZF917558 VIS917558:VJB917558 VSO917558:VSX917558 WCK917558:WCT917558 WMG917558:WMP917558 WWC917558:WWL917558 U983094:AD983094 JQ983094:JZ983094 TM983094:TV983094 ADI983094:ADR983094 ANE983094:ANN983094 AXA983094:AXJ983094 BGW983094:BHF983094 BQS983094:BRB983094 CAO983094:CAX983094 CKK983094:CKT983094 CUG983094:CUP983094 DEC983094:DEL983094 DNY983094:DOH983094 DXU983094:DYD983094 EHQ983094:EHZ983094 ERM983094:ERV983094 FBI983094:FBR983094 FLE983094:FLN983094 FVA983094:FVJ983094 GEW983094:GFF983094 GOS983094:GPB983094 GYO983094:GYX983094 HIK983094:HIT983094 HSG983094:HSP983094 ICC983094:ICL983094 ILY983094:IMH983094 IVU983094:IWD983094 JFQ983094:JFZ983094 JPM983094:JPV983094 JZI983094:JZR983094 KJE983094:KJN983094 KTA983094:KTJ983094 LCW983094:LDF983094 LMS983094:LNB983094 LWO983094:LWX983094 MGK983094:MGT983094 MQG983094:MQP983094 NAC983094:NAL983094 NJY983094:NKH983094 NTU983094:NUD983094 ODQ983094:ODZ983094 ONM983094:ONV983094 OXI983094:OXR983094 PHE983094:PHN983094 PRA983094:PRJ983094 QAW983094:QBF983094 QKS983094:QLB983094 QUO983094:QUX983094 REK983094:RET983094 ROG983094:ROP983094 RYC983094:RYL983094 SHY983094:SIH983094 SRU983094:SSD983094 TBQ983094:TBZ983094 TLM983094:TLV983094 TVI983094:TVR983094 UFE983094:UFN983094 UPA983094:UPJ983094 UYW983094:UZF983094 VIS983094:VJB983094 VSO983094:VSX983094 WCK983094:WCT983094 WMG983094:WMP983094 WWC983094:WWL983094 AA13:AA20 JW13:JW20 TS13:TS20 ADO13:ADO20 ANK13:ANK20 AXG13:AXG20 BHC13:BHC20 BQY13:BQY20 CAU13:CAU20 CKQ13:CKQ20 CUM13:CUM20 DEI13:DEI20 DOE13:DOE20 DYA13:DYA20 EHW13:EHW20 ERS13:ERS20 FBO13:FBO20 FLK13:FLK20 FVG13:FVG20 GFC13:GFC20 GOY13:GOY20 GYU13:GYU20 HIQ13:HIQ20 HSM13:HSM20 ICI13:ICI20 IME13:IME20 IWA13:IWA20 JFW13:JFW20 JPS13:JPS20 JZO13:JZO20 KJK13:KJK20 KTG13:KTG20 LDC13:LDC20 LMY13:LMY20 LWU13:LWU20 MGQ13:MGQ20 MQM13:MQM20 NAI13:NAI20 NKE13:NKE20 NUA13:NUA20 ODW13:ODW20 ONS13:ONS20 OXO13:OXO20 PHK13:PHK20 PRG13:PRG20 QBC13:QBC20 QKY13:QKY20 QUU13:QUU20 REQ13:REQ20 ROM13:ROM20 RYI13:RYI20 SIE13:SIE20 SSA13:SSA20 TBW13:TBW20 TLS13:TLS20 TVO13:TVO20 UFK13:UFK20 UPG13:UPG20 UZC13:UZC20 VIY13:VIY20 VSU13:VSU20 WCQ13:WCQ20 WMM13:WMM20 WWI13:WWI20 AA65549:AA65556 JW65549:JW65556 TS65549:TS65556 ADO65549:ADO65556 ANK65549:ANK65556 AXG65549:AXG65556 BHC65549:BHC65556 BQY65549:BQY65556 CAU65549:CAU65556 CKQ65549:CKQ65556 CUM65549:CUM65556 DEI65549:DEI65556 DOE65549:DOE65556 DYA65549:DYA65556 EHW65549:EHW65556 ERS65549:ERS65556 FBO65549:FBO65556 FLK65549:FLK65556 FVG65549:FVG65556 GFC65549:GFC65556 GOY65549:GOY65556 GYU65549:GYU65556 HIQ65549:HIQ65556 HSM65549:HSM65556 ICI65549:ICI65556 IME65549:IME65556 IWA65549:IWA65556 JFW65549:JFW65556 JPS65549:JPS65556 JZO65549:JZO65556 KJK65549:KJK65556 KTG65549:KTG65556 LDC65549:LDC65556 LMY65549:LMY65556 LWU65549:LWU65556 MGQ65549:MGQ65556 MQM65549:MQM65556 NAI65549:NAI65556 NKE65549:NKE65556 NUA65549:NUA65556 ODW65549:ODW65556 ONS65549:ONS65556 OXO65549:OXO65556 PHK65549:PHK65556 PRG65549:PRG65556 QBC65549:QBC65556 QKY65549:QKY65556 QUU65549:QUU65556 REQ65549:REQ65556 ROM65549:ROM65556 RYI65549:RYI65556 SIE65549:SIE65556 SSA65549:SSA65556 TBW65549:TBW65556 TLS65549:TLS65556 TVO65549:TVO65556 UFK65549:UFK65556 UPG65549:UPG65556 UZC65549:UZC65556 VIY65549:VIY65556 VSU65549:VSU65556 WCQ65549:WCQ65556 WMM65549:WMM65556 WWI65549:WWI65556 AA131085:AA131092 JW131085:JW131092 TS131085:TS131092 ADO131085:ADO131092 ANK131085:ANK131092 AXG131085:AXG131092 BHC131085:BHC131092 BQY131085:BQY131092 CAU131085:CAU131092 CKQ131085:CKQ131092 CUM131085:CUM131092 DEI131085:DEI131092 DOE131085:DOE131092 DYA131085:DYA131092 EHW131085:EHW131092 ERS131085:ERS131092 FBO131085:FBO131092 FLK131085:FLK131092 FVG131085:FVG131092 GFC131085:GFC131092 GOY131085:GOY131092 GYU131085:GYU131092 HIQ131085:HIQ131092 HSM131085:HSM131092 ICI131085:ICI131092 IME131085:IME131092 IWA131085:IWA131092 JFW131085:JFW131092 JPS131085:JPS131092 JZO131085:JZO131092 KJK131085:KJK131092 KTG131085:KTG131092 LDC131085:LDC131092 LMY131085:LMY131092 LWU131085:LWU131092 MGQ131085:MGQ131092 MQM131085:MQM131092 NAI131085:NAI131092 NKE131085:NKE131092 NUA131085:NUA131092 ODW131085:ODW131092 ONS131085:ONS131092 OXO131085:OXO131092 PHK131085:PHK131092 PRG131085:PRG131092 QBC131085:QBC131092 QKY131085:QKY131092 QUU131085:QUU131092 REQ131085:REQ131092 ROM131085:ROM131092 RYI131085:RYI131092 SIE131085:SIE131092 SSA131085:SSA131092 TBW131085:TBW131092 TLS131085:TLS131092 TVO131085:TVO131092 UFK131085:UFK131092 UPG131085:UPG131092 UZC131085:UZC131092 VIY131085:VIY131092 VSU131085:VSU131092 WCQ131085:WCQ131092 WMM131085:WMM131092 WWI131085:WWI131092 AA196621:AA196628 JW196621:JW196628 TS196621:TS196628 ADO196621:ADO196628 ANK196621:ANK196628 AXG196621:AXG196628 BHC196621:BHC196628 BQY196621:BQY196628 CAU196621:CAU196628 CKQ196621:CKQ196628 CUM196621:CUM196628 DEI196621:DEI196628 DOE196621:DOE196628 DYA196621:DYA196628 EHW196621:EHW196628 ERS196621:ERS196628 FBO196621:FBO196628 FLK196621:FLK196628 FVG196621:FVG196628 GFC196621:GFC196628 GOY196621:GOY196628 GYU196621:GYU196628 HIQ196621:HIQ196628 HSM196621:HSM196628 ICI196621:ICI196628 IME196621:IME196628 IWA196621:IWA196628 JFW196621:JFW196628 JPS196621:JPS196628 JZO196621:JZO196628 KJK196621:KJK196628 KTG196621:KTG196628 LDC196621:LDC196628 LMY196621:LMY196628 LWU196621:LWU196628 MGQ196621:MGQ196628 MQM196621:MQM196628 NAI196621:NAI196628 NKE196621:NKE196628 NUA196621:NUA196628 ODW196621:ODW196628 ONS196621:ONS196628 OXO196621:OXO196628 PHK196621:PHK196628 PRG196621:PRG196628 QBC196621:QBC196628 QKY196621:QKY196628 QUU196621:QUU196628 REQ196621:REQ196628 ROM196621:ROM196628 RYI196621:RYI196628 SIE196621:SIE196628 SSA196621:SSA196628 TBW196621:TBW196628 TLS196621:TLS196628 TVO196621:TVO196628 UFK196621:UFK196628 UPG196621:UPG196628 UZC196621:UZC196628 VIY196621:VIY196628 VSU196621:VSU196628 WCQ196621:WCQ196628 WMM196621:WMM196628 WWI196621:WWI196628 AA262157:AA262164 JW262157:JW262164 TS262157:TS262164 ADO262157:ADO262164 ANK262157:ANK262164 AXG262157:AXG262164 BHC262157:BHC262164 BQY262157:BQY262164 CAU262157:CAU262164 CKQ262157:CKQ262164 CUM262157:CUM262164 DEI262157:DEI262164 DOE262157:DOE262164 DYA262157:DYA262164 EHW262157:EHW262164 ERS262157:ERS262164 FBO262157:FBO262164 FLK262157:FLK262164 FVG262157:FVG262164 GFC262157:GFC262164 GOY262157:GOY262164 GYU262157:GYU262164 HIQ262157:HIQ262164 HSM262157:HSM262164 ICI262157:ICI262164 IME262157:IME262164 IWA262157:IWA262164 JFW262157:JFW262164 JPS262157:JPS262164 JZO262157:JZO262164 KJK262157:KJK262164 KTG262157:KTG262164 LDC262157:LDC262164 LMY262157:LMY262164 LWU262157:LWU262164 MGQ262157:MGQ262164 MQM262157:MQM262164 NAI262157:NAI262164 NKE262157:NKE262164 NUA262157:NUA262164 ODW262157:ODW262164 ONS262157:ONS262164 OXO262157:OXO262164 PHK262157:PHK262164 PRG262157:PRG262164 QBC262157:QBC262164 QKY262157:QKY262164 QUU262157:QUU262164 REQ262157:REQ262164 ROM262157:ROM262164 RYI262157:RYI262164 SIE262157:SIE262164 SSA262157:SSA262164 TBW262157:TBW262164 TLS262157:TLS262164 TVO262157:TVO262164 UFK262157:UFK262164 UPG262157:UPG262164 UZC262157:UZC262164 VIY262157:VIY262164 VSU262157:VSU262164 WCQ262157:WCQ262164 WMM262157:WMM262164 WWI262157:WWI262164 AA327693:AA327700 JW327693:JW327700 TS327693:TS327700 ADO327693:ADO327700 ANK327693:ANK327700 AXG327693:AXG327700 BHC327693:BHC327700 BQY327693:BQY327700 CAU327693:CAU327700 CKQ327693:CKQ327700 CUM327693:CUM327700 DEI327693:DEI327700 DOE327693:DOE327700 DYA327693:DYA327700 EHW327693:EHW327700 ERS327693:ERS327700 FBO327693:FBO327700 FLK327693:FLK327700 FVG327693:FVG327700 GFC327693:GFC327700 GOY327693:GOY327700 GYU327693:GYU327700 HIQ327693:HIQ327700 HSM327693:HSM327700 ICI327693:ICI327700 IME327693:IME327700 IWA327693:IWA327700 JFW327693:JFW327700 JPS327693:JPS327700 JZO327693:JZO327700 KJK327693:KJK327700 KTG327693:KTG327700 LDC327693:LDC327700 LMY327693:LMY327700 LWU327693:LWU327700 MGQ327693:MGQ327700 MQM327693:MQM327700 NAI327693:NAI327700 NKE327693:NKE327700 NUA327693:NUA327700 ODW327693:ODW327700 ONS327693:ONS327700 OXO327693:OXO327700 PHK327693:PHK327700 PRG327693:PRG327700 QBC327693:QBC327700 QKY327693:QKY327700 QUU327693:QUU327700 REQ327693:REQ327700 ROM327693:ROM327700 RYI327693:RYI327700 SIE327693:SIE327700 SSA327693:SSA327700 TBW327693:TBW327700 TLS327693:TLS327700 TVO327693:TVO327700 UFK327693:UFK327700 UPG327693:UPG327700 UZC327693:UZC327700 VIY327693:VIY327700 VSU327693:VSU327700 WCQ327693:WCQ327700 WMM327693:WMM327700 WWI327693:WWI327700 AA393229:AA393236 JW393229:JW393236 TS393229:TS393236 ADO393229:ADO393236 ANK393229:ANK393236 AXG393229:AXG393236 BHC393229:BHC393236 BQY393229:BQY393236 CAU393229:CAU393236 CKQ393229:CKQ393236 CUM393229:CUM393236 DEI393229:DEI393236 DOE393229:DOE393236 DYA393229:DYA393236 EHW393229:EHW393236 ERS393229:ERS393236 FBO393229:FBO393236 FLK393229:FLK393236 FVG393229:FVG393236 GFC393229:GFC393236 GOY393229:GOY393236 GYU393229:GYU393236 HIQ393229:HIQ393236 HSM393229:HSM393236 ICI393229:ICI393236 IME393229:IME393236 IWA393229:IWA393236 JFW393229:JFW393236 JPS393229:JPS393236 JZO393229:JZO393236 KJK393229:KJK393236 KTG393229:KTG393236 LDC393229:LDC393236 LMY393229:LMY393236 LWU393229:LWU393236 MGQ393229:MGQ393236 MQM393229:MQM393236 NAI393229:NAI393236 NKE393229:NKE393236 NUA393229:NUA393236 ODW393229:ODW393236 ONS393229:ONS393236 OXO393229:OXO393236 PHK393229:PHK393236 PRG393229:PRG393236 QBC393229:QBC393236 QKY393229:QKY393236 QUU393229:QUU393236 REQ393229:REQ393236 ROM393229:ROM393236 RYI393229:RYI393236 SIE393229:SIE393236 SSA393229:SSA393236 TBW393229:TBW393236 TLS393229:TLS393236 TVO393229:TVO393236 UFK393229:UFK393236 UPG393229:UPG393236 UZC393229:UZC393236 VIY393229:VIY393236 VSU393229:VSU393236 WCQ393229:WCQ393236 WMM393229:WMM393236 WWI393229:WWI393236 AA458765:AA458772 JW458765:JW458772 TS458765:TS458772 ADO458765:ADO458772 ANK458765:ANK458772 AXG458765:AXG458772 BHC458765:BHC458772 BQY458765:BQY458772 CAU458765:CAU458772 CKQ458765:CKQ458772 CUM458765:CUM458772 DEI458765:DEI458772 DOE458765:DOE458772 DYA458765:DYA458772 EHW458765:EHW458772 ERS458765:ERS458772 FBO458765:FBO458772 FLK458765:FLK458772 FVG458765:FVG458772 GFC458765:GFC458772 GOY458765:GOY458772 GYU458765:GYU458772 HIQ458765:HIQ458772 HSM458765:HSM458772 ICI458765:ICI458772 IME458765:IME458772 IWA458765:IWA458772 JFW458765:JFW458772 JPS458765:JPS458772 JZO458765:JZO458772 KJK458765:KJK458772 KTG458765:KTG458772 LDC458765:LDC458772 LMY458765:LMY458772 LWU458765:LWU458772 MGQ458765:MGQ458772 MQM458765:MQM458772 NAI458765:NAI458772 NKE458765:NKE458772 NUA458765:NUA458772 ODW458765:ODW458772 ONS458765:ONS458772 OXO458765:OXO458772 PHK458765:PHK458772 PRG458765:PRG458772 QBC458765:QBC458772 QKY458765:QKY458772 QUU458765:QUU458772 REQ458765:REQ458772 ROM458765:ROM458772 RYI458765:RYI458772 SIE458765:SIE458772 SSA458765:SSA458772 TBW458765:TBW458772 TLS458765:TLS458772 TVO458765:TVO458772 UFK458765:UFK458772 UPG458765:UPG458772 UZC458765:UZC458772 VIY458765:VIY458772 VSU458765:VSU458772 WCQ458765:WCQ458772 WMM458765:WMM458772 WWI458765:WWI458772 AA524301:AA524308 JW524301:JW524308 TS524301:TS524308 ADO524301:ADO524308 ANK524301:ANK524308 AXG524301:AXG524308 BHC524301:BHC524308 BQY524301:BQY524308 CAU524301:CAU524308 CKQ524301:CKQ524308 CUM524301:CUM524308 DEI524301:DEI524308 DOE524301:DOE524308 DYA524301:DYA524308 EHW524301:EHW524308 ERS524301:ERS524308 FBO524301:FBO524308 FLK524301:FLK524308 FVG524301:FVG524308 GFC524301:GFC524308 GOY524301:GOY524308 GYU524301:GYU524308 HIQ524301:HIQ524308 HSM524301:HSM524308 ICI524301:ICI524308 IME524301:IME524308 IWA524301:IWA524308 JFW524301:JFW524308 JPS524301:JPS524308 JZO524301:JZO524308 KJK524301:KJK524308 KTG524301:KTG524308 LDC524301:LDC524308 LMY524301:LMY524308 LWU524301:LWU524308 MGQ524301:MGQ524308 MQM524301:MQM524308 NAI524301:NAI524308 NKE524301:NKE524308 NUA524301:NUA524308 ODW524301:ODW524308 ONS524301:ONS524308 OXO524301:OXO524308 PHK524301:PHK524308 PRG524301:PRG524308 QBC524301:QBC524308 QKY524301:QKY524308 QUU524301:QUU524308 REQ524301:REQ524308 ROM524301:ROM524308 RYI524301:RYI524308 SIE524301:SIE524308 SSA524301:SSA524308 TBW524301:TBW524308 TLS524301:TLS524308 TVO524301:TVO524308 UFK524301:UFK524308 UPG524301:UPG524308 UZC524301:UZC524308 VIY524301:VIY524308 VSU524301:VSU524308 WCQ524301:WCQ524308 WMM524301:WMM524308 WWI524301:WWI524308 AA589837:AA589844 JW589837:JW589844 TS589837:TS589844 ADO589837:ADO589844 ANK589837:ANK589844 AXG589837:AXG589844 BHC589837:BHC589844 BQY589837:BQY589844 CAU589837:CAU589844 CKQ589837:CKQ589844 CUM589837:CUM589844 DEI589837:DEI589844 DOE589837:DOE589844 DYA589837:DYA589844 EHW589837:EHW589844 ERS589837:ERS589844 FBO589837:FBO589844 FLK589837:FLK589844 FVG589837:FVG589844 GFC589837:GFC589844 GOY589837:GOY589844 GYU589837:GYU589844 HIQ589837:HIQ589844 HSM589837:HSM589844 ICI589837:ICI589844 IME589837:IME589844 IWA589837:IWA589844 JFW589837:JFW589844 JPS589837:JPS589844 JZO589837:JZO589844 KJK589837:KJK589844 KTG589837:KTG589844 LDC589837:LDC589844 LMY589837:LMY589844 LWU589837:LWU589844 MGQ589837:MGQ589844 MQM589837:MQM589844 NAI589837:NAI589844 NKE589837:NKE589844 NUA589837:NUA589844 ODW589837:ODW589844 ONS589837:ONS589844 OXO589837:OXO589844 PHK589837:PHK589844 PRG589837:PRG589844 QBC589837:QBC589844 QKY589837:QKY589844 QUU589837:QUU589844 REQ589837:REQ589844 ROM589837:ROM589844 RYI589837:RYI589844 SIE589837:SIE589844 SSA589837:SSA589844 TBW589837:TBW589844 TLS589837:TLS589844 TVO589837:TVO589844 UFK589837:UFK589844 UPG589837:UPG589844 UZC589837:UZC589844 VIY589837:VIY589844 VSU589837:VSU589844 WCQ589837:WCQ589844 WMM589837:WMM589844 WWI589837:WWI589844 AA655373:AA655380 JW655373:JW655380 TS655373:TS655380 ADO655373:ADO655380 ANK655373:ANK655380 AXG655373:AXG655380 BHC655373:BHC655380 BQY655373:BQY655380 CAU655373:CAU655380 CKQ655373:CKQ655380 CUM655373:CUM655380 DEI655373:DEI655380 DOE655373:DOE655380 DYA655373:DYA655380 EHW655373:EHW655380 ERS655373:ERS655380 FBO655373:FBO655380 FLK655373:FLK655380 FVG655373:FVG655380 GFC655373:GFC655380 GOY655373:GOY655380 GYU655373:GYU655380 HIQ655373:HIQ655380 HSM655373:HSM655380 ICI655373:ICI655380 IME655373:IME655380 IWA655373:IWA655380 JFW655373:JFW655380 JPS655373:JPS655380 JZO655373:JZO655380 KJK655373:KJK655380 KTG655373:KTG655380 LDC655373:LDC655380 LMY655373:LMY655380 LWU655373:LWU655380 MGQ655373:MGQ655380 MQM655373:MQM655380 NAI655373:NAI655380 NKE655373:NKE655380 NUA655373:NUA655380 ODW655373:ODW655380 ONS655373:ONS655380 OXO655373:OXO655380 PHK655373:PHK655380 PRG655373:PRG655380 QBC655373:QBC655380 QKY655373:QKY655380 QUU655373:QUU655380 REQ655373:REQ655380 ROM655373:ROM655380 RYI655373:RYI655380 SIE655373:SIE655380 SSA655373:SSA655380 TBW655373:TBW655380 TLS655373:TLS655380 TVO655373:TVO655380 UFK655373:UFK655380 UPG655373:UPG655380 UZC655373:UZC655380 VIY655373:VIY655380 VSU655373:VSU655380 WCQ655373:WCQ655380 WMM655373:WMM655380 WWI655373:WWI655380 AA720909:AA720916 JW720909:JW720916 TS720909:TS720916 ADO720909:ADO720916 ANK720909:ANK720916 AXG720909:AXG720916 BHC720909:BHC720916 BQY720909:BQY720916 CAU720909:CAU720916 CKQ720909:CKQ720916 CUM720909:CUM720916 DEI720909:DEI720916 DOE720909:DOE720916 DYA720909:DYA720916 EHW720909:EHW720916 ERS720909:ERS720916 FBO720909:FBO720916 FLK720909:FLK720916 FVG720909:FVG720916 GFC720909:GFC720916 GOY720909:GOY720916 GYU720909:GYU720916 HIQ720909:HIQ720916 HSM720909:HSM720916 ICI720909:ICI720916 IME720909:IME720916 IWA720909:IWA720916 JFW720909:JFW720916 JPS720909:JPS720916 JZO720909:JZO720916 KJK720909:KJK720916 KTG720909:KTG720916 LDC720909:LDC720916 LMY720909:LMY720916 LWU720909:LWU720916 MGQ720909:MGQ720916 MQM720909:MQM720916 NAI720909:NAI720916 NKE720909:NKE720916 NUA720909:NUA720916 ODW720909:ODW720916 ONS720909:ONS720916 OXO720909:OXO720916 PHK720909:PHK720916 PRG720909:PRG720916 QBC720909:QBC720916 QKY720909:QKY720916 QUU720909:QUU720916 REQ720909:REQ720916 ROM720909:ROM720916 RYI720909:RYI720916 SIE720909:SIE720916 SSA720909:SSA720916 TBW720909:TBW720916 TLS720909:TLS720916 TVO720909:TVO720916 UFK720909:UFK720916 UPG720909:UPG720916 UZC720909:UZC720916 VIY720909:VIY720916 VSU720909:VSU720916 WCQ720909:WCQ720916 WMM720909:WMM720916 WWI720909:WWI720916 AA786445:AA786452 JW786445:JW786452 TS786445:TS786452 ADO786445:ADO786452 ANK786445:ANK786452 AXG786445:AXG786452 BHC786445:BHC786452 BQY786445:BQY786452 CAU786445:CAU786452 CKQ786445:CKQ786452 CUM786445:CUM786452 DEI786445:DEI786452 DOE786445:DOE786452 DYA786445:DYA786452 EHW786445:EHW786452 ERS786445:ERS786452 FBO786445:FBO786452 FLK786445:FLK786452 FVG786445:FVG786452 GFC786445:GFC786452 GOY786445:GOY786452 GYU786445:GYU786452 HIQ786445:HIQ786452 HSM786445:HSM786452 ICI786445:ICI786452 IME786445:IME786452 IWA786445:IWA786452 JFW786445:JFW786452 JPS786445:JPS786452 JZO786445:JZO786452 KJK786445:KJK786452 KTG786445:KTG786452 LDC786445:LDC786452 LMY786445:LMY786452 LWU786445:LWU786452 MGQ786445:MGQ786452 MQM786445:MQM786452 NAI786445:NAI786452 NKE786445:NKE786452 NUA786445:NUA786452 ODW786445:ODW786452 ONS786445:ONS786452 OXO786445:OXO786452 PHK786445:PHK786452 PRG786445:PRG786452 QBC786445:QBC786452 QKY786445:QKY786452 QUU786445:QUU786452 REQ786445:REQ786452 ROM786445:ROM786452 RYI786445:RYI786452 SIE786445:SIE786452 SSA786445:SSA786452 TBW786445:TBW786452 TLS786445:TLS786452 TVO786445:TVO786452 UFK786445:UFK786452 UPG786445:UPG786452 UZC786445:UZC786452 VIY786445:VIY786452 VSU786445:VSU786452 WCQ786445:WCQ786452 WMM786445:WMM786452 WWI786445:WWI786452 AA851981:AA851988 JW851981:JW851988 TS851981:TS851988 ADO851981:ADO851988 ANK851981:ANK851988 AXG851981:AXG851988 BHC851981:BHC851988 BQY851981:BQY851988 CAU851981:CAU851988 CKQ851981:CKQ851988 CUM851981:CUM851988 DEI851981:DEI851988 DOE851981:DOE851988 DYA851981:DYA851988 EHW851981:EHW851988 ERS851981:ERS851988 FBO851981:FBO851988 FLK851981:FLK851988 FVG851981:FVG851988 GFC851981:GFC851988 GOY851981:GOY851988 GYU851981:GYU851988 HIQ851981:HIQ851988 HSM851981:HSM851988 ICI851981:ICI851988 IME851981:IME851988 IWA851981:IWA851988 JFW851981:JFW851988 JPS851981:JPS851988 JZO851981:JZO851988 KJK851981:KJK851988 KTG851981:KTG851988 LDC851981:LDC851988 LMY851981:LMY851988 LWU851981:LWU851988 MGQ851981:MGQ851988 MQM851981:MQM851988 NAI851981:NAI851988 NKE851981:NKE851988 NUA851981:NUA851988 ODW851981:ODW851988 ONS851981:ONS851988 OXO851981:OXO851988 PHK851981:PHK851988 PRG851981:PRG851988 QBC851981:QBC851988 QKY851981:QKY851988 QUU851981:QUU851988 REQ851981:REQ851988 ROM851981:ROM851988 RYI851981:RYI851988 SIE851981:SIE851988 SSA851981:SSA851988 TBW851981:TBW851988 TLS851981:TLS851988 TVO851981:TVO851988 UFK851981:UFK851988 UPG851981:UPG851988 UZC851981:UZC851988 VIY851981:VIY851988 VSU851981:VSU851988 WCQ851981:WCQ851988 WMM851981:WMM851988 WWI851981:WWI851988 AA917517:AA917524 JW917517:JW917524 TS917517:TS917524 ADO917517:ADO917524 ANK917517:ANK917524 AXG917517:AXG917524 BHC917517:BHC917524 BQY917517:BQY917524 CAU917517:CAU917524 CKQ917517:CKQ917524 CUM917517:CUM917524 DEI917517:DEI917524 DOE917517:DOE917524 DYA917517:DYA917524 EHW917517:EHW917524 ERS917517:ERS917524 FBO917517:FBO917524 FLK917517:FLK917524 FVG917517:FVG917524 GFC917517:GFC917524 GOY917517:GOY917524 GYU917517:GYU917524 HIQ917517:HIQ917524 HSM917517:HSM917524 ICI917517:ICI917524 IME917517:IME917524 IWA917517:IWA917524 JFW917517:JFW917524 JPS917517:JPS917524 JZO917517:JZO917524 KJK917517:KJK917524 KTG917517:KTG917524 LDC917517:LDC917524 LMY917517:LMY917524 LWU917517:LWU917524 MGQ917517:MGQ917524 MQM917517:MQM917524 NAI917517:NAI917524 NKE917517:NKE917524 NUA917517:NUA917524 ODW917517:ODW917524 ONS917517:ONS917524 OXO917517:OXO917524 PHK917517:PHK917524 PRG917517:PRG917524 QBC917517:QBC917524 QKY917517:QKY917524 QUU917517:QUU917524 REQ917517:REQ917524 ROM917517:ROM917524 RYI917517:RYI917524 SIE917517:SIE917524 SSA917517:SSA917524 TBW917517:TBW917524 TLS917517:TLS917524 TVO917517:TVO917524 UFK917517:UFK917524 UPG917517:UPG917524 UZC917517:UZC917524 VIY917517:VIY917524 VSU917517:VSU917524 WCQ917517:WCQ917524 WMM917517:WMM917524 WWI917517:WWI917524 AA983053:AA983060 JW983053:JW983060 TS983053:TS983060 ADO983053:ADO983060 ANK983053:ANK983060 AXG983053:AXG983060 BHC983053:BHC983060 BQY983053:BQY983060 CAU983053:CAU983060 CKQ983053:CKQ983060 CUM983053:CUM983060 DEI983053:DEI983060 DOE983053:DOE983060 DYA983053:DYA983060 EHW983053:EHW983060 ERS983053:ERS983060 FBO983053:FBO983060 FLK983053:FLK983060 FVG983053:FVG983060 GFC983053:GFC983060 GOY983053:GOY983060 GYU983053:GYU983060 HIQ983053:HIQ983060 HSM983053:HSM983060 ICI983053:ICI983060 IME983053:IME983060 IWA983053:IWA983060 JFW983053:JFW983060 JPS983053:JPS983060 JZO983053:JZO983060 KJK983053:KJK983060 KTG983053:KTG983060 LDC983053:LDC983060 LMY983053:LMY983060 LWU983053:LWU983060 MGQ983053:MGQ983060 MQM983053:MQM983060 NAI983053:NAI983060 NKE983053:NKE983060 NUA983053:NUA983060 ODW983053:ODW983060 ONS983053:ONS983060 OXO983053:OXO983060 PHK983053:PHK983060 PRG983053:PRG983060 QBC983053:QBC983060 QKY983053:QKY983060 QUU983053:QUU983060 REQ983053:REQ983060 ROM983053:ROM983060 RYI983053:RYI983060 SIE983053:SIE983060 SSA983053:SSA983060 TBW983053:TBW983060 TLS983053:TLS983060 TVO983053:TVO983060 UFK983053:UFK983060 UPG983053:UPG983060 UZC983053:UZC983060 VIY983053:VIY983060 VSU983053:VSU983060 WCQ983053:WCQ983060 WMM983053:WMM983060 WWI983053:WWI983060 V13:Z21 JR13:JV21 TN13:TR21 ADJ13:ADN21 ANF13:ANJ21 AXB13:AXF21 BGX13:BHB21 BQT13:BQX21 CAP13:CAT21 CKL13:CKP21 CUH13:CUL21 DED13:DEH21 DNZ13:DOD21 DXV13:DXZ21 EHR13:EHV21 ERN13:ERR21 FBJ13:FBN21 FLF13:FLJ21 FVB13:FVF21 GEX13:GFB21 GOT13:GOX21 GYP13:GYT21 HIL13:HIP21 HSH13:HSL21 ICD13:ICH21 ILZ13:IMD21 IVV13:IVZ21 JFR13:JFV21 JPN13:JPR21 JZJ13:JZN21 KJF13:KJJ21 KTB13:KTF21 LCX13:LDB21 LMT13:LMX21 LWP13:LWT21 MGL13:MGP21 MQH13:MQL21 NAD13:NAH21 NJZ13:NKD21 NTV13:NTZ21 ODR13:ODV21 ONN13:ONR21 OXJ13:OXN21 PHF13:PHJ21 PRB13:PRF21 QAX13:QBB21 QKT13:QKX21 QUP13:QUT21 REL13:REP21 ROH13:ROL21 RYD13:RYH21 SHZ13:SID21 SRV13:SRZ21 TBR13:TBV21 TLN13:TLR21 TVJ13:TVN21 UFF13:UFJ21 UPB13:UPF21 UYX13:UZB21 VIT13:VIX21 VSP13:VST21 WCL13:WCP21 WMH13:WML21 WWD13:WWH21 V65549:Z65557 JR65549:JV65557 TN65549:TR65557 ADJ65549:ADN65557 ANF65549:ANJ65557 AXB65549:AXF65557 BGX65549:BHB65557 BQT65549:BQX65557 CAP65549:CAT65557 CKL65549:CKP65557 CUH65549:CUL65557 DED65549:DEH65557 DNZ65549:DOD65557 DXV65549:DXZ65557 EHR65549:EHV65557 ERN65549:ERR65557 FBJ65549:FBN65557 FLF65549:FLJ65557 FVB65549:FVF65557 GEX65549:GFB65557 GOT65549:GOX65557 GYP65549:GYT65557 HIL65549:HIP65557 HSH65549:HSL65557 ICD65549:ICH65557 ILZ65549:IMD65557 IVV65549:IVZ65557 JFR65549:JFV65557 JPN65549:JPR65557 JZJ65549:JZN65557 KJF65549:KJJ65557 KTB65549:KTF65557 LCX65549:LDB65557 LMT65549:LMX65557 LWP65549:LWT65557 MGL65549:MGP65557 MQH65549:MQL65557 NAD65549:NAH65557 NJZ65549:NKD65557 NTV65549:NTZ65557 ODR65549:ODV65557 ONN65549:ONR65557 OXJ65549:OXN65557 PHF65549:PHJ65557 PRB65549:PRF65557 QAX65549:QBB65557 QKT65549:QKX65557 QUP65549:QUT65557 REL65549:REP65557 ROH65549:ROL65557 RYD65549:RYH65557 SHZ65549:SID65557 SRV65549:SRZ65557 TBR65549:TBV65557 TLN65549:TLR65557 TVJ65549:TVN65557 UFF65549:UFJ65557 UPB65549:UPF65557 UYX65549:UZB65557 VIT65549:VIX65557 VSP65549:VST65557 WCL65549:WCP65557 WMH65549:WML65557 WWD65549:WWH65557 V131085:Z131093 JR131085:JV131093 TN131085:TR131093 ADJ131085:ADN131093 ANF131085:ANJ131093 AXB131085:AXF131093 BGX131085:BHB131093 BQT131085:BQX131093 CAP131085:CAT131093 CKL131085:CKP131093 CUH131085:CUL131093 DED131085:DEH131093 DNZ131085:DOD131093 DXV131085:DXZ131093 EHR131085:EHV131093 ERN131085:ERR131093 FBJ131085:FBN131093 FLF131085:FLJ131093 FVB131085:FVF131093 GEX131085:GFB131093 GOT131085:GOX131093 GYP131085:GYT131093 HIL131085:HIP131093 HSH131085:HSL131093 ICD131085:ICH131093 ILZ131085:IMD131093 IVV131085:IVZ131093 JFR131085:JFV131093 JPN131085:JPR131093 JZJ131085:JZN131093 KJF131085:KJJ131093 KTB131085:KTF131093 LCX131085:LDB131093 LMT131085:LMX131093 LWP131085:LWT131093 MGL131085:MGP131093 MQH131085:MQL131093 NAD131085:NAH131093 NJZ131085:NKD131093 NTV131085:NTZ131093 ODR131085:ODV131093 ONN131085:ONR131093 OXJ131085:OXN131093 PHF131085:PHJ131093 PRB131085:PRF131093 QAX131085:QBB131093 QKT131085:QKX131093 QUP131085:QUT131093 REL131085:REP131093 ROH131085:ROL131093 RYD131085:RYH131093 SHZ131085:SID131093 SRV131085:SRZ131093 TBR131085:TBV131093 TLN131085:TLR131093 TVJ131085:TVN131093 UFF131085:UFJ131093 UPB131085:UPF131093 UYX131085:UZB131093 VIT131085:VIX131093 VSP131085:VST131093 WCL131085:WCP131093 WMH131085:WML131093 WWD131085:WWH131093 V196621:Z196629 JR196621:JV196629 TN196621:TR196629 ADJ196621:ADN196629 ANF196621:ANJ196629 AXB196621:AXF196629 BGX196621:BHB196629 BQT196621:BQX196629 CAP196621:CAT196629 CKL196621:CKP196629 CUH196621:CUL196629 DED196621:DEH196629 DNZ196621:DOD196629 DXV196621:DXZ196629 EHR196621:EHV196629 ERN196621:ERR196629 FBJ196621:FBN196629 FLF196621:FLJ196629 FVB196621:FVF196629 GEX196621:GFB196629 GOT196621:GOX196629 GYP196621:GYT196629 HIL196621:HIP196629 HSH196621:HSL196629 ICD196621:ICH196629 ILZ196621:IMD196629 IVV196621:IVZ196629 JFR196621:JFV196629 JPN196621:JPR196629 JZJ196621:JZN196629 KJF196621:KJJ196629 KTB196621:KTF196629 LCX196621:LDB196629 LMT196621:LMX196629 LWP196621:LWT196629 MGL196621:MGP196629 MQH196621:MQL196629 NAD196621:NAH196629 NJZ196621:NKD196629 NTV196621:NTZ196629 ODR196621:ODV196629 ONN196621:ONR196629 OXJ196621:OXN196629 PHF196621:PHJ196629 PRB196621:PRF196629 QAX196621:QBB196629 QKT196621:QKX196629 QUP196621:QUT196629 REL196621:REP196629 ROH196621:ROL196629 RYD196621:RYH196629 SHZ196621:SID196629 SRV196621:SRZ196629 TBR196621:TBV196629 TLN196621:TLR196629 TVJ196621:TVN196629 UFF196621:UFJ196629 UPB196621:UPF196629 UYX196621:UZB196629 VIT196621:VIX196629 VSP196621:VST196629 WCL196621:WCP196629 WMH196621:WML196629 WWD196621:WWH196629 V262157:Z262165 JR262157:JV262165 TN262157:TR262165 ADJ262157:ADN262165 ANF262157:ANJ262165 AXB262157:AXF262165 BGX262157:BHB262165 BQT262157:BQX262165 CAP262157:CAT262165 CKL262157:CKP262165 CUH262157:CUL262165 DED262157:DEH262165 DNZ262157:DOD262165 DXV262157:DXZ262165 EHR262157:EHV262165 ERN262157:ERR262165 FBJ262157:FBN262165 FLF262157:FLJ262165 FVB262157:FVF262165 GEX262157:GFB262165 GOT262157:GOX262165 GYP262157:GYT262165 HIL262157:HIP262165 HSH262157:HSL262165 ICD262157:ICH262165 ILZ262157:IMD262165 IVV262157:IVZ262165 JFR262157:JFV262165 JPN262157:JPR262165 JZJ262157:JZN262165 KJF262157:KJJ262165 KTB262157:KTF262165 LCX262157:LDB262165 LMT262157:LMX262165 LWP262157:LWT262165 MGL262157:MGP262165 MQH262157:MQL262165 NAD262157:NAH262165 NJZ262157:NKD262165 NTV262157:NTZ262165 ODR262157:ODV262165 ONN262157:ONR262165 OXJ262157:OXN262165 PHF262157:PHJ262165 PRB262157:PRF262165 QAX262157:QBB262165 QKT262157:QKX262165 QUP262157:QUT262165 REL262157:REP262165 ROH262157:ROL262165 RYD262157:RYH262165 SHZ262157:SID262165 SRV262157:SRZ262165 TBR262157:TBV262165 TLN262157:TLR262165 TVJ262157:TVN262165 UFF262157:UFJ262165 UPB262157:UPF262165 UYX262157:UZB262165 VIT262157:VIX262165 VSP262157:VST262165 WCL262157:WCP262165 WMH262157:WML262165 WWD262157:WWH262165 V327693:Z327701 JR327693:JV327701 TN327693:TR327701 ADJ327693:ADN327701 ANF327693:ANJ327701 AXB327693:AXF327701 BGX327693:BHB327701 BQT327693:BQX327701 CAP327693:CAT327701 CKL327693:CKP327701 CUH327693:CUL327701 DED327693:DEH327701 DNZ327693:DOD327701 DXV327693:DXZ327701 EHR327693:EHV327701 ERN327693:ERR327701 FBJ327693:FBN327701 FLF327693:FLJ327701 FVB327693:FVF327701 GEX327693:GFB327701 GOT327693:GOX327701 GYP327693:GYT327701 HIL327693:HIP327701 HSH327693:HSL327701 ICD327693:ICH327701 ILZ327693:IMD327701 IVV327693:IVZ327701 JFR327693:JFV327701 JPN327693:JPR327701 JZJ327693:JZN327701 KJF327693:KJJ327701 KTB327693:KTF327701 LCX327693:LDB327701 LMT327693:LMX327701 LWP327693:LWT327701 MGL327693:MGP327701 MQH327693:MQL327701 NAD327693:NAH327701 NJZ327693:NKD327701 NTV327693:NTZ327701 ODR327693:ODV327701 ONN327693:ONR327701 OXJ327693:OXN327701 PHF327693:PHJ327701 PRB327693:PRF327701 QAX327693:QBB327701 QKT327693:QKX327701 QUP327693:QUT327701 REL327693:REP327701 ROH327693:ROL327701 RYD327693:RYH327701 SHZ327693:SID327701 SRV327693:SRZ327701 TBR327693:TBV327701 TLN327693:TLR327701 TVJ327693:TVN327701 UFF327693:UFJ327701 UPB327693:UPF327701 UYX327693:UZB327701 VIT327693:VIX327701 VSP327693:VST327701 WCL327693:WCP327701 WMH327693:WML327701 WWD327693:WWH327701 V393229:Z393237 JR393229:JV393237 TN393229:TR393237 ADJ393229:ADN393237 ANF393229:ANJ393237 AXB393229:AXF393237 BGX393229:BHB393237 BQT393229:BQX393237 CAP393229:CAT393237 CKL393229:CKP393237 CUH393229:CUL393237 DED393229:DEH393237 DNZ393229:DOD393237 DXV393229:DXZ393237 EHR393229:EHV393237 ERN393229:ERR393237 FBJ393229:FBN393237 FLF393229:FLJ393237 FVB393229:FVF393237 GEX393229:GFB393237 GOT393229:GOX393237 GYP393229:GYT393237 HIL393229:HIP393237 HSH393229:HSL393237 ICD393229:ICH393237 ILZ393229:IMD393237 IVV393229:IVZ393237 JFR393229:JFV393237 JPN393229:JPR393237 JZJ393229:JZN393237 KJF393229:KJJ393237 KTB393229:KTF393237 LCX393229:LDB393237 LMT393229:LMX393237 LWP393229:LWT393237 MGL393229:MGP393237 MQH393229:MQL393237 NAD393229:NAH393237 NJZ393229:NKD393237 NTV393229:NTZ393237 ODR393229:ODV393237 ONN393229:ONR393237 OXJ393229:OXN393237 PHF393229:PHJ393237 PRB393229:PRF393237 QAX393229:QBB393237 QKT393229:QKX393237 QUP393229:QUT393237 REL393229:REP393237 ROH393229:ROL393237 RYD393229:RYH393237 SHZ393229:SID393237 SRV393229:SRZ393237 TBR393229:TBV393237 TLN393229:TLR393237 TVJ393229:TVN393237 UFF393229:UFJ393237 UPB393229:UPF393237 UYX393229:UZB393237 VIT393229:VIX393237 VSP393229:VST393237 WCL393229:WCP393237 WMH393229:WML393237 WWD393229:WWH393237 V458765:Z458773 JR458765:JV458773 TN458765:TR458773 ADJ458765:ADN458773 ANF458765:ANJ458773 AXB458765:AXF458773 BGX458765:BHB458773 BQT458765:BQX458773 CAP458765:CAT458773 CKL458765:CKP458773 CUH458765:CUL458773 DED458765:DEH458773 DNZ458765:DOD458773 DXV458765:DXZ458773 EHR458765:EHV458773 ERN458765:ERR458773 FBJ458765:FBN458773 FLF458765:FLJ458773 FVB458765:FVF458773 GEX458765:GFB458773 GOT458765:GOX458773 GYP458765:GYT458773 HIL458765:HIP458773 HSH458765:HSL458773 ICD458765:ICH458773 ILZ458765:IMD458773 IVV458765:IVZ458773 JFR458765:JFV458773 JPN458765:JPR458773 JZJ458765:JZN458773 KJF458765:KJJ458773 KTB458765:KTF458773 LCX458765:LDB458773 LMT458765:LMX458773 LWP458765:LWT458773 MGL458765:MGP458773 MQH458765:MQL458773 NAD458765:NAH458773 NJZ458765:NKD458773 NTV458765:NTZ458773 ODR458765:ODV458773 ONN458765:ONR458773 OXJ458765:OXN458773 PHF458765:PHJ458773 PRB458765:PRF458773 QAX458765:QBB458773 QKT458765:QKX458773 QUP458765:QUT458773 REL458765:REP458773 ROH458765:ROL458773 RYD458765:RYH458773 SHZ458765:SID458773 SRV458765:SRZ458773 TBR458765:TBV458773 TLN458765:TLR458773 TVJ458765:TVN458773 UFF458765:UFJ458773 UPB458765:UPF458773 UYX458765:UZB458773 VIT458765:VIX458773 VSP458765:VST458773 WCL458765:WCP458773 WMH458765:WML458773 WWD458765:WWH458773 V524301:Z524309 JR524301:JV524309 TN524301:TR524309 ADJ524301:ADN524309 ANF524301:ANJ524309 AXB524301:AXF524309 BGX524301:BHB524309 BQT524301:BQX524309 CAP524301:CAT524309 CKL524301:CKP524309 CUH524301:CUL524309 DED524301:DEH524309 DNZ524301:DOD524309 DXV524301:DXZ524309 EHR524301:EHV524309 ERN524301:ERR524309 FBJ524301:FBN524309 FLF524301:FLJ524309 FVB524301:FVF524309 GEX524301:GFB524309 GOT524301:GOX524309 GYP524301:GYT524309 HIL524301:HIP524309 HSH524301:HSL524309 ICD524301:ICH524309 ILZ524301:IMD524309 IVV524301:IVZ524309 JFR524301:JFV524309 JPN524301:JPR524309 JZJ524301:JZN524309 KJF524301:KJJ524309 KTB524301:KTF524309 LCX524301:LDB524309 LMT524301:LMX524309 LWP524301:LWT524309 MGL524301:MGP524309 MQH524301:MQL524309 NAD524301:NAH524309 NJZ524301:NKD524309 NTV524301:NTZ524309 ODR524301:ODV524309 ONN524301:ONR524309 OXJ524301:OXN524309 PHF524301:PHJ524309 PRB524301:PRF524309 QAX524301:QBB524309 QKT524301:QKX524309 QUP524301:QUT524309 REL524301:REP524309 ROH524301:ROL524309 RYD524301:RYH524309 SHZ524301:SID524309 SRV524301:SRZ524309 TBR524301:TBV524309 TLN524301:TLR524309 TVJ524301:TVN524309 UFF524301:UFJ524309 UPB524301:UPF524309 UYX524301:UZB524309 VIT524301:VIX524309 VSP524301:VST524309 WCL524301:WCP524309 WMH524301:WML524309 WWD524301:WWH524309 V589837:Z589845 JR589837:JV589845 TN589837:TR589845 ADJ589837:ADN589845 ANF589837:ANJ589845 AXB589837:AXF589845 BGX589837:BHB589845 BQT589837:BQX589845 CAP589837:CAT589845 CKL589837:CKP589845 CUH589837:CUL589845 DED589837:DEH589845 DNZ589837:DOD589845 DXV589837:DXZ589845 EHR589837:EHV589845 ERN589837:ERR589845 FBJ589837:FBN589845 FLF589837:FLJ589845 FVB589837:FVF589845 GEX589837:GFB589845 GOT589837:GOX589845 GYP589837:GYT589845 HIL589837:HIP589845 HSH589837:HSL589845 ICD589837:ICH589845 ILZ589837:IMD589845 IVV589837:IVZ589845 JFR589837:JFV589845 JPN589837:JPR589845 JZJ589837:JZN589845 KJF589837:KJJ589845 KTB589837:KTF589845 LCX589837:LDB589845 LMT589837:LMX589845 LWP589837:LWT589845 MGL589837:MGP589845 MQH589837:MQL589845 NAD589837:NAH589845 NJZ589837:NKD589845 NTV589837:NTZ589845 ODR589837:ODV589845 ONN589837:ONR589845 OXJ589837:OXN589845 PHF589837:PHJ589845 PRB589837:PRF589845 QAX589837:QBB589845 QKT589837:QKX589845 QUP589837:QUT589845 REL589837:REP589845 ROH589837:ROL589845 RYD589837:RYH589845 SHZ589837:SID589845 SRV589837:SRZ589845 TBR589837:TBV589845 TLN589837:TLR589845 TVJ589837:TVN589845 UFF589837:UFJ589845 UPB589837:UPF589845 UYX589837:UZB589845 VIT589837:VIX589845 VSP589837:VST589845 WCL589837:WCP589845 WMH589837:WML589845 WWD589837:WWH589845 V655373:Z655381 JR655373:JV655381 TN655373:TR655381 ADJ655373:ADN655381 ANF655373:ANJ655381 AXB655373:AXF655381 BGX655373:BHB655381 BQT655373:BQX655381 CAP655373:CAT655381 CKL655373:CKP655381 CUH655373:CUL655381 DED655373:DEH655381 DNZ655373:DOD655381 DXV655373:DXZ655381 EHR655373:EHV655381 ERN655373:ERR655381 FBJ655373:FBN655381 FLF655373:FLJ655381 FVB655373:FVF655381 GEX655373:GFB655381 GOT655373:GOX655381 GYP655373:GYT655381 HIL655373:HIP655381 HSH655373:HSL655381 ICD655373:ICH655381 ILZ655373:IMD655381 IVV655373:IVZ655381 JFR655373:JFV655381 JPN655373:JPR655381 JZJ655373:JZN655381 KJF655373:KJJ655381 KTB655373:KTF655381 LCX655373:LDB655381 LMT655373:LMX655381 LWP655373:LWT655381 MGL655373:MGP655381 MQH655373:MQL655381 NAD655373:NAH655381 NJZ655373:NKD655381 NTV655373:NTZ655381 ODR655373:ODV655381 ONN655373:ONR655381 OXJ655373:OXN655381 PHF655373:PHJ655381 PRB655373:PRF655381 QAX655373:QBB655381 QKT655373:QKX655381 QUP655373:QUT655381 REL655373:REP655381 ROH655373:ROL655381 RYD655373:RYH655381 SHZ655373:SID655381 SRV655373:SRZ655381 TBR655373:TBV655381 TLN655373:TLR655381 TVJ655373:TVN655381 UFF655373:UFJ655381 UPB655373:UPF655381 UYX655373:UZB655381 VIT655373:VIX655381 VSP655373:VST655381 WCL655373:WCP655381 WMH655373:WML655381 WWD655373:WWH655381 V720909:Z720917 JR720909:JV720917 TN720909:TR720917 ADJ720909:ADN720917 ANF720909:ANJ720917 AXB720909:AXF720917 BGX720909:BHB720917 BQT720909:BQX720917 CAP720909:CAT720917 CKL720909:CKP720917 CUH720909:CUL720917 DED720909:DEH720917 DNZ720909:DOD720917 DXV720909:DXZ720917 EHR720909:EHV720917 ERN720909:ERR720917 FBJ720909:FBN720917 FLF720909:FLJ720917 FVB720909:FVF720917 GEX720909:GFB720917 GOT720909:GOX720917 GYP720909:GYT720917 HIL720909:HIP720917 HSH720909:HSL720917 ICD720909:ICH720917 ILZ720909:IMD720917 IVV720909:IVZ720917 JFR720909:JFV720917 JPN720909:JPR720917 JZJ720909:JZN720917 KJF720909:KJJ720917 KTB720909:KTF720917 LCX720909:LDB720917 LMT720909:LMX720917 LWP720909:LWT720917 MGL720909:MGP720917 MQH720909:MQL720917 NAD720909:NAH720917 NJZ720909:NKD720917 NTV720909:NTZ720917 ODR720909:ODV720917 ONN720909:ONR720917 OXJ720909:OXN720917 PHF720909:PHJ720917 PRB720909:PRF720917 QAX720909:QBB720917 QKT720909:QKX720917 QUP720909:QUT720917 REL720909:REP720917 ROH720909:ROL720917 RYD720909:RYH720917 SHZ720909:SID720917 SRV720909:SRZ720917 TBR720909:TBV720917 TLN720909:TLR720917 TVJ720909:TVN720917 UFF720909:UFJ720917 UPB720909:UPF720917 UYX720909:UZB720917 VIT720909:VIX720917 VSP720909:VST720917 WCL720909:WCP720917 WMH720909:WML720917 WWD720909:WWH720917 V786445:Z786453 JR786445:JV786453 TN786445:TR786453 ADJ786445:ADN786453 ANF786445:ANJ786453 AXB786445:AXF786453 BGX786445:BHB786453 BQT786445:BQX786453 CAP786445:CAT786453 CKL786445:CKP786453 CUH786445:CUL786453 DED786445:DEH786453 DNZ786445:DOD786453 DXV786445:DXZ786453 EHR786445:EHV786453 ERN786445:ERR786453 FBJ786445:FBN786453 FLF786445:FLJ786453 FVB786445:FVF786453 GEX786445:GFB786453 GOT786445:GOX786453 GYP786445:GYT786453 HIL786445:HIP786453 HSH786445:HSL786453 ICD786445:ICH786453 ILZ786445:IMD786453 IVV786445:IVZ786453 JFR786445:JFV786453 JPN786445:JPR786453 JZJ786445:JZN786453 KJF786445:KJJ786453 KTB786445:KTF786453 LCX786445:LDB786453 LMT786445:LMX786453 LWP786445:LWT786453 MGL786445:MGP786453 MQH786445:MQL786453 NAD786445:NAH786453 NJZ786445:NKD786453 NTV786445:NTZ786453 ODR786445:ODV786453 ONN786445:ONR786453 OXJ786445:OXN786453 PHF786445:PHJ786453 PRB786445:PRF786453 QAX786445:QBB786453 QKT786445:QKX786453 QUP786445:QUT786453 REL786445:REP786453 ROH786445:ROL786453 RYD786445:RYH786453 SHZ786445:SID786453 SRV786445:SRZ786453 TBR786445:TBV786453 TLN786445:TLR786453 TVJ786445:TVN786453 UFF786445:UFJ786453 UPB786445:UPF786453 UYX786445:UZB786453 VIT786445:VIX786453 VSP786445:VST786453 WCL786445:WCP786453 WMH786445:WML786453 WWD786445:WWH786453 V851981:Z851989 JR851981:JV851989 TN851981:TR851989 ADJ851981:ADN851989 ANF851981:ANJ851989 AXB851981:AXF851989 BGX851981:BHB851989 BQT851981:BQX851989 CAP851981:CAT851989 CKL851981:CKP851989 CUH851981:CUL851989 DED851981:DEH851989 DNZ851981:DOD851989 DXV851981:DXZ851989 EHR851981:EHV851989 ERN851981:ERR851989 FBJ851981:FBN851989 FLF851981:FLJ851989 FVB851981:FVF851989 GEX851981:GFB851989 GOT851981:GOX851989 GYP851981:GYT851989 HIL851981:HIP851989 HSH851981:HSL851989 ICD851981:ICH851989 ILZ851981:IMD851989 IVV851981:IVZ851989 JFR851981:JFV851989 JPN851981:JPR851989 JZJ851981:JZN851989 KJF851981:KJJ851989 KTB851981:KTF851989 LCX851981:LDB851989 LMT851981:LMX851989 LWP851981:LWT851989 MGL851981:MGP851989 MQH851981:MQL851989 NAD851981:NAH851989 NJZ851981:NKD851989 NTV851981:NTZ851989 ODR851981:ODV851989 ONN851981:ONR851989 OXJ851981:OXN851989 PHF851981:PHJ851989 PRB851981:PRF851989 QAX851981:QBB851989 QKT851981:QKX851989 QUP851981:QUT851989 REL851981:REP851989 ROH851981:ROL851989 RYD851981:RYH851989 SHZ851981:SID851989 SRV851981:SRZ851989 TBR851981:TBV851989 TLN851981:TLR851989 TVJ851981:TVN851989 UFF851981:UFJ851989 UPB851981:UPF851989 UYX851981:UZB851989 VIT851981:VIX851989 VSP851981:VST851989 WCL851981:WCP851989 WMH851981:WML851989 WWD851981:WWH851989 V917517:Z917525 JR917517:JV917525 TN917517:TR917525 ADJ917517:ADN917525 ANF917517:ANJ917525 AXB917517:AXF917525 BGX917517:BHB917525 BQT917517:BQX917525 CAP917517:CAT917525 CKL917517:CKP917525 CUH917517:CUL917525 DED917517:DEH917525 DNZ917517:DOD917525 DXV917517:DXZ917525 EHR917517:EHV917525 ERN917517:ERR917525 FBJ917517:FBN917525 FLF917517:FLJ917525 FVB917517:FVF917525 GEX917517:GFB917525 GOT917517:GOX917525 GYP917517:GYT917525 HIL917517:HIP917525 HSH917517:HSL917525 ICD917517:ICH917525 ILZ917517:IMD917525 IVV917517:IVZ917525 JFR917517:JFV917525 JPN917517:JPR917525 JZJ917517:JZN917525 KJF917517:KJJ917525 KTB917517:KTF917525 LCX917517:LDB917525 LMT917517:LMX917525 LWP917517:LWT917525 MGL917517:MGP917525 MQH917517:MQL917525 NAD917517:NAH917525 NJZ917517:NKD917525 NTV917517:NTZ917525 ODR917517:ODV917525 ONN917517:ONR917525 OXJ917517:OXN917525 PHF917517:PHJ917525 PRB917517:PRF917525 QAX917517:QBB917525 QKT917517:QKX917525 QUP917517:QUT917525 REL917517:REP917525 ROH917517:ROL917525 RYD917517:RYH917525 SHZ917517:SID917525 SRV917517:SRZ917525 TBR917517:TBV917525 TLN917517:TLR917525 TVJ917517:TVN917525 UFF917517:UFJ917525 UPB917517:UPF917525 UYX917517:UZB917525 VIT917517:VIX917525 VSP917517:VST917525 WCL917517:WCP917525 WMH917517:WML917525 WWD917517:WWH917525 V983053:Z983061 JR983053:JV983061 TN983053:TR983061 ADJ983053:ADN983061 ANF983053:ANJ983061 AXB983053:AXF983061 BGX983053:BHB983061 BQT983053:BQX983061 CAP983053:CAT983061 CKL983053:CKP983061 CUH983053:CUL983061 DED983053:DEH983061 DNZ983053:DOD983061 DXV983053:DXZ983061 EHR983053:EHV983061 ERN983053:ERR983061 FBJ983053:FBN983061 FLF983053:FLJ983061 FVB983053:FVF983061 GEX983053:GFB983061 GOT983053:GOX983061 GYP983053:GYT983061 HIL983053:HIP983061 HSH983053:HSL983061 ICD983053:ICH983061 ILZ983053:IMD983061 IVV983053:IVZ983061 JFR983053:JFV983061 JPN983053:JPR983061 JZJ983053:JZN983061 KJF983053:KJJ983061 KTB983053:KTF983061 LCX983053:LDB983061 LMT983053:LMX983061 LWP983053:LWT983061 MGL983053:MGP983061 MQH983053:MQL983061 NAD983053:NAH983061 NJZ983053:NKD983061 NTV983053:NTZ983061 ODR983053:ODV983061 ONN983053:ONR983061 OXJ983053:OXN983061 PHF983053:PHJ983061 PRB983053:PRF983061 QAX983053:QBB983061 QKT983053:QKX983061 QUP983053:QUT983061 REL983053:REP983061 ROH983053:ROL983061 RYD983053:RYH983061 SHZ983053:SID983061 SRV983053:SRZ983061 TBR983053:TBV983061 TLN983053:TLR983061 TVJ983053:TVN983061 UFF983053:UFJ983061 UPB983053:UPF983061 UYX983053:UZB983061 VIT983053:VIX983061 VSP983053:VST983061 WCL983053:WCP983061 WMH983053:WML983061 WWD983053:WWH983061 AB13:AE21 JX13:KA21 TT13:TW21 ADP13:ADS21 ANL13:ANO21 AXH13:AXK21 BHD13:BHG21 BQZ13:BRC21 CAV13:CAY21 CKR13:CKU21 CUN13:CUQ21 DEJ13:DEM21 DOF13:DOI21 DYB13:DYE21 EHX13:EIA21 ERT13:ERW21 FBP13:FBS21 FLL13:FLO21 FVH13:FVK21 GFD13:GFG21 GOZ13:GPC21 GYV13:GYY21 HIR13:HIU21 HSN13:HSQ21 ICJ13:ICM21 IMF13:IMI21 IWB13:IWE21 JFX13:JGA21 JPT13:JPW21 JZP13:JZS21 KJL13:KJO21 KTH13:KTK21 LDD13:LDG21 LMZ13:LNC21 LWV13:LWY21 MGR13:MGU21 MQN13:MQQ21 NAJ13:NAM21 NKF13:NKI21 NUB13:NUE21 ODX13:OEA21 ONT13:ONW21 OXP13:OXS21 PHL13:PHO21 PRH13:PRK21 QBD13:QBG21 QKZ13:QLC21 QUV13:QUY21 RER13:REU21 RON13:ROQ21 RYJ13:RYM21 SIF13:SII21 SSB13:SSE21 TBX13:TCA21 TLT13:TLW21 TVP13:TVS21 UFL13:UFO21 UPH13:UPK21 UZD13:UZG21 VIZ13:VJC21 VSV13:VSY21 WCR13:WCU21 WMN13:WMQ21 WWJ13:WWM21 AB65549:AE65557 JX65549:KA65557 TT65549:TW65557 ADP65549:ADS65557 ANL65549:ANO65557 AXH65549:AXK65557 BHD65549:BHG65557 BQZ65549:BRC65557 CAV65549:CAY65557 CKR65549:CKU65557 CUN65549:CUQ65557 DEJ65549:DEM65557 DOF65549:DOI65557 DYB65549:DYE65557 EHX65549:EIA65557 ERT65549:ERW65557 FBP65549:FBS65557 FLL65549:FLO65557 FVH65549:FVK65557 GFD65549:GFG65557 GOZ65549:GPC65557 GYV65549:GYY65557 HIR65549:HIU65557 HSN65549:HSQ65557 ICJ65549:ICM65557 IMF65549:IMI65557 IWB65549:IWE65557 JFX65549:JGA65557 JPT65549:JPW65557 JZP65549:JZS65557 KJL65549:KJO65557 KTH65549:KTK65557 LDD65549:LDG65557 LMZ65549:LNC65557 LWV65549:LWY65557 MGR65549:MGU65557 MQN65549:MQQ65557 NAJ65549:NAM65557 NKF65549:NKI65557 NUB65549:NUE65557 ODX65549:OEA65557 ONT65549:ONW65557 OXP65549:OXS65557 PHL65549:PHO65557 PRH65549:PRK65557 QBD65549:QBG65557 QKZ65549:QLC65557 QUV65549:QUY65557 RER65549:REU65557 RON65549:ROQ65557 RYJ65549:RYM65557 SIF65549:SII65557 SSB65549:SSE65557 TBX65549:TCA65557 TLT65549:TLW65557 TVP65549:TVS65557 UFL65549:UFO65557 UPH65549:UPK65557 UZD65549:UZG65557 VIZ65549:VJC65557 VSV65549:VSY65557 WCR65549:WCU65557 WMN65549:WMQ65557 WWJ65549:WWM65557 AB131085:AE131093 JX131085:KA131093 TT131085:TW131093 ADP131085:ADS131093 ANL131085:ANO131093 AXH131085:AXK131093 BHD131085:BHG131093 BQZ131085:BRC131093 CAV131085:CAY131093 CKR131085:CKU131093 CUN131085:CUQ131093 DEJ131085:DEM131093 DOF131085:DOI131093 DYB131085:DYE131093 EHX131085:EIA131093 ERT131085:ERW131093 FBP131085:FBS131093 FLL131085:FLO131093 FVH131085:FVK131093 GFD131085:GFG131093 GOZ131085:GPC131093 GYV131085:GYY131093 HIR131085:HIU131093 HSN131085:HSQ131093 ICJ131085:ICM131093 IMF131085:IMI131093 IWB131085:IWE131093 JFX131085:JGA131093 JPT131085:JPW131093 JZP131085:JZS131093 KJL131085:KJO131093 KTH131085:KTK131093 LDD131085:LDG131093 LMZ131085:LNC131093 LWV131085:LWY131093 MGR131085:MGU131093 MQN131085:MQQ131093 NAJ131085:NAM131093 NKF131085:NKI131093 NUB131085:NUE131093 ODX131085:OEA131093 ONT131085:ONW131093 OXP131085:OXS131093 PHL131085:PHO131093 PRH131085:PRK131093 QBD131085:QBG131093 QKZ131085:QLC131093 QUV131085:QUY131093 RER131085:REU131093 RON131085:ROQ131093 RYJ131085:RYM131093 SIF131085:SII131093 SSB131085:SSE131093 TBX131085:TCA131093 TLT131085:TLW131093 TVP131085:TVS131093 UFL131085:UFO131093 UPH131085:UPK131093 UZD131085:UZG131093 VIZ131085:VJC131093 VSV131085:VSY131093 WCR131085:WCU131093 WMN131085:WMQ131093 WWJ131085:WWM131093 AB196621:AE196629 JX196621:KA196629 TT196621:TW196629 ADP196621:ADS196629 ANL196621:ANO196629 AXH196621:AXK196629 BHD196621:BHG196629 BQZ196621:BRC196629 CAV196621:CAY196629 CKR196621:CKU196629 CUN196621:CUQ196629 DEJ196621:DEM196629 DOF196621:DOI196629 DYB196621:DYE196629 EHX196621:EIA196629 ERT196621:ERW196629 FBP196621:FBS196629 FLL196621:FLO196629 FVH196621:FVK196629 GFD196621:GFG196629 GOZ196621:GPC196629 GYV196621:GYY196629 HIR196621:HIU196629 HSN196621:HSQ196629 ICJ196621:ICM196629 IMF196621:IMI196629 IWB196621:IWE196629 JFX196621:JGA196629 JPT196621:JPW196629 JZP196621:JZS196629 KJL196621:KJO196629 KTH196621:KTK196629 LDD196621:LDG196629 LMZ196621:LNC196629 LWV196621:LWY196629 MGR196621:MGU196629 MQN196621:MQQ196629 NAJ196621:NAM196629 NKF196621:NKI196629 NUB196621:NUE196629 ODX196621:OEA196629 ONT196621:ONW196629 OXP196621:OXS196629 PHL196621:PHO196629 PRH196621:PRK196629 QBD196621:QBG196629 QKZ196621:QLC196629 QUV196621:QUY196629 RER196621:REU196629 RON196621:ROQ196629 RYJ196621:RYM196629 SIF196621:SII196629 SSB196621:SSE196629 TBX196621:TCA196629 TLT196621:TLW196629 TVP196621:TVS196629 UFL196621:UFO196629 UPH196621:UPK196629 UZD196621:UZG196629 VIZ196621:VJC196629 VSV196621:VSY196629 WCR196621:WCU196629 WMN196621:WMQ196629 WWJ196621:WWM196629 AB262157:AE262165 JX262157:KA262165 TT262157:TW262165 ADP262157:ADS262165 ANL262157:ANO262165 AXH262157:AXK262165 BHD262157:BHG262165 BQZ262157:BRC262165 CAV262157:CAY262165 CKR262157:CKU262165 CUN262157:CUQ262165 DEJ262157:DEM262165 DOF262157:DOI262165 DYB262157:DYE262165 EHX262157:EIA262165 ERT262157:ERW262165 FBP262157:FBS262165 FLL262157:FLO262165 FVH262157:FVK262165 GFD262157:GFG262165 GOZ262157:GPC262165 GYV262157:GYY262165 HIR262157:HIU262165 HSN262157:HSQ262165 ICJ262157:ICM262165 IMF262157:IMI262165 IWB262157:IWE262165 JFX262157:JGA262165 JPT262157:JPW262165 JZP262157:JZS262165 KJL262157:KJO262165 KTH262157:KTK262165 LDD262157:LDG262165 LMZ262157:LNC262165 LWV262157:LWY262165 MGR262157:MGU262165 MQN262157:MQQ262165 NAJ262157:NAM262165 NKF262157:NKI262165 NUB262157:NUE262165 ODX262157:OEA262165 ONT262157:ONW262165 OXP262157:OXS262165 PHL262157:PHO262165 PRH262157:PRK262165 QBD262157:QBG262165 QKZ262157:QLC262165 QUV262157:QUY262165 RER262157:REU262165 RON262157:ROQ262165 RYJ262157:RYM262165 SIF262157:SII262165 SSB262157:SSE262165 TBX262157:TCA262165 TLT262157:TLW262165 TVP262157:TVS262165 UFL262157:UFO262165 UPH262157:UPK262165 UZD262157:UZG262165 VIZ262157:VJC262165 VSV262157:VSY262165 WCR262157:WCU262165 WMN262157:WMQ262165 WWJ262157:WWM262165 AB327693:AE327701 JX327693:KA327701 TT327693:TW327701 ADP327693:ADS327701 ANL327693:ANO327701 AXH327693:AXK327701 BHD327693:BHG327701 BQZ327693:BRC327701 CAV327693:CAY327701 CKR327693:CKU327701 CUN327693:CUQ327701 DEJ327693:DEM327701 DOF327693:DOI327701 DYB327693:DYE327701 EHX327693:EIA327701 ERT327693:ERW327701 FBP327693:FBS327701 FLL327693:FLO327701 FVH327693:FVK327701 GFD327693:GFG327701 GOZ327693:GPC327701 GYV327693:GYY327701 HIR327693:HIU327701 HSN327693:HSQ327701 ICJ327693:ICM327701 IMF327693:IMI327701 IWB327693:IWE327701 JFX327693:JGA327701 JPT327693:JPW327701 JZP327693:JZS327701 KJL327693:KJO327701 KTH327693:KTK327701 LDD327693:LDG327701 LMZ327693:LNC327701 LWV327693:LWY327701 MGR327693:MGU327701 MQN327693:MQQ327701 NAJ327693:NAM327701 NKF327693:NKI327701 NUB327693:NUE327701 ODX327693:OEA327701 ONT327693:ONW327701 OXP327693:OXS327701 PHL327693:PHO327701 PRH327693:PRK327701 QBD327693:QBG327701 QKZ327693:QLC327701 QUV327693:QUY327701 RER327693:REU327701 RON327693:ROQ327701 RYJ327693:RYM327701 SIF327693:SII327701 SSB327693:SSE327701 TBX327693:TCA327701 TLT327693:TLW327701 TVP327693:TVS327701 UFL327693:UFO327701 UPH327693:UPK327701 UZD327693:UZG327701 VIZ327693:VJC327701 VSV327693:VSY327701 WCR327693:WCU327701 WMN327693:WMQ327701 WWJ327693:WWM327701 AB393229:AE393237 JX393229:KA393237 TT393229:TW393237 ADP393229:ADS393237 ANL393229:ANO393237 AXH393229:AXK393237 BHD393229:BHG393237 BQZ393229:BRC393237 CAV393229:CAY393237 CKR393229:CKU393237 CUN393229:CUQ393237 DEJ393229:DEM393237 DOF393229:DOI393237 DYB393229:DYE393237 EHX393229:EIA393237 ERT393229:ERW393237 FBP393229:FBS393237 FLL393229:FLO393237 FVH393229:FVK393237 GFD393229:GFG393237 GOZ393229:GPC393237 GYV393229:GYY393237 HIR393229:HIU393237 HSN393229:HSQ393237 ICJ393229:ICM393237 IMF393229:IMI393237 IWB393229:IWE393237 JFX393229:JGA393237 JPT393229:JPW393237 JZP393229:JZS393237 KJL393229:KJO393237 KTH393229:KTK393237 LDD393229:LDG393237 LMZ393229:LNC393237 LWV393229:LWY393237 MGR393229:MGU393237 MQN393229:MQQ393237 NAJ393229:NAM393237 NKF393229:NKI393237 NUB393229:NUE393237 ODX393229:OEA393237 ONT393229:ONW393237 OXP393229:OXS393237 PHL393229:PHO393237 PRH393229:PRK393237 QBD393229:QBG393237 QKZ393229:QLC393237 QUV393229:QUY393237 RER393229:REU393237 RON393229:ROQ393237 RYJ393229:RYM393237 SIF393229:SII393237 SSB393229:SSE393237 TBX393229:TCA393237 TLT393229:TLW393237 TVP393229:TVS393237 UFL393229:UFO393237 UPH393229:UPK393237 UZD393229:UZG393237 VIZ393229:VJC393237 VSV393229:VSY393237 WCR393229:WCU393237 WMN393229:WMQ393237 WWJ393229:WWM393237 AB458765:AE458773 JX458765:KA458773 TT458765:TW458773 ADP458765:ADS458773 ANL458765:ANO458773 AXH458765:AXK458773 BHD458765:BHG458773 BQZ458765:BRC458773 CAV458765:CAY458773 CKR458765:CKU458773 CUN458765:CUQ458773 DEJ458765:DEM458773 DOF458765:DOI458773 DYB458765:DYE458773 EHX458765:EIA458773 ERT458765:ERW458773 FBP458765:FBS458773 FLL458765:FLO458773 FVH458765:FVK458773 GFD458765:GFG458773 GOZ458765:GPC458773 GYV458765:GYY458773 HIR458765:HIU458773 HSN458765:HSQ458773 ICJ458765:ICM458773 IMF458765:IMI458773 IWB458765:IWE458773 JFX458765:JGA458773 JPT458765:JPW458773 JZP458765:JZS458773 KJL458765:KJO458773 KTH458765:KTK458773 LDD458765:LDG458773 LMZ458765:LNC458773 LWV458765:LWY458773 MGR458765:MGU458773 MQN458765:MQQ458773 NAJ458765:NAM458773 NKF458765:NKI458773 NUB458765:NUE458773 ODX458765:OEA458773 ONT458765:ONW458773 OXP458765:OXS458773 PHL458765:PHO458773 PRH458765:PRK458773 QBD458765:QBG458773 QKZ458765:QLC458773 QUV458765:QUY458773 RER458765:REU458773 RON458765:ROQ458773 RYJ458765:RYM458773 SIF458765:SII458773 SSB458765:SSE458773 TBX458765:TCA458773 TLT458765:TLW458773 TVP458765:TVS458773 UFL458765:UFO458773 UPH458765:UPK458773 UZD458765:UZG458773 VIZ458765:VJC458773 VSV458765:VSY458773 WCR458765:WCU458773 WMN458765:WMQ458773 WWJ458765:WWM458773 AB524301:AE524309 JX524301:KA524309 TT524301:TW524309 ADP524301:ADS524309 ANL524301:ANO524309 AXH524301:AXK524309 BHD524301:BHG524309 BQZ524301:BRC524309 CAV524301:CAY524309 CKR524301:CKU524309 CUN524301:CUQ524309 DEJ524301:DEM524309 DOF524301:DOI524309 DYB524301:DYE524309 EHX524301:EIA524309 ERT524301:ERW524309 FBP524301:FBS524309 FLL524301:FLO524309 FVH524301:FVK524309 GFD524301:GFG524309 GOZ524301:GPC524309 GYV524301:GYY524309 HIR524301:HIU524309 HSN524301:HSQ524309 ICJ524301:ICM524309 IMF524301:IMI524309 IWB524301:IWE524309 JFX524301:JGA524309 JPT524301:JPW524309 JZP524301:JZS524309 KJL524301:KJO524309 KTH524301:KTK524309 LDD524301:LDG524309 LMZ524301:LNC524309 LWV524301:LWY524309 MGR524301:MGU524309 MQN524301:MQQ524309 NAJ524301:NAM524309 NKF524301:NKI524309 NUB524301:NUE524309 ODX524301:OEA524309 ONT524301:ONW524309 OXP524301:OXS524309 PHL524301:PHO524309 PRH524301:PRK524309 QBD524301:QBG524309 QKZ524301:QLC524309 QUV524301:QUY524309 RER524301:REU524309 RON524301:ROQ524309 RYJ524301:RYM524309 SIF524301:SII524309 SSB524301:SSE524309 TBX524301:TCA524309 TLT524301:TLW524309 TVP524301:TVS524309 UFL524301:UFO524309 UPH524301:UPK524309 UZD524301:UZG524309 VIZ524301:VJC524309 VSV524301:VSY524309 WCR524301:WCU524309 WMN524301:WMQ524309 WWJ524301:WWM524309 AB589837:AE589845 JX589837:KA589845 TT589837:TW589845 ADP589837:ADS589845 ANL589837:ANO589845 AXH589837:AXK589845 BHD589837:BHG589845 BQZ589837:BRC589845 CAV589837:CAY589845 CKR589837:CKU589845 CUN589837:CUQ589845 DEJ589837:DEM589845 DOF589837:DOI589845 DYB589837:DYE589845 EHX589837:EIA589845 ERT589837:ERW589845 FBP589837:FBS589845 FLL589837:FLO589845 FVH589837:FVK589845 GFD589837:GFG589845 GOZ589837:GPC589845 GYV589837:GYY589845 HIR589837:HIU589845 HSN589837:HSQ589845 ICJ589837:ICM589845 IMF589837:IMI589845 IWB589837:IWE589845 JFX589837:JGA589845 JPT589837:JPW589845 JZP589837:JZS589845 KJL589837:KJO589845 KTH589837:KTK589845 LDD589837:LDG589845 LMZ589837:LNC589845 LWV589837:LWY589845 MGR589837:MGU589845 MQN589837:MQQ589845 NAJ589837:NAM589845 NKF589837:NKI589845 NUB589837:NUE589845 ODX589837:OEA589845 ONT589837:ONW589845 OXP589837:OXS589845 PHL589837:PHO589845 PRH589837:PRK589845 QBD589837:QBG589845 QKZ589837:QLC589845 QUV589837:QUY589845 RER589837:REU589845 RON589837:ROQ589845 RYJ589837:RYM589845 SIF589837:SII589845 SSB589837:SSE589845 TBX589837:TCA589845 TLT589837:TLW589845 TVP589837:TVS589845 UFL589837:UFO589845 UPH589837:UPK589845 UZD589837:UZG589845 VIZ589837:VJC589845 VSV589837:VSY589845 WCR589837:WCU589845 WMN589837:WMQ589845 WWJ589837:WWM589845 AB655373:AE655381 JX655373:KA655381 TT655373:TW655381 ADP655373:ADS655381 ANL655373:ANO655381 AXH655373:AXK655381 BHD655373:BHG655381 BQZ655373:BRC655381 CAV655373:CAY655381 CKR655373:CKU655381 CUN655373:CUQ655381 DEJ655373:DEM655381 DOF655373:DOI655381 DYB655373:DYE655381 EHX655373:EIA655381 ERT655373:ERW655381 FBP655373:FBS655381 FLL655373:FLO655381 FVH655373:FVK655381 GFD655373:GFG655381 GOZ655373:GPC655381 GYV655373:GYY655381 HIR655373:HIU655381 HSN655373:HSQ655381 ICJ655373:ICM655381 IMF655373:IMI655381 IWB655373:IWE655381 JFX655373:JGA655381 JPT655373:JPW655381 JZP655373:JZS655381 KJL655373:KJO655381 KTH655373:KTK655381 LDD655373:LDG655381 LMZ655373:LNC655381 LWV655373:LWY655381 MGR655373:MGU655381 MQN655373:MQQ655381 NAJ655373:NAM655381 NKF655373:NKI655381 NUB655373:NUE655381 ODX655373:OEA655381 ONT655373:ONW655381 OXP655373:OXS655381 PHL655373:PHO655381 PRH655373:PRK655381 QBD655373:QBG655381 QKZ655373:QLC655381 QUV655373:QUY655381 RER655373:REU655381 RON655373:ROQ655381 RYJ655373:RYM655381 SIF655373:SII655381 SSB655373:SSE655381 TBX655373:TCA655381 TLT655373:TLW655381 TVP655373:TVS655381 UFL655373:UFO655381 UPH655373:UPK655381 UZD655373:UZG655381 VIZ655373:VJC655381 VSV655373:VSY655381 WCR655373:WCU655381 WMN655373:WMQ655381 WWJ655373:WWM655381 AB720909:AE720917 JX720909:KA720917 TT720909:TW720917 ADP720909:ADS720917 ANL720909:ANO720917 AXH720909:AXK720917 BHD720909:BHG720917 BQZ720909:BRC720917 CAV720909:CAY720917 CKR720909:CKU720917 CUN720909:CUQ720917 DEJ720909:DEM720917 DOF720909:DOI720917 DYB720909:DYE720917 EHX720909:EIA720917 ERT720909:ERW720917 FBP720909:FBS720917 FLL720909:FLO720917 FVH720909:FVK720917 GFD720909:GFG720917 GOZ720909:GPC720917 GYV720909:GYY720917 HIR720909:HIU720917 HSN720909:HSQ720917 ICJ720909:ICM720917 IMF720909:IMI720917 IWB720909:IWE720917 JFX720909:JGA720917 JPT720909:JPW720917 JZP720909:JZS720917 KJL720909:KJO720917 KTH720909:KTK720917 LDD720909:LDG720917 LMZ720909:LNC720917 LWV720909:LWY720917 MGR720909:MGU720917 MQN720909:MQQ720917 NAJ720909:NAM720917 NKF720909:NKI720917 NUB720909:NUE720917 ODX720909:OEA720917 ONT720909:ONW720917 OXP720909:OXS720917 PHL720909:PHO720917 PRH720909:PRK720917 QBD720909:QBG720917 QKZ720909:QLC720917 QUV720909:QUY720917 RER720909:REU720917 RON720909:ROQ720917 RYJ720909:RYM720917 SIF720909:SII720917 SSB720909:SSE720917 TBX720909:TCA720917 TLT720909:TLW720917 TVP720909:TVS720917 UFL720909:UFO720917 UPH720909:UPK720917 UZD720909:UZG720917 VIZ720909:VJC720917 VSV720909:VSY720917 WCR720909:WCU720917 WMN720909:WMQ720917 WWJ720909:WWM720917 AB786445:AE786453 JX786445:KA786453 TT786445:TW786453 ADP786445:ADS786453 ANL786445:ANO786453 AXH786445:AXK786453 BHD786445:BHG786453 BQZ786445:BRC786453 CAV786445:CAY786453 CKR786445:CKU786453 CUN786445:CUQ786453 DEJ786445:DEM786453 DOF786445:DOI786453 DYB786445:DYE786453 EHX786445:EIA786453 ERT786445:ERW786453 FBP786445:FBS786453 FLL786445:FLO786453 FVH786445:FVK786453 GFD786445:GFG786453 GOZ786445:GPC786453 GYV786445:GYY786453 HIR786445:HIU786453 HSN786445:HSQ786453 ICJ786445:ICM786453 IMF786445:IMI786453 IWB786445:IWE786453 JFX786445:JGA786453 JPT786445:JPW786453 JZP786445:JZS786453 KJL786445:KJO786453 KTH786445:KTK786453 LDD786445:LDG786453 LMZ786445:LNC786453 LWV786445:LWY786453 MGR786445:MGU786453 MQN786445:MQQ786453 NAJ786445:NAM786453 NKF786445:NKI786453 NUB786445:NUE786453 ODX786445:OEA786453 ONT786445:ONW786453 OXP786445:OXS786453 PHL786445:PHO786453 PRH786445:PRK786453 QBD786445:QBG786453 QKZ786445:QLC786453 QUV786445:QUY786453 RER786445:REU786453 RON786445:ROQ786453 RYJ786445:RYM786453 SIF786445:SII786453 SSB786445:SSE786453 TBX786445:TCA786453 TLT786445:TLW786453 TVP786445:TVS786453 UFL786445:UFO786453 UPH786445:UPK786453 UZD786445:UZG786453 VIZ786445:VJC786453 VSV786445:VSY786453 WCR786445:WCU786453 WMN786445:WMQ786453 WWJ786445:WWM786453 AB851981:AE851989 JX851981:KA851989 TT851981:TW851989 ADP851981:ADS851989 ANL851981:ANO851989 AXH851981:AXK851989 BHD851981:BHG851989 BQZ851981:BRC851989 CAV851981:CAY851989 CKR851981:CKU851989 CUN851981:CUQ851989 DEJ851981:DEM851989 DOF851981:DOI851989 DYB851981:DYE851989 EHX851981:EIA851989 ERT851981:ERW851989 FBP851981:FBS851989 FLL851981:FLO851989 FVH851981:FVK851989 GFD851981:GFG851989 GOZ851981:GPC851989 GYV851981:GYY851989 HIR851981:HIU851989 HSN851981:HSQ851989 ICJ851981:ICM851989 IMF851981:IMI851989 IWB851981:IWE851989 JFX851981:JGA851989 JPT851981:JPW851989 JZP851981:JZS851989 KJL851981:KJO851989 KTH851981:KTK851989 LDD851981:LDG851989 LMZ851981:LNC851989 LWV851981:LWY851989 MGR851981:MGU851989 MQN851981:MQQ851989 NAJ851981:NAM851989 NKF851981:NKI851989 NUB851981:NUE851989 ODX851981:OEA851989 ONT851981:ONW851989 OXP851981:OXS851989 PHL851981:PHO851989 PRH851981:PRK851989 QBD851981:QBG851989 QKZ851981:QLC851989 QUV851981:QUY851989 RER851981:REU851989 RON851981:ROQ851989 RYJ851981:RYM851989 SIF851981:SII851989 SSB851981:SSE851989 TBX851981:TCA851989 TLT851981:TLW851989 TVP851981:TVS851989 UFL851981:UFO851989 UPH851981:UPK851989 UZD851981:UZG851989 VIZ851981:VJC851989 VSV851981:VSY851989 WCR851981:WCU851989 WMN851981:WMQ851989 WWJ851981:WWM851989 AB917517:AE917525 JX917517:KA917525 TT917517:TW917525 ADP917517:ADS917525 ANL917517:ANO917525 AXH917517:AXK917525 BHD917517:BHG917525 BQZ917517:BRC917525 CAV917517:CAY917525 CKR917517:CKU917525 CUN917517:CUQ917525 DEJ917517:DEM917525 DOF917517:DOI917525 DYB917517:DYE917525 EHX917517:EIA917525 ERT917517:ERW917525 FBP917517:FBS917525 FLL917517:FLO917525 FVH917517:FVK917525 GFD917517:GFG917525 GOZ917517:GPC917525 GYV917517:GYY917525 HIR917517:HIU917525 HSN917517:HSQ917525 ICJ917517:ICM917525 IMF917517:IMI917525 IWB917517:IWE917525 JFX917517:JGA917525 JPT917517:JPW917525 JZP917517:JZS917525 KJL917517:KJO917525 KTH917517:KTK917525 LDD917517:LDG917525 LMZ917517:LNC917525 LWV917517:LWY917525 MGR917517:MGU917525 MQN917517:MQQ917525 NAJ917517:NAM917525 NKF917517:NKI917525 NUB917517:NUE917525 ODX917517:OEA917525 ONT917517:ONW917525 OXP917517:OXS917525 PHL917517:PHO917525 PRH917517:PRK917525 QBD917517:QBG917525 QKZ917517:QLC917525 QUV917517:QUY917525 RER917517:REU917525 RON917517:ROQ917525 RYJ917517:RYM917525 SIF917517:SII917525 SSB917517:SSE917525 TBX917517:TCA917525 TLT917517:TLW917525 TVP917517:TVS917525 UFL917517:UFO917525 UPH917517:UPK917525 UZD917517:UZG917525 VIZ917517:VJC917525 VSV917517:VSY917525 WCR917517:WCU917525 WMN917517:WMQ917525 WWJ917517:WWM917525 AB983053:AE983061 JX983053:KA983061 TT983053:TW983061 ADP983053:ADS983061 ANL983053:ANO983061 AXH983053:AXK983061 BHD983053:BHG983061 BQZ983053:BRC983061 CAV983053:CAY983061 CKR983053:CKU983061 CUN983053:CUQ983061 DEJ983053:DEM983061 DOF983053:DOI983061 DYB983053:DYE983061 EHX983053:EIA983061 ERT983053:ERW983061 FBP983053:FBS983061 FLL983053:FLO983061 FVH983053:FVK983061 GFD983053:GFG983061 GOZ983053:GPC983061 GYV983053:GYY983061 HIR983053:HIU983061 HSN983053:HSQ983061 ICJ983053:ICM983061 IMF983053:IMI983061 IWB983053:IWE983061 JFX983053:JGA983061 JPT983053:JPW983061 JZP983053:JZS983061 KJL983053:KJO983061 KTH983053:KTK983061 LDD983053:LDG983061 LMZ983053:LNC983061 LWV983053:LWY983061 MGR983053:MGU983061 MQN983053:MQQ983061 NAJ983053:NAM983061 NKF983053:NKI983061 NUB983053:NUE983061 ODX983053:OEA983061 ONT983053:ONW983061 OXP983053:OXS983061 PHL983053:PHO983061 PRH983053:PRK983061 QBD983053:QBG983061 QKZ983053:QLC983061 QUV983053:QUY983061 RER983053:REU983061 RON983053:ROQ983061 RYJ983053:RYM983061 SIF983053:SII983061 SSB983053:SSE983061 TBX983053:TCA983061 TLT983053:TLW983061 TVP983053:TVS983061 UFL983053:UFO983061 UPH983053:UPK983061 UZD983053:UZG983061 VIZ983053:VJC983061 VSV983053:VSY983061 WCR983053:WCU983061 WMN983053:WMQ983061 WWJ983053:WWM983061 M54:Q54 JI54:JM54 TE54:TI54 ADA54:ADE54 AMW54:ANA54 AWS54:AWW54 BGO54:BGS54 BQK54:BQO54 CAG54:CAK54 CKC54:CKG54 CTY54:CUC54 DDU54:DDY54 DNQ54:DNU54 DXM54:DXQ54 EHI54:EHM54 ERE54:ERI54 FBA54:FBE54 FKW54:FLA54 FUS54:FUW54 GEO54:GES54 GOK54:GOO54 GYG54:GYK54 HIC54:HIG54 HRY54:HSC54 IBU54:IBY54 ILQ54:ILU54 IVM54:IVQ54 JFI54:JFM54 JPE54:JPI54 JZA54:JZE54 KIW54:KJA54 KSS54:KSW54 LCO54:LCS54 LMK54:LMO54 LWG54:LWK54 MGC54:MGG54 MPY54:MQC54 MZU54:MZY54 NJQ54:NJU54 NTM54:NTQ54 ODI54:ODM54 ONE54:ONI54 OXA54:OXE54 PGW54:PHA54 PQS54:PQW54 QAO54:QAS54 QKK54:QKO54 QUG54:QUK54 REC54:REG54 RNY54:ROC54 RXU54:RXY54 SHQ54:SHU54 SRM54:SRQ54 TBI54:TBM54 TLE54:TLI54 TVA54:TVE54 UEW54:UFA54 UOS54:UOW54 UYO54:UYS54 VIK54:VIO54 VSG54:VSK54 WCC54:WCG54 WLY54:WMC54 WVU54:WVY54 M65590:Q65590 JI65590:JM65590 TE65590:TI65590 ADA65590:ADE65590 AMW65590:ANA65590 AWS65590:AWW65590 BGO65590:BGS65590 BQK65590:BQO65590 CAG65590:CAK65590 CKC65590:CKG65590 CTY65590:CUC65590 DDU65590:DDY65590 DNQ65590:DNU65590 DXM65590:DXQ65590 EHI65590:EHM65590 ERE65590:ERI65590 FBA65590:FBE65590 FKW65590:FLA65590 FUS65590:FUW65590 GEO65590:GES65590 GOK65590:GOO65590 GYG65590:GYK65590 HIC65590:HIG65590 HRY65590:HSC65590 IBU65590:IBY65590 ILQ65590:ILU65590 IVM65590:IVQ65590 JFI65590:JFM65590 JPE65590:JPI65590 JZA65590:JZE65590 KIW65590:KJA65590 KSS65590:KSW65590 LCO65590:LCS65590 LMK65590:LMO65590 LWG65590:LWK65590 MGC65590:MGG65590 MPY65590:MQC65590 MZU65590:MZY65590 NJQ65590:NJU65590 NTM65590:NTQ65590 ODI65590:ODM65590 ONE65590:ONI65590 OXA65590:OXE65590 PGW65590:PHA65590 PQS65590:PQW65590 QAO65590:QAS65590 QKK65590:QKO65590 QUG65590:QUK65590 REC65590:REG65590 RNY65590:ROC65590 RXU65590:RXY65590 SHQ65590:SHU65590 SRM65590:SRQ65590 TBI65590:TBM65590 TLE65590:TLI65590 TVA65590:TVE65590 UEW65590:UFA65590 UOS65590:UOW65590 UYO65590:UYS65590 VIK65590:VIO65590 VSG65590:VSK65590 WCC65590:WCG65590 WLY65590:WMC65590 WVU65590:WVY65590 M131126:Q131126 JI131126:JM131126 TE131126:TI131126 ADA131126:ADE131126 AMW131126:ANA131126 AWS131126:AWW131126 BGO131126:BGS131126 BQK131126:BQO131126 CAG131126:CAK131126 CKC131126:CKG131126 CTY131126:CUC131126 DDU131126:DDY131126 DNQ131126:DNU131126 DXM131126:DXQ131126 EHI131126:EHM131126 ERE131126:ERI131126 FBA131126:FBE131126 FKW131126:FLA131126 FUS131126:FUW131126 GEO131126:GES131126 GOK131126:GOO131126 GYG131126:GYK131126 HIC131126:HIG131126 HRY131126:HSC131126 IBU131126:IBY131126 ILQ131126:ILU131126 IVM131126:IVQ131126 JFI131126:JFM131126 JPE131126:JPI131126 JZA131126:JZE131126 KIW131126:KJA131126 KSS131126:KSW131126 LCO131126:LCS131126 LMK131126:LMO131126 LWG131126:LWK131126 MGC131126:MGG131126 MPY131126:MQC131126 MZU131126:MZY131126 NJQ131126:NJU131126 NTM131126:NTQ131126 ODI131126:ODM131126 ONE131126:ONI131126 OXA131126:OXE131126 PGW131126:PHA131126 PQS131126:PQW131126 QAO131126:QAS131126 QKK131126:QKO131126 QUG131126:QUK131126 REC131126:REG131126 RNY131126:ROC131126 RXU131126:RXY131126 SHQ131126:SHU131126 SRM131126:SRQ131126 TBI131126:TBM131126 TLE131126:TLI131126 TVA131126:TVE131126 UEW131126:UFA131126 UOS131126:UOW131126 UYO131126:UYS131126 VIK131126:VIO131126 VSG131126:VSK131126 WCC131126:WCG131126 WLY131126:WMC131126 WVU131126:WVY131126 M196662:Q196662 JI196662:JM196662 TE196662:TI196662 ADA196662:ADE196662 AMW196662:ANA196662 AWS196662:AWW196662 BGO196662:BGS196662 BQK196662:BQO196662 CAG196662:CAK196662 CKC196662:CKG196662 CTY196662:CUC196662 DDU196662:DDY196662 DNQ196662:DNU196662 DXM196662:DXQ196662 EHI196662:EHM196662 ERE196662:ERI196662 FBA196662:FBE196662 FKW196662:FLA196662 FUS196662:FUW196662 GEO196662:GES196662 GOK196662:GOO196662 GYG196662:GYK196662 HIC196662:HIG196662 HRY196662:HSC196662 IBU196662:IBY196662 ILQ196662:ILU196662 IVM196662:IVQ196662 JFI196662:JFM196662 JPE196662:JPI196662 JZA196662:JZE196662 KIW196662:KJA196662 KSS196662:KSW196662 LCO196662:LCS196662 LMK196662:LMO196662 LWG196662:LWK196662 MGC196662:MGG196662 MPY196662:MQC196662 MZU196662:MZY196662 NJQ196662:NJU196662 NTM196662:NTQ196662 ODI196662:ODM196662 ONE196662:ONI196662 OXA196662:OXE196662 PGW196662:PHA196662 PQS196662:PQW196662 QAO196662:QAS196662 QKK196662:QKO196662 QUG196662:QUK196662 REC196662:REG196662 RNY196662:ROC196662 RXU196662:RXY196662 SHQ196662:SHU196662 SRM196662:SRQ196662 TBI196662:TBM196662 TLE196662:TLI196662 TVA196662:TVE196662 UEW196662:UFA196662 UOS196662:UOW196662 UYO196662:UYS196662 VIK196662:VIO196662 VSG196662:VSK196662 WCC196662:WCG196662 WLY196662:WMC196662 WVU196662:WVY196662 M262198:Q262198 JI262198:JM262198 TE262198:TI262198 ADA262198:ADE262198 AMW262198:ANA262198 AWS262198:AWW262198 BGO262198:BGS262198 BQK262198:BQO262198 CAG262198:CAK262198 CKC262198:CKG262198 CTY262198:CUC262198 DDU262198:DDY262198 DNQ262198:DNU262198 DXM262198:DXQ262198 EHI262198:EHM262198 ERE262198:ERI262198 FBA262198:FBE262198 FKW262198:FLA262198 FUS262198:FUW262198 GEO262198:GES262198 GOK262198:GOO262198 GYG262198:GYK262198 HIC262198:HIG262198 HRY262198:HSC262198 IBU262198:IBY262198 ILQ262198:ILU262198 IVM262198:IVQ262198 JFI262198:JFM262198 JPE262198:JPI262198 JZA262198:JZE262198 KIW262198:KJA262198 KSS262198:KSW262198 LCO262198:LCS262198 LMK262198:LMO262198 LWG262198:LWK262198 MGC262198:MGG262198 MPY262198:MQC262198 MZU262198:MZY262198 NJQ262198:NJU262198 NTM262198:NTQ262198 ODI262198:ODM262198 ONE262198:ONI262198 OXA262198:OXE262198 PGW262198:PHA262198 PQS262198:PQW262198 QAO262198:QAS262198 QKK262198:QKO262198 QUG262198:QUK262198 REC262198:REG262198 RNY262198:ROC262198 RXU262198:RXY262198 SHQ262198:SHU262198 SRM262198:SRQ262198 TBI262198:TBM262198 TLE262198:TLI262198 TVA262198:TVE262198 UEW262198:UFA262198 UOS262198:UOW262198 UYO262198:UYS262198 VIK262198:VIO262198 VSG262198:VSK262198 WCC262198:WCG262198 WLY262198:WMC262198 WVU262198:WVY262198 M327734:Q327734 JI327734:JM327734 TE327734:TI327734 ADA327734:ADE327734 AMW327734:ANA327734 AWS327734:AWW327734 BGO327734:BGS327734 BQK327734:BQO327734 CAG327734:CAK327734 CKC327734:CKG327734 CTY327734:CUC327734 DDU327734:DDY327734 DNQ327734:DNU327734 DXM327734:DXQ327734 EHI327734:EHM327734 ERE327734:ERI327734 FBA327734:FBE327734 FKW327734:FLA327734 FUS327734:FUW327734 GEO327734:GES327734 GOK327734:GOO327734 GYG327734:GYK327734 HIC327734:HIG327734 HRY327734:HSC327734 IBU327734:IBY327734 ILQ327734:ILU327734 IVM327734:IVQ327734 JFI327734:JFM327734 JPE327734:JPI327734 JZA327734:JZE327734 KIW327734:KJA327734 KSS327734:KSW327734 LCO327734:LCS327734 LMK327734:LMO327734 LWG327734:LWK327734 MGC327734:MGG327734 MPY327734:MQC327734 MZU327734:MZY327734 NJQ327734:NJU327734 NTM327734:NTQ327734 ODI327734:ODM327734 ONE327734:ONI327734 OXA327734:OXE327734 PGW327734:PHA327734 PQS327734:PQW327734 QAO327734:QAS327734 QKK327734:QKO327734 QUG327734:QUK327734 REC327734:REG327734 RNY327734:ROC327734 RXU327734:RXY327734 SHQ327734:SHU327734 SRM327734:SRQ327734 TBI327734:TBM327734 TLE327734:TLI327734 TVA327734:TVE327734 UEW327734:UFA327734 UOS327734:UOW327734 UYO327734:UYS327734 VIK327734:VIO327734 VSG327734:VSK327734 WCC327734:WCG327734 WLY327734:WMC327734 WVU327734:WVY327734 M393270:Q393270 JI393270:JM393270 TE393270:TI393270 ADA393270:ADE393270 AMW393270:ANA393270 AWS393270:AWW393270 BGO393270:BGS393270 BQK393270:BQO393270 CAG393270:CAK393270 CKC393270:CKG393270 CTY393270:CUC393270 DDU393270:DDY393270 DNQ393270:DNU393270 DXM393270:DXQ393270 EHI393270:EHM393270 ERE393270:ERI393270 FBA393270:FBE393270 FKW393270:FLA393270 FUS393270:FUW393270 GEO393270:GES393270 GOK393270:GOO393270 GYG393270:GYK393270 HIC393270:HIG393270 HRY393270:HSC393270 IBU393270:IBY393270 ILQ393270:ILU393270 IVM393270:IVQ393270 JFI393270:JFM393270 JPE393270:JPI393270 JZA393270:JZE393270 KIW393270:KJA393270 KSS393270:KSW393270 LCO393270:LCS393270 LMK393270:LMO393270 LWG393270:LWK393270 MGC393270:MGG393270 MPY393270:MQC393270 MZU393270:MZY393270 NJQ393270:NJU393270 NTM393270:NTQ393270 ODI393270:ODM393270 ONE393270:ONI393270 OXA393270:OXE393270 PGW393270:PHA393270 PQS393270:PQW393270 QAO393270:QAS393270 QKK393270:QKO393270 QUG393270:QUK393270 REC393270:REG393270 RNY393270:ROC393270 RXU393270:RXY393270 SHQ393270:SHU393270 SRM393270:SRQ393270 TBI393270:TBM393270 TLE393270:TLI393270 TVA393270:TVE393270 UEW393270:UFA393270 UOS393270:UOW393270 UYO393270:UYS393270 VIK393270:VIO393270 VSG393270:VSK393270 WCC393270:WCG393270 WLY393270:WMC393270 WVU393270:WVY393270 M458806:Q458806 JI458806:JM458806 TE458806:TI458806 ADA458806:ADE458806 AMW458806:ANA458806 AWS458806:AWW458806 BGO458806:BGS458806 BQK458806:BQO458806 CAG458806:CAK458806 CKC458806:CKG458806 CTY458806:CUC458806 DDU458806:DDY458806 DNQ458806:DNU458806 DXM458806:DXQ458806 EHI458806:EHM458806 ERE458806:ERI458806 FBA458806:FBE458806 FKW458806:FLA458806 FUS458806:FUW458806 GEO458806:GES458806 GOK458806:GOO458806 GYG458806:GYK458806 HIC458806:HIG458806 HRY458806:HSC458806 IBU458806:IBY458806 ILQ458806:ILU458806 IVM458806:IVQ458806 JFI458806:JFM458806 JPE458806:JPI458806 JZA458806:JZE458806 KIW458806:KJA458806 KSS458806:KSW458806 LCO458806:LCS458806 LMK458806:LMO458806 LWG458806:LWK458806 MGC458806:MGG458806 MPY458806:MQC458806 MZU458806:MZY458806 NJQ458806:NJU458806 NTM458806:NTQ458806 ODI458806:ODM458806 ONE458806:ONI458806 OXA458806:OXE458806 PGW458806:PHA458806 PQS458806:PQW458806 QAO458806:QAS458806 QKK458806:QKO458806 QUG458806:QUK458806 REC458806:REG458806 RNY458806:ROC458806 RXU458806:RXY458806 SHQ458806:SHU458806 SRM458806:SRQ458806 TBI458806:TBM458806 TLE458806:TLI458806 TVA458806:TVE458806 UEW458806:UFA458806 UOS458806:UOW458806 UYO458806:UYS458806 VIK458806:VIO458806 VSG458806:VSK458806 WCC458806:WCG458806 WLY458806:WMC458806 WVU458806:WVY458806 M524342:Q524342 JI524342:JM524342 TE524342:TI524342 ADA524342:ADE524342 AMW524342:ANA524342 AWS524342:AWW524342 BGO524342:BGS524342 BQK524342:BQO524342 CAG524342:CAK524342 CKC524342:CKG524342 CTY524342:CUC524342 DDU524342:DDY524342 DNQ524342:DNU524342 DXM524342:DXQ524342 EHI524342:EHM524342 ERE524342:ERI524342 FBA524342:FBE524342 FKW524342:FLA524342 FUS524342:FUW524342 GEO524342:GES524342 GOK524342:GOO524342 GYG524342:GYK524342 HIC524342:HIG524342 HRY524342:HSC524342 IBU524342:IBY524342 ILQ524342:ILU524342 IVM524342:IVQ524342 JFI524342:JFM524342 JPE524342:JPI524342 JZA524342:JZE524342 KIW524342:KJA524342 KSS524342:KSW524342 LCO524342:LCS524342 LMK524342:LMO524342 LWG524342:LWK524342 MGC524342:MGG524342 MPY524342:MQC524342 MZU524342:MZY524342 NJQ524342:NJU524342 NTM524342:NTQ524342 ODI524342:ODM524342 ONE524342:ONI524342 OXA524342:OXE524342 PGW524342:PHA524342 PQS524342:PQW524342 QAO524342:QAS524342 QKK524342:QKO524342 QUG524342:QUK524342 REC524342:REG524342 RNY524342:ROC524342 RXU524342:RXY524342 SHQ524342:SHU524342 SRM524342:SRQ524342 TBI524342:TBM524342 TLE524342:TLI524342 TVA524342:TVE524342 UEW524342:UFA524342 UOS524342:UOW524342 UYO524342:UYS524342 VIK524342:VIO524342 VSG524342:VSK524342 WCC524342:WCG524342 WLY524342:WMC524342 WVU524342:WVY524342 M589878:Q589878 JI589878:JM589878 TE589878:TI589878 ADA589878:ADE589878 AMW589878:ANA589878 AWS589878:AWW589878 BGO589878:BGS589878 BQK589878:BQO589878 CAG589878:CAK589878 CKC589878:CKG589878 CTY589878:CUC589878 DDU589878:DDY589878 DNQ589878:DNU589878 DXM589878:DXQ589878 EHI589878:EHM589878 ERE589878:ERI589878 FBA589878:FBE589878 FKW589878:FLA589878 FUS589878:FUW589878 GEO589878:GES589878 GOK589878:GOO589878 GYG589878:GYK589878 HIC589878:HIG589878 HRY589878:HSC589878 IBU589878:IBY589878 ILQ589878:ILU589878 IVM589878:IVQ589878 JFI589878:JFM589878 JPE589878:JPI589878 JZA589878:JZE589878 KIW589878:KJA589878 KSS589878:KSW589878 LCO589878:LCS589878 LMK589878:LMO589878 LWG589878:LWK589878 MGC589878:MGG589878 MPY589878:MQC589878 MZU589878:MZY589878 NJQ589878:NJU589878 NTM589878:NTQ589878 ODI589878:ODM589878 ONE589878:ONI589878 OXA589878:OXE589878 PGW589878:PHA589878 PQS589878:PQW589878 QAO589878:QAS589878 QKK589878:QKO589878 QUG589878:QUK589878 REC589878:REG589878 RNY589878:ROC589878 RXU589878:RXY589878 SHQ589878:SHU589878 SRM589878:SRQ589878 TBI589878:TBM589878 TLE589878:TLI589878 TVA589878:TVE589878 UEW589878:UFA589878 UOS589878:UOW589878 UYO589878:UYS589878 VIK589878:VIO589878 VSG589878:VSK589878 WCC589878:WCG589878 WLY589878:WMC589878 WVU589878:WVY589878 M655414:Q655414 JI655414:JM655414 TE655414:TI655414 ADA655414:ADE655414 AMW655414:ANA655414 AWS655414:AWW655414 BGO655414:BGS655414 BQK655414:BQO655414 CAG655414:CAK655414 CKC655414:CKG655414 CTY655414:CUC655414 DDU655414:DDY655414 DNQ655414:DNU655414 DXM655414:DXQ655414 EHI655414:EHM655414 ERE655414:ERI655414 FBA655414:FBE655414 FKW655414:FLA655414 FUS655414:FUW655414 GEO655414:GES655414 GOK655414:GOO655414 GYG655414:GYK655414 HIC655414:HIG655414 HRY655414:HSC655414 IBU655414:IBY655414 ILQ655414:ILU655414 IVM655414:IVQ655414 JFI655414:JFM655414 JPE655414:JPI655414 JZA655414:JZE655414 KIW655414:KJA655414 KSS655414:KSW655414 LCO655414:LCS655414 LMK655414:LMO655414 LWG655414:LWK655414 MGC655414:MGG655414 MPY655414:MQC655414 MZU655414:MZY655414 NJQ655414:NJU655414 NTM655414:NTQ655414 ODI655414:ODM655414 ONE655414:ONI655414 OXA655414:OXE655414 PGW655414:PHA655414 PQS655414:PQW655414 QAO655414:QAS655414 QKK655414:QKO655414 QUG655414:QUK655414 REC655414:REG655414 RNY655414:ROC655414 RXU655414:RXY655414 SHQ655414:SHU655414 SRM655414:SRQ655414 TBI655414:TBM655414 TLE655414:TLI655414 TVA655414:TVE655414 UEW655414:UFA655414 UOS655414:UOW655414 UYO655414:UYS655414 VIK655414:VIO655414 VSG655414:VSK655414 WCC655414:WCG655414 WLY655414:WMC655414 WVU655414:WVY655414 M720950:Q720950 JI720950:JM720950 TE720950:TI720950 ADA720950:ADE720950 AMW720950:ANA720950 AWS720950:AWW720950 BGO720950:BGS720950 BQK720950:BQO720950 CAG720950:CAK720950 CKC720950:CKG720950 CTY720950:CUC720950 DDU720950:DDY720950 DNQ720950:DNU720950 DXM720950:DXQ720950 EHI720950:EHM720950 ERE720950:ERI720950 FBA720950:FBE720950 FKW720950:FLA720950 FUS720950:FUW720950 GEO720950:GES720950 GOK720950:GOO720950 GYG720950:GYK720950 HIC720950:HIG720950 HRY720950:HSC720950 IBU720950:IBY720950 ILQ720950:ILU720950 IVM720950:IVQ720950 JFI720950:JFM720950 JPE720950:JPI720950 JZA720950:JZE720950 KIW720950:KJA720950 KSS720950:KSW720950 LCO720950:LCS720950 LMK720950:LMO720950 LWG720950:LWK720950 MGC720950:MGG720950 MPY720950:MQC720950 MZU720950:MZY720950 NJQ720950:NJU720950 NTM720950:NTQ720950 ODI720950:ODM720950 ONE720950:ONI720950 OXA720950:OXE720950 PGW720950:PHA720950 PQS720950:PQW720950 QAO720950:QAS720950 QKK720950:QKO720950 QUG720950:QUK720950 REC720950:REG720950 RNY720950:ROC720950 RXU720950:RXY720950 SHQ720950:SHU720950 SRM720950:SRQ720950 TBI720950:TBM720950 TLE720950:TLI720950 TVA720950:TVE720950 UEW720950:UFA720950 UOS720950:UOW720950 UYO720950:UYS720950 VIK720950:VIO720950 VSG720950:VSK720950 WCC720950:WCG720950 WLY720950:WMC720950 WVU720950:WVY720950 M786486:Q786486 JI786486:JM786486 TE786486:TI786486 ADA786486:ADE786486 AMW786486:ANA786486 AWS786486:AWW786486 BGO786486:BGS786486 BQK786486:BQO786486 CAG786486:CAK786486 CKC786486:CKG786486 CTY786486:CUC786486 DDU786486:DDY786486 DNQ786486:DNU786486 DXM786486:DXQ786486 EHI786486:EHM786486 ERE786486:ERI786486 FBA786486:FBE786486 FKW786486:FLA786486 FUS786486:FUW786486 GEO786486:GES786486 GOK786486:GOO786486 GYG786486:GYK786486 HIC786486:HIG786486 HRY786486:HSC786486 IBU786486:IBY786486 ILQ786486:ILU786486 IVM786486:IVQ786486 JFI786486:JFM786486 JPE786486:JPI786486 JZA786486:JZE786486 KIW786486:KJA786486 KSS786486:KSW786486 LCO786486:LCS786486 LMK786486:LMO786486 LWG786486:LWK786486 MGC786486:MGG786486 MPY786486:MQC786486 MZU786486:MZY786486 NJQ786486:NJU786486 NTM786486:NTQ786486 ODI786486:ODM786486 ONE786486:ONI786486 OXA786486:OXE786486 PGW786486:PHA786486 PQS786486:PQW786486 QAO786486:QAS786486 QKK786486:QKO786486 QUG786486:QUK786486 REC786486:REG786486 RNY786486:ROC786486 RXU786486:RXY786486 SHQ786486:SHU786486 SRM786486:SRQ786486 TBI786486:TBM786486 TLE786486:TLI786486 TVA786486:TVE786486 UEW786486:UFA786486 UOS786486:UOW786486 UYO786486:UYS786486 VIK786486:VIO786486 VSG786486:VSK786486 WCC786486:WCG786486 WLY786486:WMC786486 WVU786486:WVY786486 M852022:Q852022 JI852022:JM852022 TE852022:TI852022 ADA852022:ADE852022 AMW852022:ANA852022 AWS852022:AWW852022 BGO852022:BGS852022 BQK852022:BQO852022 CAG852022:CAK852022 CKC852022:CKG852022 CTY852022:CUC852022 DDU852022:DDY852022 DNQ852022:DNU852022 DXM852022:DXQ852022 EHI852022:EHM852022 ERE852022:ERI852022 FBA852022:FBE852022 FKW852022:FLA852022 FUS852022:FUW852022 GEO852022:GES852022 GOK852022:GOO852022 GYG852022:GYK852022 HIC852022:HIG852022 HRY852022:HSC852022 IBU852022:IBY852022 ILQ852022:ILU852022 IVM852022:IVQ852022 JFI852022:JFM852022 JPE852022:JPI852022 JZA852022:JZE852022 KIW852022:KJA852022 KSS852022:KSW852022 LCO852022:LCS852022 LMK852022:LMO852022 LWG852022:LWK852022 MGC852022:MGG852022 MPY852022:MQC852022 MZU852022:MZY852022 NJQ852022:NJU852022 NTM852022:NTQ852022 ODI852022:ODM852022 ONE852022:ONI852022 OXA852022:OXE852022 PGW852022:PHA852022 PQS852022:PQW852022 QAO852022:QAS852022 QKK852022:QKO852022 QUG852022:QUK852022 REC852022:REG852022 RNY852022:ROC852022 RXU852022:RXY852022 SHQ852022:SHU852022 SRM852022:SRQ852022 TBI852022:TBM852022 TLE852022:TLI852022 TVA852022:TVE852022 UEW852022:UFA852022 UOS852022:UOW852022 UYO852022:UYS852022 VIK852022:VIO852022 VSG852022:VSK852022 WCC852022:WCG852022 WLY852022:WMC852022 WVU852022:WVY852022 M917558:Q917558 JI917558:JM917558 TE917558:TI917558 ADA917558:ADE917558 AMW917558:ANA917558 AWS917558:AWW917558 BGO917558:BGS917558 BQK917558:BQO917558 CAG917558:CAK917558 CKC917558:CKG917558 CTY917558:CUC917558 DDU917558:DDY917558 DNQ917558:DNU917558 DXM917558:DXQ917558 EHI917558:EHM917558 ERE917558:ERI917558 FBA917558:FBE917558 FKW917558:FLA917558 FUS917558:FUW917558 GEO917558:GES917558 GOK917558:GOO917558 GYG917558:GYK917558 HIC917558:HIG917558 HRY917558:HSC917558 IBU917558:IBY917558 ILQ917558:ILU917558 IVM917558:IVQ917558 JFI917558:JFM917558 JPE917558:JPI917558 JZA917558:JZE917558 KIW917558:KJA917558 KSS917558:KSW917558 LCO917558:LCS917558 LMK917558:LMO917558 LWG917558:LWK917558 MGC917558:MGG917558 MPY917558:MQC917558 MZU917558:MZY917558 NJQ917558:NJU917558 NTM917558:NTQ917558 ODI917558:ODM917558 ONE917558:ONI917558 OXA917558:OXE917558 PGW917558:PHA917558 PQS917558:PQW917558 QAO917558:QAS917558 QKK917558:QKO917558 QUG917558:QUK917558 REC917558:REG917558 RNY917558:ROC917558 RXU917558:RXY917558 SHQ917558:SHU917558 SRM917558:SRQ917558 TBI917558:TBM917558 TLE917558:TLI917558 TVA917558:TVE917558 UEW917558:UFA917558 UOS917558:UOW917558 UYO917558:UYS917558 VIK917558:VIO917558 VSG917558:VSK917558 WCC917558:WCG917558 WLY917558:WMC917558 WVU917558:WVY917558 M983094:Q983094 JI983094:JM983094 TE983094:TI983094 ADA983094:ADE983094 AMW983094:ANA983094 AWS983094:AWW983094 BGO983094:BGS983094 BQK983094:BQO983094 CAG983094:CAK983094 CKC983094:CKG983094 CTY983094:CUC983094 DDU983094:DDY983094 DNQ983094:DNU983094 DXM983094:DXQ983094 EHI983094:EHM983094 ERE983094:ERI983094 FBA983094:FBE983094 FKW983094:FLA983094 FUS983094:FUW983094 GEO983094:GES983094 GOK983094:GOO983094 GYG983094:GYK983094 HIC983094:HIG983094 HRY983094:HSC983094 IBU983094:IBY983094 ILQ983094:ILU983094 IVM983094:IVQ983094 JFI983094:JFM983094 JPE983094:JPI983094 JZA983094:JZE983094 KIW983094:KJA983094 KSS983094:KSW983094 LCO983094:LCS983094 LMK983094:LMO983094 LWG983094:LWK983094 MGC983094:MGG983094 MPY983094:MQC983094 MZU983094:MZY983094 NJQ983094:NJU983094 NTM983094:NTQ983094 ODI983094:ODM983094 ONE983094:ONI983094 OXA983094:OXE983094 PGW983094:PHA983094 PQS983094:PQW983094 QAO983094:QAS983094 QKK983094:QKO983094 QUG983094:QUK983094 REC983094:REG983094 RNY983094:ROC983094 RXU983094:RXY983094 SHQ983094:SHU983094 SRM983094:SRQ983094 TBI983094:TBM983094 TLE983094:TLI983094 TVA983094:TVE983094 UEW983094:UFA983094 UOS983094:UOW983094 UYO983094:UYS983094 VIK983094:VIO983094 VSG983094:VSK983094 WCC983094:WCG983094 WLY983094:WMC983094 WVU983094:WVY983094 V157 JR157 TN157 ADJ157 ANF157 AXB157 BGX157 BQT157 CAP157 CKL157 CUH157 DED157 DNZ157 DXV157 EHR157 ERN157 FBJ157 FLF157 FVB157 GEX157 GOT157 GYP157 HIL157 HSH157 ICD157 ILZ157 IVV157 JFR157 JPN157 JZJ157 KJF157 KTB157 LCX157 LMT157 LWP157 MGL157 MQH157 NAD157 NJZ157 NTV157 ODR157 ONN157 OXJ157 PHF157 PRB157 QAX157 QKT157 QUP157 REL157 ROH157 RYD157 SHZ157 SRV157 TBR157 TLN157 TVJ157 UFF157 UPB157 UYX157 VIT157 VSP157 WCL157 WMH157 WWD157 V65693 JR65693 TN65693 ADJ65693 ANF65693 AXB65693 BGX65693 BQT65693 CAP65693 CKL65693 CUH65693 DED65693 DNZ65693 DXV65693 EHR65693 ERN65693 FBJ65693 FLF65693 FVB65693 GEX65693 GOT65693 GYP65693 HIL65693 HSH65693 ICD65693 ILZ65693 IVV65693 JFR65693 JPN65693 JZJ65693 KJF65693 KTB65693 LCX65693 LMT65693 LWP65693 MGL65693 MQH65693 NAD65693 NJZ65693 NTV65693 ODR65693 ONN65693 OXJ65693 PHF65693 PRB65693 QAX65693 QKT65693 QUP65693 REL65693 ROH65693 RYD65693 SHZ65693 SRV65693 TBR65693 TLN65693 TVJ65693 UFF65693 UPB65693 UYX65693 VIT65693 VSP65693 WCL65693 WMH65693 WWD65693 V131229 JR131229 TN131229 ADJ131229 ANF131229 AXB131229 BGX131229 BQT131229 CAP131229 CKL131229 CUH131229 DED131229 DNZ131229 DXV131229 EHR131229 ERN131229 FBJ131229 FLF131229 FVB131229 GEX131229 GOT131229 GYP131229 HIL131229 HSH131229 ICD131229 ILZ131229 IVV131229 JFR131229 JPN131229 JZJ131229 KJF131229 KTB131229 LCX131229 LMT131229 LWP131229 MGL131229 MQH131229 NAD131229 NJZ131229 NTV131229 ODR131229 ONN131229 OXJ131229 PHF131229 PRB131229 QAX131229 QKT131229 QUP131229 REL131229 ROH131229 RYD131229 SHZ131229 SRV131229 TBR131229 TLN131229 TVJ131229 UFF131229 UPB131229 UYX131229 VIT131229 VSP131229 WCL131229 WMH131229 WWD131229 V196765 JR196765 TN196765 ADJ196765 ANF196765 AXB196765 BGX196765 BQT196765 CAP196765 CKL196765 CUH196765 DED196765 DNZ196765 DXV196765 EHR196765 ERN196765 FBJ196765 FLF196765 FVB196765 GEX196765 GOT196765 GYP196765 HIL196765 HSH196765 ICD196765 ILZ196765 IVV196765 JFR196765 JPN196765 JZJ196765 KJF196765 KTB196765 LCX196765 LMT196765 LWP196765 MGL196765 MQH196765 NAD196765 NJZ196765 NTV196765 ODR196765 ONN196765 OXJ196765 PHF196765 PRB196765 QAX196765 QKT196765 QUP196765 REL196765 ROH196765 RYD196765 SHZ196765 SRV196765 TBR196765 TLN196765 TVJ196765 UFF196765 UPB196765 UYX196765 VIT196765 VSP196765 WCL196765 WMH196765 WWD196765 V262301 JR262301 TN262301 ADJ262301 ANF262301 AXB262301 BGX262301 BQT262301 CAP262301 CKL262301 CUH262301 DED262301 DNZ262301 DXV262301 EHR262301 ERN262301 FBJ262301 FLF262301 FVB262301 GEX262301 GOT262301 GYP262301 HIL262301 HSH262301 ICD262301 ILZ262301 IVV262301 JFR262301 JPN262301 JZJ262301 KJF262301 KTB262301 LCX262301 LMT262301 LWP262301 MGL262301 MQH262301 NAD262301 NJZ262301 NTV262301 ODR262301 ONN262301 OXJ262301 PHF262301 PRB262301 QAX262301 QKT262301 QUP262301 REL262301 ROH262301 RYD262301 SHZ262301 SRV262301 TBR262301 TLN262301 TVJ262301 UFF262301 UPB262301 UYX262301 VIT262301 VSP262301 WCL262301 WMH262301 WWD262301 V327837 JR327837 TN327837 ADJ327837 ANF327837 AXB327837 BGX327837 BQT327837 CAP327837 CKL327837 CUH327837 DED327837 DNZ327837 DXV327837 EHR327837 ERN327837 FBJ327837 FLF327837 FVB327837 GEX327837 GOT327837 GYP327837 HIL327837 HSH327837 ICD327837 ILZ327837 IVV327837 JFR327837 JPN327837 JZJ327837 KJF327837 KTB327837 LCX327837 LMT327837 LWP327837 MGL327837 MQH327837 NAD327837 NJZ327837 NTV327837 ODR327837 ONN327837 OXJ327837 PHF327837 PRB327837 QAX327837 QKT327837 QUP327837 REL327837 ROH327837 RYD327837 SHZ327837 SRV327837 TBR327837 TLN327837 TVJ327837 UFF327837 UPB327837 UYX327837 VIT327837 VSP327837 WCL327837 WMH327837 WWD327837 V393373 JR393373 TN393373 ADJ393373 ANF393373 AXB393373 BGX393373 BQT393373 CAP393373 CKL393373 CUH393373 DED393373 DNZ393373 DXV393373 EHR393373 ERN393373 FBJ393373 FLF393373 FVB393373 GEX393373 GOT393373 GYP393373 HIL393373 HSH393373 ICD393373 ILZ393373 IVV393373 JFR393373 JPN393373 JZJ393373 KJF393373 KTB393373 LCX393373 LMT393373 LWP393373 MGL393373 MQH393373 NAD393373 NJZ393373 NTV393373 ODR393373 ONN393373 OXJ393373 PHF393373 PRB393373 QAX393373 QKT393373 QUP393373 REL393373 ROH393373 RYD393373 SHZ393373 SRV393373 TBR393373 TLN393373 TVJ393373 UFF393373 UPB393373 UYX393373 VIT393373 VSP393373 WCL393373 WMH393373 WWD393373 V458909 JR458909 TN458909 ADJ458909 ANF458909 AXB458909 BGX458909 BQT458909 CAP458909 CKL458909 CUH458909 DED458909 DNZ458909 DXV458909 EHR458909 ERN458909 FBJ458909 FLF458909 FVB458909 GEX458909 GOT458909 GYP458909 HIL458909 HSH458909 ICD458909 ILZ458909 IVV458909 JFR458909 JPN458909 JZJ458909 KJF458909 KTB458909 LCX458909 LMT458909 LWP458909 MGL458909 MQH458909 NAD458909 NJZ458909 NTV458909 ODR458909 ONN458909 OXJ458909 PHF458909 PRB458909 QAX458909 QKT458909 QUP458909 REL458909 ROH458909 RYD458909 SHZ458909 SRV458909 TBR458909 TLN458909 TVJ458909 UFF458909 UPB458909 UYX458909 VIT458909 VSP458909 WCL458909 WMH458909 WWD458909 V524445 JR524445 TN524445 ADJ524445 ANF524445 AXB524445 BGX524445 BQT524445 CAP524445 CKL524445 CUH524445 DED524445 DNZ524445 DXV524445 EHR524445 ERN524445 FBJ524445 FLF524445 FVB524445 GEX524445 GOT524445 GYP524445 HIL524445 HSH524445 ICD524445 ILZ524445 IVV524445 JFR524445 JPN524445 JZJ524445 KJF524445 KTB524445 LCX524445 LMT524445 LWP524445 MGL524445 MQH524445 NAD524445 NJZ524445 NTV524445 ODR524445 ONN524445 OXJ524445 PHF524445 PRB524445 QAX524445 QKT524445 QUP524445 REL524445 ROH524445 RYD524445 SHZ524445 SRV524445 TBR524445 TLN524445 TVJ524445 UFF524445 UPB524445 UYX524445 VIT524445 VSP524445 WCL524445 WMH524445 WWD524445 V589981 JR589981 TN589981 ADJ589981 ANF589981 AXB589981 BGX589981 BQT589981 CAP589981 CKL589981 CUH589981 DED589981 DNZ589981 DXV589981 EHR589981 ERN589981 FBJ589981 FLF589981 FVB589981 GEX589981 GOT589981 GYP589981 HIL589981 HSH589981 ICD589981 ILZ589981 IVV589981 JFR589981 JPN589981 JZJ589981 KJF589981 KTB589981 LCX589981 LMT589981 LWP589981 MGL589981 MQH589981 NAD589981 NJZ589981 NTV589981 ODR589981 ONN589981 OXJ589981 PHF589981 PRB589981 QAX589981 QKT589981 QUP589981 REL589981 ROH589981 RYD589981 SHZ589981 SRV589981 TBR589981 TLN589981 TVJ589981 UFF589981 UPB589981 UYX589981 VIT589981 VSP589981 WCL589981 WMH589981 WWD589981 V655517 JR655517 TN655517 ADJ655517 ANF655517 AXB655517 BGX655517 BQT655517 CAP655517 CKL655517 CUH655517 DED655517 DNZ655517 DXV655517 EHR655517 ERN655517 FBJ655517 FLF655517 FVB655517 GEX655517 GOT655517 GYP655517 HIL655517 HSH655517 ICD655517 ILZ655517 IVV655517 JFR655517 JPN655517 JZJ655517 KJF655517 KTB655517 LCX655517 LMT655517 LWP655517 MGL655517 MQH655517 NAD655517 NJZ655517 NTV655517 ODR655517 ONN655517 OXJ655517 PHF655517 PRB655517 QAX655517 QKT655517 QUP655517 REL655517 ROH655517 RYD655517 SHZ655517 SRV655517 TBR655517 TLN655517 TVJ655517 UFF655517 UPB655517 UYX655517 VIT655517 VSP655517 WCL655517 WMH655517 WWD655517 V721053 JR721053 TN721053 ADJ721053 ANF721053 AXB721053 BGX721053 BQT721053 CAP721053 CKL721053 CUH721053 DED721053 DNZ721053 DXV721053 EHR721053 ERN721053 FBJ721053 FLF721053 FVB721053 GEX721053 GOT721053 GYP721053 HIL721053 HSH721053 ICD721053 ILZ721053 IVV721053 JFR721053 JPN721053 JZJ721053 KJF721053 KTB721053 LCX721053 LMT721053 LWP721053 MGL721053 MQH721053 NAD721053 NJZ721053 NTV721053 ODR721053 ONN721053 OXJ721053 PHF721053 PRB721053 QAX721053 QKT721053 QUP721053 REL721053 ROH721053 RYD721053 SHZ721053 SRV721053 TBR721053 TLN721053 TVJ721053 UFF721053 UPB721053 UYX721053 VIT721053 VSP721053 WCL721053 WMH721053 WWD721053 V786589 JR786589 TN786589 ADJ786589 ANF786589 AXB786589 BGX786589 BQT786589 CAP786589 CKL786589 CUH786589 DED786589 DNZ786589 DXV786589 EHR786589 ERN786589 FBJ786589 FLF786589 FVB786589 GEX786589 GOT786589 GYP786589 HIL786589 HSH786589 ICD786589 ILZ786589 IVV786589 JFR786589 JPN786589 JZJ786589 KJF786589 KTB786589 LCX786589 LMT786589 LWP786589 MGL786589 MQH786589 NAD786589 NJZ786589 NTV786589 ODR786589 ONN786589 OXJ786589 PHF786589 PRB786589 QAX786589 QKT786589 QUP786589 REL786589 ROH786589 RYD786589 SHZ786589 SRV786589 TBR786589 TLN786589 TVJ786589 UFF786589 UPB786589 UYX786589 VIT786589 VSP786589 WCL786589 WMH786589 WWD786589 V852125 JR852125 TN852125 ADJ852125 ANF852125 AXB852125 BGX852125 BQT852125 CAP852125 CKL852125 CUH852125 DED852125 DNZ852125 DXV852125 EHR852125 ERN852125 FBJ852125 FLF852125 FVB852125 GEX852125 GOT852125 GYP852125 HIL852125 HSH852125 ICD852125 ILZ852125 IVV852125 JFR852125 JPN852125 JZJ852125 KJF852125 KTB852125 LCX852125 LMT852125 LWP852125 MGL852125 MQH852125 NAD852125 NJZ852125 NTV852125 ODR852125 ONN852125 OXJ852125 PHF852125 PRB852125 QAX852125 QKT852125 QUP852125 REL852125 ROH852125 RYD852125 SHZ852125 SRV852125 TBR852125 TLN852125 TVJ852125 UFF852125 UPB852125 UYX852125 VIT852125 VSP852125 WCL852125 WMH852125 WWD852125 V917661 JR917661 TN917661 ADJ917661 ANF917661 AXB917661 BGX917661 BQT917661 CAP917661 CKL917661 CUH917661 DED917661 DNZ917661 DXV917661 EHR917661 ERN917661 FBJ917661 FLF917661 FVB917661 GEX917661 GOT917661 GYP917661 HIL917661 HSH917661 ICD917661 ILZ917661 IVV917661 JFR917661 JPN917661 JZJ917661 KJF917661 KTB917661 LCX917661 LMT917661 LWP917661 MGL917661 MQH917661 NAD917661 NJZ917661 NTV917661 ODR917661 ONN917661 OXJ917661 PHF917661 PRB917661 QAX917661 QKT917661 QUP917661 REL917661 ROH917661 RYD917661 SHZ917661 SRV917661 TBR917661 TLN917661 TVJ917661 UFF917661 UPB917661 UYX917661 VIT917661 VSP917661 WCL917661 WMH917661 WWD917661 V983197 JR983197 TN983197 ADJ983197 ANF983197 AXB983197 BGX983197 BQT983197 CAP983197 CKL983197 CUH983197 DED983197 DNZ983197 DXV983197 EHR983197 ERN983197 FBJ983197 FLF983197 FVB983197 GEX983197 GOT983197 GYP983197 HIL983197 HSH983197 ICD983197 ILZ983197 IVV983197 JFR983197 JPN983197 JZJ983197 KJF983197 KTB983197 LCX983197 LMT983197 LWP983197 MGL983197 MQH983197 NAD983197 NJZ983197 NTV983197 ODR983197 ONN983197 OXJ983197 PHF983197 PRB983197 QAX983197 QKT983197 QUP983197 REL983197 ROH983197 RYD983197 SHZ983197 SRV983197 TBR983197 TLN983197 TVJ983197 UFF983197 UPB983197 UYX983197 VIT983197 VSP983197 WCL983197 WMH983197 WWD983197 V11:AE12 JR11:KA12 TN11:TW12 ADJ11:ADS12 ANF11:ANO12 AXB11:AXK12 BGX11:BHG12 BQT11:BRC12 CAP11:CAY12 CKL11:CKU12 CUH11:CUQ12 DED11:DEM12 DNZ11:DOI12 DXV11:DYE12 EHR11:EIA12 ERN11:ERW12 FBJ11:FBS12 FLF11:FLO12 FVB11:FVK12 GEX11:GFG12 GOT11:GPC12 GYP11:GYY12 HIL11:HIU12 HSH11:HSQ12 ICD11:ICM12 ILZ11:IMI12 IVV11:IWE12 JFR11:JGA12 JPN11:JPW12 JZJ11:JZS12 KJF11:KJO12 KTB11:KTK12 LCX11:LDG12 LMT11:LNC12 LWP11:LWY12 MGL11:MGU12 MQH11:MQQ12 NAD11:NAM12 NJZ11:NKI12 NTV11:NUE12 ODR11:OEA12 ONN11:ONW12 OXJ11:OXS12 PHF11:PHO12 PRB11:PRK12 QAX11:QBG12 QKT11:QLC12 QUP11:QUY12 REL11:REU12 ROH11:ROQ12 RYD11:RYM12 SHZ11:SII12 SRV11:SSE12 TBR11:TCA12 TLN11:TLW12 TVJ11:TVS12 UFF11:UFO12 UPB11:UPK12 UYX11:UZG12 VIT11:VJC12 VSP11:VSY12 WCL11:WCU12 WMH11:WMQ12 WWD11:WWM12 V65547:AE65548 JR65547:KA65548 TN65547:TW65548 ADJ65547:ADS65548 ANF65547:ANO65548 AXB65547:AXK65548 BGX65547:BHG65548 BQT65547:BRC65548 CAP65547:CAY65548 CKL65547:CKU65548 CUH65547:CUQ65548 DED65547:DEM65548 DNZ65547:DOI65548 DXV65547:DYE65548 EHR65547:EIA65548 ERN65547:ERW65548 FBJ65547:FBS65548 FLF65547:FLO65548 FVB65547:FVK65548 GEX65547:GFG65548 GOT65547:GPC65548 GYP65547:GYY65548 HIL65547:HIU65548 HSH65547:HSQ65548 ICD65547:ICM65548 ILZ65547:IMI65548 IVV65547:IWE65548 JFR65547:JGA65548 JPN65547:JPW65548 JZJ65547:JZS65548 KJF65547:KJO65548 KTB65547:KTK65548 LCX65547:LDG65548 LMT65547:LNC65548 LWP65547:LWY65548 MGL65547:MGU65548 MQH65547:MQQ65548 NAD65547:NAM65548 NJZ65547:NKI65548 NTV65547:NUE65548 ODR65547:OEA65548 ONN65547:ONW65548 OXJ65547:OXS65548 PHF65547:PHO65548 PRB65547:PRK65548 QAX65547:QBG65548 QKT65547:QLC65548 QUP65547:QUY65548 REL65547:REU65548 ROH65547:ROQ65548 RYD65547:RYM65548 SHZ65547:SII65548 SRV65547:SSE65548 TBR65547:TCA65548 TLN65547:TLW65548 TVJ65547:TVS65548 UFF65547:UFO65548 UPB65547:UPK65548 UYX65547:UZG65548 VIT65547:VJC65548 VSP65547:VSY65548 WCL65547:WCU65548 WMH65547:WMQ65548 WWD65547:WWM65548 V131083:AE131084 JR131083:KA131084 TN131083:TW131084 ADJ131083:ADS131084 ANF131083:ANO131084 AXB131083:AXK131084 BGX131083:BHG131084 BQT131083:BRC131084 CAP131083:CAY131084 CKL131083:CKU131084 CUH131083:CUQ131084 DED131083:DEM131084 DNZ131083:DOI131084 DXV131083:DYE131084 EHR131083:EIA131084 ERN131083:ERW131084 FBJ131083:FBS131084 FLF131083:FLO131084 FVB131083:FVK131084 GEX131083:GFG131084 GOT131083:GPC131084 GYP131083:GYY131084 HIL131083:HIU131084 HSH131083:HSQ131084 ICD131083:ICM131084 ILZ131083:IMI131084 IVV131083:IWE131084 JFR131083:JGA131084 JPN131083:JPW131084 JZJ131083:JZS131084 KJF131083:KJO131084 KTB131083:KTK131084 LCX131083:LDG131084 LMT131083:LNC131084 LWP131083:LWY131084 MGL131083:MGU131084 MQH131083:MQQ131084 NAD131083:NAM131084 NJZ131083:NKI131084 NTV131083:NUE131084 ODR131083:OEA131084 ONN131083:ONW131084 OXJ131083:OXS131084 PHF131083:PHO131084 PRB131083:PRK131084 QAX131083:QBG131084 QKT131083:QLC131084 QUP131083:QUY131084 REL131083:REU131084 ROH131083:ROQ131084 RYD131083:RYM131084 SHZ131083:SII131084 SRV131083:SSE131084 TBR131083:TCA131084 TLN131083:TLW131084 TVJ131083:TVS131084 UFF131083:UFO131084 UPB131083:UPK131084 UYX131083:UZG131084 VIT131083:VJC131084 VSP131083:VSY131084 WCL131083:WCU131084 WMH131083:WMQ131084 WWD131083:WWM131084 V196619:AE196620 JR196619:KA196620 TN196619:TW196620 ADJ196619:ADS196620 ANF196619:ANO196620 AXB196619:AXK196620 BGX196619:BHG196620 BQT196619:BRC196620 CAP196619:CAY196620 CKL196619:CKU196620 CUH196619:CUQ196620 DED196619:DEM196620 DNZ196619:DOI196620 DXV196619:DYE196620 EHR196619:EIA196620 ERN196619:ERW196620 FBJ196619:FBS196620 FLF196619:FLO196620 FVB196619:FVK196620 GEX196619:GFG196620 GOT196619:GPC196620 GYP196619:GYY196620 HIL196619:HIU196620 HSH196619:HSQ196620 ICD196619:ICM196620 ILZ196619:IMI196620 IVV196619:IWE196620 JFR196619:JGA196620 JPN196619:JPW196620 JZJ196619:JZS196620 KJF196619:KJO196620 KTB196619:KTK196620 LCX196619:LDG196620 LMT196619:LNC196620 LWP196619:LWY196620 MGL196619:MGU196620 MQH196619:MQQ196620 NAD196619:NAM196620 NJZ196619:NKI196620 NTV196619:NUE196620 ODR196619:OEA196620 ONN196619:ONW196620 OXJ196619:OXS196620 PHF196619:PHO196620 PRB196619:PRK196620 QAX196619:QBG196620 QKT196619:QLC196620 QUP196619:QUY196620 REL196619:REU196620 ROH196619:ROQ196620 RYD196619:RYM196620 SHZ196619:SII196620 SRV196619:SSE196620 TBR196619:TCA196620 TLN196619:TLW196620 TVJ196619:TVS196620 UFF196619:UFO196620 UPB196619:UPK196620 UYX196619:UZG196620 VIT196619:VJC196620 VSP196619:VSY196620 WCL196619:WCU196620 WMH196619:WMQ196620 WWD196619:WWM196620 V262155:AE262156 JR262155:KA262156 TN262155:TW262156 ADJ262155:ADS262156 ANF262155:ANO262156 AXB262155:AXK262156 BGX262155:BHG262156 BQT262155:BRC262156 CAP262155:CAY262156 CKL262155:CKU262156 CUH262155:CUQ262156 DED262155:DEM262156 DNZ262155:DOI262156 DXV262155:DYE262156 EHR262155:EIA262156 ERN262155:ERW262156 FBJ262155:FBS262156 FLF262155:FLO262156 FVB262155:FVK262156 GEX262155:GFG262156 GOT262155:GPC262156 GYP262155:GYY262156 HIL262155:HIU262156 HSH262155:HSQ262156 ICD262155:ICM262156 ILZ262155:IMI262156 IVV262155:IWE262156 JFR262155:JGA262156 JPN262155:JPW262156 JZJ262155:JZS262156 KJF262155:KJO262156 KTB262155:KTK262156 LCX262155:LDG262156 LMT262155:LNC262156 LWP262155:LWY262156 MGL262155:MGU262156 MQH262155:MQQ262156 NAD262155:NAM262156 NJZ262155:NKI262156 NTV262155:NUE262156 ODR262155:OEA262156 ONN262155:ONW262156 OXJ262155:OXS262156 PHF262155:PHO262156 PRB262155:PRK262156 QAX262155:QBG262156 QKT262155:QLC262156 QUP262155:QUY262156 REL262155:REU262156 ROH262155:ROQ262156 RYD262155:RYM262156 SHZ262155:SII262156 SRV262155:SSE262156 TBR262155:TCA262156 TLN262155:TLW262156 TVJ262155:TVS262156 UFF262155:UFO262156 UPB262155:UPK262156 UYX262155:UZG262156 VIT262155:VJC262156 VSP262155:VSY262156 WCL262155:WCU262156 WMH262155:WMQ262156 WWD262155:WWM262156 V327691:AE327692 JR327691:KA327692 TN327691:TW327692 ADJ327691:ADS327692 ANF327691:ANO327692 AXB327691:AXK327692 BGX327691:BHG327692 BQT327691:BRC327692 CAP327691:CAY327692 CKL327691:CKU327692 CUH327691:CUQ327692 DED327691:DEM327692 DNZ327691:DOI327692 DXV327691:DYE327692 EHR327691:EIA327692 ERN327691:ERW327692 FBJ327691:FBS327692 FLF327691:FLO327692 FVB327691:FVK327692 GEX327691:GFG327692 GOT327691:GPC327692 GYP327691:GYY327692 HIL327691:HIU327692 HSH327691:HSQ327692 ICD327691:ICM327692 ILZ327691:IMI327692 IVV327691:IWE327692 JFR327691:JGA327692 JPN327691:JPW327692 JZJ327691:JZS327692 KJF327691:KJO327692 KTB327691:KTK327692 LCX327691:LDG327692 LMT327691:LNC327692 LWP327691:LWY327692 MGL327691:MGU327692 MQH327691:MQQ327692 NAD327691:NAM327692 NJZ327691:NKI327692 NTV327691:NUE327692 ODR327691:OEA327692 ONN327691:ONW327692 OXJ327691:OXS327692 PHF327691:PHO327692 PRB327691:PRK327692 QAX327691:QBG327692 QKT327691:QLC327692 QUP327691:QUY327692 REL327691:REU327692 ROH327691:ROQ327692 RYD327691:RYM327692 SHZ327691:SII327692 SRV327691:SSE327692 TBR327691:TCA327692 TLN327691:TLW327692 TVJ327691:TVS327692 UFF327691:UFO327692 UPB327691:UPK327692 UYX327691:UZG327692 VIT327691:VJC327692 VSP327691:VSY327692 WCL327691:WCU327692 WMH327691:WMQ327692 WWD327691:WWM327692 V393227:AE393228 JR393227:KA393228 TN393227:TW393228 ADJ393227:ADS393228 ANF393227:ANO393228 AXB393227:AXK393228 BGX393227:BHG393228 BQT393227:BRC393228 CAP393227:CAY393228 CKL393227:CKU393228 CUH393227:CUQ393228 DED393227:DEM393228 DNZ393227:DOI393228 DXV393227:DYE393228 EHR393227:EIA393228 ERN393227:ERW393228 FBJ393227:FBS393228 FLF393227:FLO393228 FVB393227:FVK393228 GEX393227:GFG393228 GOT393227:GPC393228 GYP393227:GYY393228 HIL393227:HIU393228 HSH393227:HSQ393228 ICD393227:ICM393228 ILZ393227:IMI393228 IVV393227:IWE393228 JFR393227:JGA393228 JPN393227:JPW393228 JZJ393227:JZS393228 KJF393227:KJO393228 KTB393227:KTK393228 LCX393227:LDG393228 LMT393227:LNC393228 LWP393227:LWY393228 MGL393227:MGU393228 MQH393227:MQQ393228 NAD393227:NAM393228 NJZ393227:NKI393228 NTV393227:NUE393228 ODR393227:OEA393228 ONN393227:ONW393228 OXJ393227:OXS393228 PHF393227:PHO393228 PRB393227:PRK393228 QAX393227:QBG393228 QKT393227:QLC393228 QUP393227:QUY393228 REL393227:REU393228 ROH393227:ROQ393228 RYD393227:RYM393228 SHZ393227:SII393228 SRV393227:SSE393228 TBR393227:TCA393228 TLN393227:TLW393228 TVJ393227:TVS393228 UFF393227:UFO393228 UPB393227:UPK393228 UYX393227:UZG393228 VIT393227:VJC393228 VSP393227:VSY393228 WCL393227:WCU393228 WMH393227:WMQ393228 WWD393227:WWM393228 V458763:AE458764 JR458763:KA458764 TN458763:TW458764 ADJ458763:ADS458764 ANF458763:ANO458764 AXB458763:AXK458764 BGX458763:BHG458764 BQT458763:BRC458764 CAP458763:CAY458764 CKL458763:CKU458764 CUH458763:CUQ458764 DED458763:DEM458764 DNZ458763:DOI458764 DXV458763:DYE458764 EHR458763:EIA458764 ERN458763:ERW458764 FBJ458763:FBS458764 FLF458763:FLO458764 FVB458763:FVK458764 GEX458763:GFG458764 GOT458763:GPC458764 GYP458763:GYY458764 HIL458763:HIU458764 HSH458763:HSQ458764 ICD458763:ICM458764 ILZ458763:IMI458764 IVV458763:IWE458764 JFR458763:JGA458764 JPN458763:JPW458764 JZJ458763:JZS458764 KJF458763:KJO458764 KTB458763:KTK458764 LCX458763:LDG458764 LMT458763:LNC458764 LWP458763:LWY458764 MGL458763:MGU458764 MQH458763:MQQ458764 NAD458763:NAM458764 NJZ458763:NKI458764 NTV458763:NUE458764 ODR458763:OEA458764 ONN458763:ONW458764 OXJ458763:OXS458764 PHF458763:PHO458764 PRB458763:PRK458764 QAX458763:QBG458764 QKT458763:QLC458764 QUP458763:QUY458764 REL458763:REU458764 ROH458763:ROQ458764 RYD458763:RYM458764 SHZ458763:SII458764 SRV458763:SSE458764 TBR458763:TCA458764 TLN458763:TLW458764 TVJ458763:TVS458764 UFF458763:UFO458764 UPB458763:UPK458764 UYX458763:UZG458764 VIT458763:VJC458764 VSP458763:VSY458764 WCL458763:WCU458764 WMH458763:WMQ458764 WWD458763:WWM458764 V524299:AE524300 JR524299:KA524300 TN524299:TW524300 ADJ524299:ADS524300 ANF524299:ANO524300 AXB524299:AXK524300 BGX524299:BHG524300 BQT524299:BRC524300 CAP524299:CAY524300 CKL524299:CKU524300 CUH524299:CUQ524300 DED524299:DEM524300 DNZ524299:DOI524300 DXV524299:DYE524300 EHR524299:EIA524300 ERN524299:ERW524300 FBJ524299:FBS524300 FLF524299:FLO524300 FVB524299:FVK524300 GEX524299:GFG524300 GOT524299:GPC524300 GYP524299:GYY524300 HIL524299:HIU524300 HSH524299:HSQ524300 ICD524299:ICM524300 ILZ524299:IMI524300 IVV524299:IWE524300 JFR524299:JGA524300 JPN524299:JPW524300 JZJ524299:JZS524300 KJF524299:KJO524300 KTB524299:KTK524300 LCX524299:LDG524300 LMT524299:LNC524300 LWP524299:LWY524300 MGL524299:MGU524300 MQH524299:MQQ524300 NAD524299:NAM524300 NJZ524299:NKI524300 NTV524299:NUE524300 ODR524299:OEA524300 ONN524299:ONW524300 OXJ524299:OXS524300 PHF524299:PHO524300 PRB524299:PRK524300 QAX524299:QBG524300 QKT524299:QLC524300 QUP524299:QUY524300 REL524299:REU524300 ROH524299:ROQ524300 RYD524299:RYM524300 SHZ524299:SII524300 SRV524299:SSE524300 TBR524299:TCA524300 TLN524299:TLW524300 TVJ524299:TVS524300 UFF524299:UFO524300 UPB524299:UPK524300 UYX524299:UZG524300 VIT524299:VJC524300 VSP524299:VSY524300 WCL524299:WCU524300 WMH524299:WMQ524300 WWD524299:WWM524300 V589835:AE589836 JR589835:KA589836 TN589835:TW589836 ADJ589835:ADS589836 ANF589835:ANO589836 AXB589835:AXK589836 BGX589835:BHG589836 BQT589835:BRC589836 CAP589835:CAY589836 CKL589835:CKU589836 CUH589835:CUQ589836 DED589835:DEM589836 DNZ589835:DOI589836 DXV589835:DYE589836 EHR589835:EIA589836 ERN589835:ERW589836 FBJ589835:FBS589836 FLF589835:FLO589836 FVB589835:FVK589836 GEX589835:GFG589836 GOT589835:GPC589836 GYP589835:GYY589836 HIL589835:HIU589836 HSH589835:HSQ589836 ICD589835:ICM589836 ILZ589835:IMI589836 IVV589835:IWE589836 JFR589835:JGA589836 JPN589835:JPW589836 JZJ589835:JZS589836 KJF589835:KJO589836 KTB589835:KTK589836 LCX589835:LDG589836 LMT589835:LNC589836 LWP589835:LWY589836 MGL589835:MGU589836 MQH589835:MQQ589836 NAD589835:NAM589836 NJZ589835:NKI589836 NTV589835:NUE589836 ODR589835:OEA589836 ONN589835:ONW589836 OXJ589835:OXS589836 PHF589835:PHO589836 PRB589835:PRK589836 QAX589835:QBG589836 QKT589835:QLC589836 QUP589835:QUY589836 REL589835:REU589836 ROH589835:ROQ589836 RYD589835:RYM589836 SHZ589835:SII589836 SRV589835:SSE589836 TBR589835:TCA589836 TLN589835:TLW589836 TVJ589835:TVS589836 UFF589835:UFO589836 UPB589835:UPK589836 UYX589835:UZG589836 VIT589835:VJC589836 VSP589835:VSY589836 WCL589835:WCU589836 WMH589835:WMQ589836 WWD589835:WWM589836 V655371:AE655372 JR655371:KA655372 TN655371:TW655372 ADJ655371:ADS655372 ANF655371:ANO655372 AXB655371:AXK655372 BGX655371:BHG655372 BQT655371:BRC655372 CAP655371:CAY655372 CKL655371:CKU655372 CUH655371:CUQ655372 DED655371:DEM655372 DNZ655371:DOI655372 DXV655371:DYE655372 EHR655371:EIA655372 ERN655371:ERW655372 FBJ655371:FBS655372 FLF655371:FLO655372 FVB655371:FVK655372 GEX655371:GFG655372 GOT655371:GPC655372 GYP655371:GYY655372 HIL655371:HIU655372 HSH655371:HSQ655372 ICD655371:ICM655372 ILZ655371:IMI655372 IVV655371:IWE655372 JFR655371:JGA655372 JPN655371:JPW655372 JZJ655371:JZS655372 KJF655371:KJO655372 KTB655371:KTK655372 LCX655371:LDG655372 LMT655371:LNC655372 LWP655371:LWY655372 MGL655371:MGU655372 MQH655371:MQQ655372 NAD655371:NAM655372 NJZ655371:NKI655372 NTV655371:NUE655372 ODR655371:OEA655372 ONN655371:ONW655372 OXJ655371:OXS655372 PHF655371:PHO655372 PRB655371:PRK655372 QAX655371:QBG655372 QKT655371:QLC655372 QUP655371:QUY655372 REL655371:REU655372 ROH655371:ROQ655372 RYD655371:RYM655372 SHZ655371:SII655372 SRV655371:SSE655372 TBR655371:TCA655372 TLN655371:TLW655372 TVJ655371:TVS655372 UFF655371:UFO655372 UPB655371:UPK655372 UYX655371:UZG655372 VIT655371:VJC655372 VSP655371:VSY655372 WCL655371:WCU655372 WMH655371:WMQ655372 WWD655371:WWM655372 V720907:AE720908 JR720907:KA720908 TN720907:TW720908 ADJ720907:ADS720908 ANF720907:ANO720908 AXB720907:AXK720908 BGX720907:BHG720908 BQT720907:BRC720908 CAP720907:CAY720908 CKL720907:CKU720908 CUH720907:CUQ720908 DED720907:DEM720908 DNZ720907:DOI720908 DXV720907:DYE720908 EHR720907:EIA720908 ERN720907:ERW720908 FBJ720907:FBS720908 FLF720907:FLO720908 FVB720907:FVK720908 GEX720907:GFG720908 GOT720907:GPC720908 GYP720907:GYY720908 HIL720907:HIU720908 HSH720907:HSQ720908 ICD720907:ICM720908 ILZ720907:IMI720908 IVV720907:IWE720908 JFR720907:JGA720908 JPN720907:JPW720908 JZJ720907:JZS720908 KJF720907:KJO720908 KTB720907:KTK720908 LCX720907:LDG720908 LMT720907:LNC720908 LWP720907:LWY720908 MGL720907:MGU720908 MQH720907:MQQ720908 NAD720907:NAM720908 NJZ720907:NKI720908 NTV720907:NUE720908 ODR720907:OEA720908 ONN720907:ONW720908 OXJ720907:OXS720908 PHF720907:PHO720908 PRB720907:PRK720908 QAX720907:QBG720908 QKT720907:QLC720908 QUP720907:QUY720908 REL720907:REU720908 ROH720907:ROQ720908 RYD720907:RYM720908 SHZ720907:SII720908 SRV720907:SSE720908 TBR720907:TCA720908 TLN720907:TLW720908 TVJ720907:TVS720908 UFF720907:UFO720908 UPB720907:UPK720908 UYX720907:UZG720908 VIT720907:VJC720908 VSP720907:VSY720908 WCL720907:WCU720908 WMH720907:WMQ720908 WWD720907:WWM720908 V786443:AE786444 JR786443:KA786444 TN786443:TW786444 ADJ786443:ADS786444 ANF786443:ANO786444 AXB786443:AXK786444 BGX786443:BHG786444 BQT786443:BRC786444 CAP786443:CAY786444 CKL786443:CKU786444 CUH786443:CUQ786444 DED786443:DEM786444 DNZ786443:DOI786444 DXV786443:DYE786444 EHR786443:EIA786444 ERN786443:ERW786444 FBJ786443:FBS786444 FLF786443:FLO786444 FVB786443:FVK786444 GEX786443:GFG786444 GOT786443:GPC786444 GYP786443:GYY786444 HIL786443:HIU786444 HSH786443:HSQ786444 ICD786443:ICM786444 ILZ786443:IMI786444 IVV786443:IWE786444 JFR786443:JGA786444 JPN786443:JPW786444 JZJ786443:JZS786444 KJF786443:KJO786444 KTB786443:KTK786444 LCX786443:LDG786444 LMT786443:LNC786444 LWP786443:LWY786444 MGL786443:MGU786444 MQH786443:MQQ786444 NAD786443:NAM786444 NJZ786443:NKI786444 NTV786443:NUE786444 ODR786443:OEA786444 ONN786443:ONW786444 OXJ786443:OXS786444 PHF786443:PHO786444 PRB786443:PRK786444 QAX786443:QBG786444 QKT786443:QLC786444 QUP786443:QUY786444 REL786443:REU786444 ROH786443:ROQ786444 RYD786443:RYM786444 SHZ786443:SII786444 SRV786443:SSE786444 TBR786443:TCA786444 TLN786443:TLW786444 TVJ786443:TVS786444 UFF786443:UFO786444 UPB786443:UPK786444 UYX786443:UZG786444 VIT786443:VJC786444 VSP786443:VSY786444 WCL786443:WCU786444 WMH786443:WMQ786444 WWD786443:WWM786444 V851979:AE851980 JR851979:KA851980 TN851979:TW851980 ADJ851979:ADS851980 ANF851979:ANO851980 AXB851979:AXK851980 BGX851979:BHG851980 BQT851979:BRC851980 CAP851979:CAY851980 CKL851979:CKU851980 CUH851979:CUQ851980 DED851979:DEM851980 DNZ851979:DOI851980 DXV851979:DYE851980 EHR851979:EIA851980 ERN851979:ERW851980 FBJ851979:FBS851980 FLF851979:FLO851980 FVB851979:FVK851980 GEX851979:GFG851980 GOT851979:GPC851980 GYP851979:GYY851980 HIL851979:HIU851980 HSH851979:HSQ851980 ICD851979:ICM851980 ILZ851979:IMI851980 IVV851979:IWE851980 JFR851979:JGA851980 JPN851979:JPW851980 JZJ851979:JZS851980 KJF851979:KJO851980 KTB851979:KTK851980 LCX851979:LDG851980 LMT851979:LNC851980 LWP851979:LWY851980 MGL851979:MGU851980 MQH851979:MQQ851980 NAD851979:NAM851980 NJZ851979:NKI851980 NTV851979:NUE851980 ODR851979:OEA851980 ONN851979:ONW851980 OXJ851979:OXS851980 PHF851979:PHO851980 PRB851979:PRK851980 QAX851979:QBG851980 QKT851979:QLC851980 QUP851979:QUY851980 REL851979:REU851980 ROH851979:ROQ851980 RYD851979:RYM851980 SHZ851979:SII851980 SRV851979:SSE851980 TBR851979:TCA851980 TLN851979:TLW851980 TVJ851979:TVS851980 UFF851979:UFO851980 UPB851979:UPK851980 UYX851979:UZG851980 VIT851979:VJC851980 VSP851979:VSY851980 WCL851979:WCU851980 WMH851979:WMQ851980 WWD851979:WWM851980 V917515:AE917516 JR917515:KA917516 TN917515:TW917516 ADJ917515:ADS917516 ANF917515:ANO917516 AXB917515:AXK917516 BGX917515:BHG917516 BQT917515:BRC917516 CAP917515:CAY917516 CKL917515:CKU917516 CUH917515:CUQ917516 DED917515:DEM917516 DNZ917515:DOI917516 DXV917515:DYE917516 EHR917515:EIA917516 ERN917515:ERW917516 FBJ917515:FBS917516 FLF917515:FLO917516 FVB917515:FVK917516 GEX917515:GFG917516 GOT917515:GPC917516 GYP917515:GYY917516 HIL917515:HIU917516 HSH917515:HSQ917516 ICD917515:ICM917516 ILZ917515:IMI917516 IVV917515:IWE917516 JFR917515:JGA917516 JPN917515:JPW917516 JZJ917515:JZS917516 KJF917515:KJO917516 KTB917515:KTK917516 LCX917515:LDG917516 LMT917515:LNC917516 LWP917515:LWY917516 MGL917515:MGU917516 MQH917515:MQQ917516 NAD917515:NAM917516 NJZ917515:NKI917516 NTV917515:NUE917516 ODR917515:OEA917516 ONN917515:ONW917516 OXJ917515:OXS917516 PHF917515:PHO917516 PRB917515:PRK917516 QAX917515:QBG917516 QKT917515:QLC917516 QUP917515:QUY917516 REL917515:REU917516 ROH917515:ROQ917516 RYD917515:RYM917516 SHZ917515:SII917516 SRV917515:SSE917516 TBR917515:TCA917516 TLN917515:TLW917516 TVJ917515:TVS917516 UFF917515:UFO917516 UPB917515:UPK917516 UYX917515:UZG917516 VIT917515:VJC917516 VSP917515:VSY917516 WCL917515:WCU917516 WMH917515:WMQ917516 WWD917515:WWM917516 V983051:AE983052 JR983051:KA983052 TN983051:TW983052 ADJ983051:ADS983052 ANF983051:ANO983052 AXB983051:AXK983052 BGX983051:BHG983052 BQT983051:BRC983052 CAP983051:CAY983052 CKL983051:CKU983052 CUH983051:CUQ983052 DED983051:DEM983052 DNZ983051:DOI983052 DXV983051:DYE983052 EHR983051:EIA983052 ERN983051:ERW983052 FBJ983051:FBS983052 FLF983051:FLO983052 FVB983051:FVK983052 GEX983051:GFG983052 GOT983051:GPC983052 GYP983051:GYY983052 HIL983051:HIU983052 HSH983051:HSQ983052 ICD983051:ICM983052 ILZ983051:IMI983052 IVV983051:IWE983052 JFR983051:JGA983052 JPN983051:JPW983052 JZJ983051:JZS983052 KJF983051:KJO983052 KTB983051:KTK983052 LCX983051:LDG983052 LMT983051:LNC983052 LWP983051:LWY983052 MGL983051:MGU983052 MQH983051:MQQ983052 NAD983051:NAM983052 NJZ983051:NKI983052 NTV983051:NUE983052 ODR983051:OEA983052 ONN983051:ONW983052 OXJ983051:OXS983052 PHF983051:PHO983052 PRB983051:PRK983052 QAX983051:QBG983052 QKT983051:QLC983052 QUP983051:QUY983052 REL983051:REU983052 ROH983051:ROQ983052 RYD983051:RYM983052 SHZ983051:SII983052 SRV983051:SSE983052 TBR983051:TCA983052 TLN983051:TLW983052 TVJ983051:TVS983052 UFF983051:UFO983052 UPB983051:UPK983052 UYX983051:UZG983052 VIT983051:VJC983052 VSP983051:VSY983052 WCL983051:WCU983052 WMH983051:WMQ983052 WWD983051:WWM983052 K11:L12 JG11:JH12 TC11:TD12 ACY11:ACZ12 AMU11:AMV12 AWQ11:AWR12 BGM11:BGN12 BQI11:BQJ12 CAE11:CAF12 CKA11:CKB12 CTW11:CTX12 DDS11:DDT12 DNO11:DNP12 DXK11:DXL12 EHG11:EHH12 ERC11:ERD12 FAY11:FAZ12 FKU11:FKV12 FUQ11:FUR12 GEM11:GEN12 GOI11:GOJ12 GYE11:GYF12 HIA11:HIB12 HRW11:HRX12 IBS11:IBT12 ILO11:ILP12 IVK11:IVL12 JFG11:JFH12 JPC11:JPD12 JYY11:JYZ12 KIU11:KIV12 KSQ11:KSR12 LCM11:LCN12 LMI11:LMJ12 LWE11:LWF12 MGA11:MGB12 MPW11:MPX12 MZS11:MZT12 NJO11:NJP12 NTK11:NTL12 ODG11:ODH12 ONC11:OND12 OWY11:OWZ12 PGU11:PGV12 PQQ11:PQR12 QAM11:QAN12 QKI11:QKJ12 QUE11:QUF12 REA11:REB12 RNW11:RNX12 RXS11:RXT12 SHO11:SHP12 SRK11:SRL12 TBG11:TBH12 TLC11:TLD12 TUY11:TUZ12 UEU11:UEV12 UOQ11:UOR12 UYM11:UYN12 VII11:VIJ12 VSE11:VSF12 WCA11:WCB12 WLW11:WLX12 WVS11:WVT12 K65547:L65548 JG65547:JH65548 TC65547:TD65548 ACY65547:ACZ65548 AMU65547:AMV65548 AWQ65547:AWR65548 BGM65547:BGN65548 BQI65547:BQJ65548 CAE65547:CAF65548 CKA65547:CKB65548 CTW65547:CTX65548 DDS65547:DDT65548 DNO65547:DNP65548 DXK65547:DXL65548 EHG65547:EHH65548 ERC65547:ERD65548 FAY65547:FAZ65548 FKU65547:FKV65548 FUQ65547:FUR65548 GEM65547:GEN65548 GOI65547:GOJ65548 GYE65547:GYF65548 HIA65547:HIB65548 HRW65547:HRX65548 IBS65547:IBT65548 ILO65547:ILP65548 IVK65547:IVL65548 JFG65547:JFH65548 JPC65547:JPD65548 JYY65547:JYZ65548 KIU65547:KIV65548 KSQ65547:KSR65548 LCM65547:LCN65548 LMI65547:LMJ65548 LWE65547:LWF65548 MGA65547:MGB65548 MPW65547:MPX65548 MZS65547:MZT65548 NJO65547:NJP65548 NTK65547:NTL65548 ODG65547:ODH65548 ONC65547:OND65548 OWY65547:OWZ65548 PGU65547:PGV65548 PQQ65547:PQR65548 QAM65547:QAN65548 QKI65547:QKJ65548 QUE65547:QUF65548 REA65547:REB65548 RNW65547:RNX65548 RXS65547:RXT65548 SHO65547:SHP65548 SRK65547:SRL65548 TBG65547:TBH65548 TLC65547:TLD65548 TUY65547:TUZ65548 UEU65547:UEV65548 UOQ65547:UOR65548 UYM65547:UYN65548 VII65547:VIJ65548 VSE65547:VSF65548 WCA65547:WCB65548 WLW65547:WLX65548 WVS65547:WVT65548 K131083:L131084 JG131083:JH131084 TC131083:TD131084 ACY131083:ACZ131084 AMU131083:AMV131084 AWQ131083:AWR131084 BGM131083:BGN131084 BQI131083:BQJ131084 CAE131083:CAF131084 CKA131083:CKB131084 CTW131083:CTX131084 DDS131083:DDT131084 DNO131083:DNP131084 DXK131083:DXL131084 EHG131083:EHH131084 ERC131083:ERD131084 FAY131083:FAZ131084 FKU131083:FKV131084 FUQ131083:FUR131084 GEM131083:GEN131084 GOI131083:GOJ131084 GYE131083:GYF131084 HIA131083:HIB131084 HRW131083:HRX131084 IBS131083:IBT131084 ILO131083:ILP131084 IVK131083:IVL131084 JFG131083:JFH131084 JPC131083:JPD131084 JYY131083:JYZ131084 KIU131083:KIV131084 KSQ131083:KSR131084 LCM131083:LCN131084 LMI131083:LMJ131084 LWE131083:LWF131084 MGA131083:MGB131084 MPW131083:MPX131084 MZS131083:MZT131084 NJO131083:NJP131084 NTK131083:NTL131084 ODG131083:ODH131084 ONC131083:OND131084 OWY131083:OWZ131084 PGU131083:PGV131084 PQQ131083:PQR131084 QAM131083:QAN131084 QKI131083:QKJ131084 QUE131083:QUF131084 REA131083:REB131084 RNW131083:RNX131084 RXS131083:RXT131084 SHO131083:SHP131084 SRK131083:SRL131084 TBG131083:TBH131084 TLC131083:TLD131084 TUY131083:TUZ131084 UEU131083:UEV131084 UOQ131083:UOR131084 UYM131083:UYN131084 VII131083:VIJ131084 VSE131083:VSF131084 WCA131083:WCB131084 WLW131083:WLX131084 WVS131083:WVT131084 K196619:L196620 JG196619:JH196620 TC196619:TD196620 ACY196619:ACZ196620 AMU196619:AMV196620 AWQ196619:AWR196620 BGM196619:BGN196620 BQI196619:BQJ196620 CAE196619:CAF196620 CKA196619:CKB196620 CTW196619:CTX196620 DDS196619:DDT196620 DNO196619:DNP196620 DXK196619:DXL196620 EHG196619:EHH196620 ERC196619:ERD196620 FAY196619:FAZ196620 FKU196619:FKV196620 FUQ196619:FUR196620 GEM196619:GEN196620 GOI196619:GOJ196620 GYE196619:GYF196620 HIA196619:HIB196620 HRW196619:HRX196620 IBS196619:IBT196620 ILO196619:ILP196620 IVK196619:IVL196620 JFG196619:JFH196620 JPC196619:JPD196620 JYY196619:JYZ196620 KIU196619:KIV196620 KSQ196619:KSR196620 LCM196619:LCN196620 LMI196619:LMJ196620 LWE196619:LWF196620 MGA196619:MGB196620 MPW196619:MPX196620 MZS196619:MZT196620 NJO196619:NJP196620 NTK196619:NTL196620 ODG196619:ODH196620 ONC196619:OND196620 OWY196619:OWZ196620 PGU196619:PGV196620 PQQ196619:PQR196620 QAM196619:QAN196620 QKI196619:QKJ196620 QUE196619:QUF196620 REA196619:REB196620 RNW196619:RNX196620 RXS196619:RXT196620 SHO196619:SHP196620 SRK196619:SRL196620 TBG196619:TBH196620 TLC196619:TLD196620 TUY196619:TUZ196620 UEU196619:UEV196620 UOQ196619:UOR196620 UYM196619:UYN196620 VII196619:VIJ196620 VSE196619:VSF196620 WCA196619:WCB196620 WLW196619:WLX196620 WVS196619:WVT196620 K262155:L262156 JG262155:JH262156 TC262155:TD262156 ACY262155:ACZ262156 AMU262155:AMV262156 AWQ262155:AWR262156 BGM262155:BGN262156 BQI262155:BQJ262156 CAE262155:CAF262156 CKA262155:CKB262156 CTW262155:CTX262156 DDS262155:DDT262156 DNO262155:DNP262156 DXK262155:DXL262156 EHG262155:EHH262156 ERC262155:ERD262156 FAY262155:FAZ262156 FKU262155:FKV262156 FUQ262155:FUR262156 GEM262155:GEN262156 GOI262155:GOJ262156 GYE262155:GYF262156 HIA262155:HIB262156 HRW262155:HRX262156 IBS262155:IBT262156 ILO262155:ILP262156 IVK262155:IVL262156 JFG262155:JFH262156 JPC262155:JPD262156 JYY262155:JYZ262156 KIU262155:KIV262156 KSQ262155:KSR262156 LCM262155:LCN262156 LMI262155:LMJ262156 LWE262155:LWF262156 MGA262155:MGB262156 MPW262155:MPX262156 MZS262155:MZT262156 NJO262155:NJP262156 NTK262155:NTL262156 ODG262155:ODH262156 ONC262155:OND262156 OWY262155:OWZ262156 PGU262155:PGV262156 PQQ262155:PQR262156 QAM262155:QAN262156 QKI262155:QKJ262156 QUE262155:QUF262156 REA262155:REB262156 RNW262155:RNX262156 RXS262155:RXT262156 SHO262155:SHP262156 SRK262155:SRL262156 TBG262155:TBH262156 TLC262155:TLD262156 TUY262155:TUZ262156 UEU262155:UEV262156 UOQ262155:UOR262156 UYM262155:UYN262156 VII262155:VIJ262156 VSE262155:VSF262156 WCA262155:WCB262156 WLW262155:WLX262156 WVS262155:WVT262156 K327691:L327692 JG327691:JH327692 TC327691:TD327692 ACY327691:ACZ327692 AMU327691:AMV327692 AWQ327691:AWR327692 BGM327691:BGN327692 BQI327691:BQJ327692 CAE327691:CAF327692 CKA327691:CKB327692 CTW327691:CTX327692 DDS327691:DDT327692 DNO327691:DNP327692 DXK327691:DXL327692 EHG327691:EHH327692 ERC327691:ERD327692 FAY327691:FAZ327692 FKU327691:FKV327692 FUQ327691:FUR327692 GEM327691:GEN327692 GOI327691:GOJ327692 GYE327691:GYF327692 HIA327691:HIB327692 HRW327691:HRX327692 IBS327691:IBT327692 ILO327691:ILP327692 IVK327691:IVL327692 JFG327691:JFH327692 JPC327691:JPD327692 JYY327691:JYZ327692 KIU327691:KIV327692 KSQ327691:KSR327692 LCM327691:LCN327692 LMI327691:LMJ327692 LWE327691:LWF327692 MGA327691:MGB327692 MPW327691:MPX327692 MZS327691:MZT327692 NJO327691:NJP327692 NTK327691:NTL327692 ODG327691:ODH327692 ONC327691:OND327692 OWY327691:OWZ327692 PGU327691:PGV327692 PQQ327691:PQR327692 QAM327691:QAN327692 QKI327691:QKJ327692 QUE327691:QUF327692 REA327691:REB327692 RNW327691:RNX327692 RXS327691:RXT327692 SHO327691:SHP327692 SRK327691:SRL327692 TBG327691:TBH327692 TLC327691:TLD327692 TUY327691:TUZ327692 UEU327691:UEV327692 UOQ327691:UOR327692 UYM327691:UYN327692 VII327691:VIJ327692 VSE327691:VSF327692 WCA327691:WCB327692 WLW327691:WLX327692 WVS327691:WVT327692 K393227:L393228 JG393227:JH393228 TC393227:TD393228 ACY393227:ACZ393228 AMU393227:AMV393228 AWQ393227:AWR393228 BGM393227:BGN393228 BQI393227:BQJ393228 CAE393227:CAF393228 CKA393227:CKB393228 CTW393227:CTX393228 DDS393227:DDT393228 DNO393227:DNP393228 DXK393227:DXL393228 EHG393227:EHH393228 ERC393227:ERD393228 FAY393227:FAZ393228 FKU393227:FKV393228 FUQ393227:FUR393228 GEM393227:GEN393228 GOI393227:GOJ393228 GYE393227:GYF393228 HIA393227:HIB393228 HRW393227:HRX393228 IBS393227:IBT393228 ILO393227:ILP393228 IVK393227:IVL393228 JFG393227:JFH393228 JPC393227:JPD393228 JYY393227:JYZ393228 KIU393227:KIV393228 KSQ393227:KSR393228 LCM393227:LCN393228 LMI393227:LMJ393228 LWE393227:LWF393228 MGA393227:MGB393228 MPW393227:MPX393228 MZS393227:MZT393228 NJO393227:NJP393228 NTK393227:NTL393228 ODG393227:ODH393228 ONC393227:OND393228 OWY393227:OWZ393228 PGU393227:PGV393228 PQQ393227:PQR393228 QAM393227:QAN393228 QKI393227:QKJ393228 QUE393227:QUF393228 REA393227:REB393228 RNW393227:RNX393228 RXS393227:RXT393228 SHO393227:SHP393228 SRK393227:SRL393228 TBG393227:TBH393228 TLC393227:TLD393228 TUY393227:TUZ393228 UEU393227:UEV393228 UOQ393227:UOR393228 UYM393227:UYN393228 VII393227:VIJ393228 VSE393227:VSF393228 WCA393227:WCB393228 WLW393227:WLX393228 WVS393227:WVT393228 K458763:L458764 JG458763:JH458764 TC458763:TD458764 ACY458763:ACZ458764 AMU458763:AMV458764 AWQ458763:AWR458764 BGM458763:BGN458764 BQI458763:BQJ458764 CAE458763:CAF458764 CKA458763:CKB458764 CTW458763:CTX458764 DDS458763:DDT458764 DNO458763:DNP458764 DXK458763:DXL458764 EHG458763:EHH458764 ERC458763:ERD458764 FAY458763:FAZ458764 FKU458763:FKV458764 FUQ458763:FUR458764 GEM458763:GEN458764 GOI458763:GOJ458764 GYE458763:GYF458764 HIA458763:HIB458764 HRW458763:HRX458764 IBS458763:IBT458764 ILO458763:ILP458764 IVK458763:IVL458764 JFG458763:JFH458764 JPC458763:JPD458764 JYY458763:JYZ458764 KIU458763:KIV458764 KSQ458763:KSR458764 LCM458763:LCN458764 LMI458763:LMJ458764 LWE458763:LWF458764 MGA458763:MGB458764 MPW458763:MPX458764 MZS458763:MZT458764 NJO458763:NJP458764 NTK458763:NTL458764 ODG458763:ODH458764 ONC458763:OND458764 OWY458763:OWZ458764 PGU458763:PGV458764 PQQ458763:PQR458764 QAM458763:QAN458764 QKI458763:QKJ458764 QUE458763:QUF458764 REA458763:REB458764 RNW458763:RNX458764 RXS458763:RXT458764 SHO458763:SHP458764 SRK458763:SRL458764 TBG458763:TBH458764 TLC458763:TLD458764 TUY458763:TUZ458764 UEU458763:UEV458764 UOQ458763:UOR458764 UYM458763:UYN458764 VII458763:VIJ458764 VSE458763:VSF458764 WCA458763:WCB458764 WLW458763:WLX458764 WVS458763:WVT458764 K524299:L524300 JG524299:JH524300 TC524299:TD524300 ACY524299:ACZ524300 AMU524299:AMV524300 AWQ524299:AWR524300 BGM524299:BGN524300 BQI524299:BQJ524300 CAE524299:CAF524300 CKA524299:CKB524300 CTW524299:CTX524300 DDS524299:DDT524300 DNO524299:DNP524300 DXK524299:DXL524300 EHG524299:EHH524300 ERC524299:ERD524300 FAY524299:FAZ524300 FKU524299:FKV524300 FUQ524299:FUR524300 GEM524299:GEN524300 GOI524299:GOJ524300 GYE524299:GYF524300 HIA524299:HIB524300 HRW524299:HRX524300 IBS524299:IBT524300 ILO524299:ILP524300 IVK524299:IVL524300 JFG524299:JFH524300 JPC524299:JPD524300 JYY524299:JYZ524300 KIU524299:KIV524300 KSQ524299:KSR524300 LCM524299:LCN524300 LMI524299:LMJ524300 LWE524299:LWF524300 MGA524299:MGB524300 MPW524299:MPX524300 MZS524299:MZT524300 NJO524299:NJP524300 NTK524299:NTL524300 ODG524299:ODH524300 ONC524299:OND524300 OWY524299:OWZ524300 PGU524299:PGV524300 PQQ524299:PQR524300 QAM524299:QAN524300 QKI524299:QKJ524300 QUE524299:QUF524300 REA524299:REB524300 RNW524299:RNX524300 RXS524299:RXT524300 SHO524299:SHP524300 SRK524299:SRL524300 TBG524299:TBH524300 TLC524299:TLD524300 TUY524299:TUZ524300 UEU524299:UEV524300 UOQ524299:UOR524300 UYM524299:UYN524300 VII524299:VIJ524300 VSE524299:VSF524300 WCA524299:WCB524300 WLW524299:WLX524300 WVS524299:WVT524300 K589835:L589836 JG589835:JH589836 TC589835:TD589836 ACY589835:ACZ589836 AMU589835:AMV589836 AWQ589835:AWR589836 BGM589835:BGN589836 BQI589835:BQJ589836 CAE589835:CAF589836 CKA589835:CKB589836 CTW589835:CTX589836 DDS589835:DDT589836 DNO589835:DNP589836 DXK589835:DXL589836 EHG589835:EHH589836 ERC589835:ERD589836 FAY589835:FAZ589836 FKU589835:FKV589836 FUQ589835:FUR589836 GEM589835:GEN589836 GOI589835:GOJ589836 GYE589835:GYF589836 HIA589835:HIB589836 HRW589835:HRX589836 IBS589835:IBT589836 ILO589835:ILP589836 IVK589835:IVL589836 JFG589835:JFH589836 JPC589835:JPD589836 JYY589835:JYZ589836 KIU589835:KIV589836 KSQ589835:KSR589836 LCM589835:LCN589836 LMI589835:LMJ589836 LWE589835:LWF589836 MGA589835:MGB589836 MPW589835:MPX589836 MZS589835:MZT589836 NJO589835:NJP589836 NTK589835:NTL589836 ODG589835:ODH589836 ONC589835:OND589836 OWY589835:OWZ589836 PGU589835:PGV589836 PQQ589835:PQR589836 QAM589835:QAN589836 QKI589835:QKJ589836 QUE589835:QUF589836 REA589835:REB589836 RNW589835:RNX589836 RXS589835:RXT589836 SHO589835:SHP589836 SRK589835:SRL589836 TBG589835:TBH589836 TLC589835:TLD589836 TUY589835:TUZ589836 UEU589835:UEV589836 UOQ589835:UOR589836 UYM589835:UYN589836 VII589835:VIJ589836 VSE589835:VSF589836 WCA589835:WCB589836 WLW589835:WLX589836 WVS589835:WVT589836 K655371:L655372 JG655371:JH655372 TC655371:TD655372 ACY655371:ACZ655372 AMU655371:AMV655372 AWQ655371:AWR655372 BGM655371:BGN655372 BQI655371:BQJ655372 CAE655371:CAF655372 CKA655371:CKB655372 CTW655371:CTX655372 DDS655371:DDT655372 DNO655371:DNP655372 DXK655371:DXL655372 EHG655371:EHH655372 ERC655371:ERD655372 FAY655371:FAZ655372 FKU655371:FKV655372 FUQ655371:FUR655372 GEM655371:GEN655372 GOI655371:GOJ655372 GYE655371:GYF655372 HIA655371:HIB655372 HRW655371:HRX655372 IBS655371:IBT655372 ILO655371:ILP655372 IVK655371:IVL655372 JFG655371:JFH655372 JPC655371:JPD655372 JYY655371:JYZ655372 KIU655371:KIV655372 KSQ655371:KSR655372 LCM655371:LCN655372 LMI655371:LMJ655372 LWE655371:LWF655372 MGA655371:MGB655372 MPW655371:MPX655372 MZS655371:MZT655372 NJO655371:NJP655372 NTK655371:NTL655372 ODG655371:ODH655372 ONC655371:OND655372 OWY655371:OWZ655372 PGU655371:PGV655372 PQQ655371:PQR655372 QAM655371:QAN655372 QKI655371:QKJ655372 QUE655371:QUF655372 REA655371:REB655372 RNW655371:RNX655372 RXS655371:RXT655372 SHO655371:SHP655372 SRK655371:SRL655372 TBG655371:TBH655372 TLC655371:TLD655372 TUY655371:TUZ655372 UEU655371:UEV655372 UOQ655371:UOR655372 UYM655371:UYN655372 VII655371:VIJ655372 VSE655371:VSF655372 WCA655371:WCB655372 WLW655371:WLX655372 WVS655371:WVT655372 K720907:L720908 JG720907:JH720908 TC720907:TD720908 ACY720907:ACZ720908 AMU720907:AMV720908 AWQ720907:AWR720908 BGM720907:BGN720908 BQI720907:BQJ720908 CAE720907:CAF720908 CKA720907:CKB720908 CTW720907:CTX720908 DDS720907:DDT720908 DNO720907:DNP720908 DXK720907:DXL720908 EHG720907:EHH720908 ERC720907:ERD720908 FAY720907:FAZ720908 FKU720907:FKV720908 FUQ720907:FUR720908 GEM720907:GEN720908 GOI720907:GOJ720908 GYE720907:GYF720908 HIA720907:HIB720908 HRW720907:HRX720908 IBS720907:IBT720908 ILO720907:ILP720908 IVK720907:IVL720908 JFG720907:JFH720908 JPC720907:JPD720908 JYY720907:JYZ720908 KIU720907:KIV720908 KSQ720907:KSR720908 LCM720907:LCN720908 LMI720907:LMJ720908 LWE720907:LWF720908 MGA720907:MGB720908 MPW720907:MPX720908 MZS720907:MZT720908 NJO720907:NJP720908 NTK720907:NTL720908 ODG720907:ODH720908 ONC720907:OND720908 OWY720907:OWZ720908 PGU720907:PGV720908 PQQ720907:PQR720908 QAM720907:QAN720908 QKI720907:QKJ720908 QUE720907:QUF720908 REA720907:REB720908 RNW720907:RNX720908 RXS720907:RXT720908 SHO720907:SHP720908 SRK720907:SRL720908 TBG720907:TBH720908 TLC720907:TLD720908 TUY720907:TUZ720908 UEU720907:UEV720908 UOQ720907:UOR720908 UYM720907:UYN720908 VII720907:VIJ720908 VSE720907:VSF720908 WCA720907:WCB720908 WLW720907:WLX720908 WVS720907:WVT720908 K786443:L786444 JG786443:JH786444 TC786443:TD786444 ACY786443:ACZ786444 AMU786443:AMV786444 AWQ786443:AWR786444 BGM786443:BGN786444 BQI786443:BQJ786444 CAE786443:CAF786444 CKA786443:CKB786444 CTW786443:CTX786444 DDS786443:DDT786444 DNO786443:DNP786444 DXK786443:DXL786444 EHG786443:EHH786444 ERC786443:ERD786444 FAY786443:FAZ786444 FKU786443:FKV786444 FUQ786443:FUR786444 GEM786443:GEN786444 GOI786443:GOJ786444 GYE786443:GYF786444 HIA786443:HIB786444 HRW786443:HRX786444 IBS786443:IBT786444 ILO786443:ILP786444 IVK786443:IVL786444 JFG786443:JFH786444 JPC786443:JPD786444 JYY786443:JYZ786444 KIU786443:KIV786444 KSQ786443:KSR786444 LCM786443:LCN786444 LMI786443:LMJ786444 LWE786443:LWF786444 MGA786443:MGB786444 MPW786443:MPX786444 MZS786443:MZT786444 NJO786443:NJP786444 NTK786443:NTL786444 ODG786443:ODH786444 ONC786443:OND786444 OWY786443:OWZ786444 PGU786443:PGV786444 PQQ786443:PQR786444 QAM786443:QAN786444 QKI786443:QKJ786444 QUE786443:QUF786444 REA786443:REB786444 RNW786443:RNX786444 RXS786443:RXT786444 SHO786443:SHP786444 SRK786443:SRL786444 TBG786443:TBH786444 TLC786443:TLD786444 TUY786443:TUZ786444 UEU786443:UEV786444 UOQ786443:UOR786444 UYM786443:UYN786444 VII786443:VIJ786444 VSE786443:VSF786444 WCA786443:WCB786444 WLW786443:WLX786444 WVS786443:WVT786444 K851979:L851980 JG851979:JH851980 TC851979:TD851980 ACY851979:ACZ851980 AMU851979:AMV851980 AWQ851979:AWR851980 BGM851979:BGN851980 BQI851979:BQJ851980 CAE851979:CAF851980 CKA851979:CKB851980 CTW851979:CTX851980 DDS851979:DDT851980 DNO851979:DNP851980 DXK851979:DXL851980 EHG851979:EHH851980 ERC851979:ERD851980 FAY851979:FAZ851980 FKU851979:FKV851980 FUQ851979:FUR851980 GEM851979:GEN851980 GOI851979:GOJ851980 GYE851979:GYF851980 HIA851979:HIB851980 HRW851979:HRX851980 IBS851979:IBT851980 ILO851979:ILP851980 IVK851979:IVL851980 JFG851979:JFH851980 JPC851979:JPD851980 JYY851979:JYZ851980 KIU851979:KIV851980 KSQ851979:KSR851980 LCM851979:LCN851980 LMI851979:LMJ851980 LWE851979:LWF851980 MGA851979:MGB851980 MPW851979:MPX851980 MZS851979:MZT851980 NJO851979:NJP851980 NTK851979:NTL851980 ODG851979:ODH851980 ONC851979:OND851980 OWY851979:OWZ851980 PGU851979:PGV851980 PQQ851979:PQR851980 QAM851979:QAN851980 QKI851979:QKJ851980 QUE851979:QUF851980 REA851979:REB851980 RNW851979:RNX851980 RXS851979:RXT851980 SHO851979:SHP851980 SRK851979:SRL851980 TBG851979:TBH851980 TLC851979:TLD851980 TUY851979:TUZ851980 UEU851979:UEV851980 UOQ851979:UOR851980 UYM851979:UYN851980 VII851979:VIJ851980 VSE851979:VSF851980 WCA851979:WCB851980 WLW851979:WLX851980 WVS851979:WVT851980 K917515:L917516 JG917515:JH917516 TC917515:TD917516 ACY917515:ACZ917516 AMU917515:AMV917516 AWQ917515:AWR917516 BGM917515:BGN917516 BQI917515:BQJ917516 CAE917515:CAF917516 CKA917515:CKB917516 CTW917515:CTX917516 DDS917515:DDT917516 DNO917515:DNP917516 DXK917515:DXL917516 EHG917515:EHH917516 ERC917515:ERD917516 FAY917515:FAZ917516 FKU917515:FKV917516 FUQ917515:FUR917516 GEM917515:GEN917516 GOI917515:GOJ917516 GYE917515:GYF917516 HIA917515:HIB917516 HRW917515:HRX917516 IBS917515:IBT917516 ILO917515:ILP917516 IVK917515:IVL917516 JFG917515:JFH917516 JPC917515:JPD917516 JYY917515:JYZ917516 KIU917515:KIV917516 KSQ917515:KSR917516 LCM917515:LCN917516 LMI917515:LMJ917516 LWE917515:LWF917516 MGA917515:MGB917516 MPW917515:MPX917516 MZS917515:MZT917516 NJO917515:NJP917516 NTK917515:NTL917516 ODG917515:ODH917516 ONC917515:OND917516 OWY917515:OWZ917516 PGU917515:PGV917516 PQQ917515:PQR917516 QAM917515:QAN917516 QKI917515:QKJ917516 QUE917515:QUF917516 REA917515:REB917516 RNW917515:RNX917516 RXS917515:RXT917516 SHO917515:SHP917516 SRK917515:SRL917516 TBG917515:TBH917516 TLC917515:TLD917516 TUY917515:TUZ917516 UEU917515:UEV917516 UOQ917515:UOR917516 UYM917515:UYN917516 VII917515:VIJ917516 VSE917515:VSF917516 WCA917515:WCB917516 WLW917515:WLX917516 WVS917515:WVT917516 K983051:L983052 JG983051:JH983052 TC983051:TD983052 ACY983051:ACZ983052 AMU983051:AMV983052 AWQ983051:AWR983052 BGM983051:BGN983052 BQI983051:BQJ983052 CAE983051:CAF983052 CKA983051:CKB983052 CTW983051:CTX983052 DDS983051:DDT983052 DNO983051:DNP983052 DXK983051:DXL983052 EHG983051:EHH983052 ERC983051:ERD983052 FAY983051:FAZ983052 FKU983051:FKV983052 FUQ983051:FUR983052 GEM983051:GEN983052 GOI983051:GOJ983052 GYE983051:GYF983052 HIA983051:HIB983052 HRW983051:HRX983052 IBS983051:IBT983052 ILO983051:ILP983052 IVK983051:IVL983052 JFG983051:JFH983052 JPC983051:JPD983052 JYY983051:JYZ983052 KIU983051:KIV983052 KSQ983051:KSR983052 LCM983051:LCN983052 LMI983051:LMJ983052 LWE983051:LWF983052 MGA983051:MGB983052 MPW983051:MPX983052 MZS983051:MZT983052 NJO983051:NJP983052 NTK983051:NTL983052 ODG983051:ODH983052 ONC983051:OND983052 OWY983051:OWZ983052 PGU983051:PGV983052 PQQ983051:PQR983052 QAM983051:QAN983052 QKI983051:QKJ983052 QUE983051:QUF983052 REA983051:REB983052 RNW983051:RNX983052 RXS983051:RXT983052 SHO983051:SHP983052 SRK983051:SRL983052 TBG983051:TBH983052 TLC983051:TLD983052 TUY983051:TUZ983052 UEU983051:UEV983052 UOQ983051:UOR983052 UYM983051:UYN983052 VII983051:VIJ983052 VSE983051:VSF983052 WCA983051:WCB983052 WLW983051:WLX983052 WVS983051:WVT983052 K13:K26 JG13:JG26 TC13:TC26 ACY13:ACY26 AMU13:AMU26 AWQ13:AWQ26 BGM13:BGM26 BQI13:BQI26 CAE13:CAE26 CKA13:CKA26 CTW13:CTW26 DDS13:DDS26 DNO13:DNO26 DXK13:DXK26 EHG13:EHG26 ERC13:ERC26 FAY13:FAY26 FKU13:FKU26 FUQ13:FUQ26 GEM13:GEM26 GOI13:GOI26 GYE13:GYE26 HIA13:HIA26 HRW13:HRW26 IBS13:IBS26 ILO13:ILO26 IVK13:IVK26 JFG13:JFG26 JPC13:JPC26 JYY13:JYY26 KIU13:KIU26 KSQ13:KSQ26 LCM13:LCM26 LMI13:LMI26 LWE13:LWE26 MGA13:MGA26 MPW13:MPW26 MZS13:MZS26 NJO13:NJO26 NTK13:NTK26 ODG13:ODG26 ONC13:ONC26 OWY13:OWY26 PGU13:PGU26 PQQ13:PQQ26 QAM13:QAM26 QKI13:QKI26 QUE13:QUE26 REA13:REA26 RNW13:RNW26 RXS13:RXS26 SHO13:SHO26 SRK13:SRK26 TBG13:TBG26 TLC13:TLC26 TUY13:TUY26 UEU13:UEU26 UOQ13:UOQ26 UYM13:UYM26 VII13:VII26 VSE13:VSE26 WCA13:WCA26 WLW13:WLW26 WVS13:WVS26 K65549:K65562 JG65549:JG65562 TC65549:TC65562 ACY65549:ACY65562 AMU65549:AMU65562 AWQ65549:AWQ65562 BGM65549:BGM65562 BQI65549:BQI65562 CAE65549:CAE65562 CKA65549:CKA65562 CTW65549:CTW65562 DDS65549:DDS65562 DNO65549:DNO65562 DXK65549:DXK65562 EHG65549:EHG65562 ERC65549:ERC65562 FAY65549:FAY65562 FKU65549:FKU65562 FUQ65549:FUQ65562 GEM65549:GEM65562 GOI65549:GOI65562 GYE65549:GYE65562 HIA65549:HIA65562 HRW65549:HRW65562 IBS65549:IBS65562 ILO65549:ILO65562 IVK65549:IVK65562 JFG65549:JFG65562 JPC65549:JPC65562 JYY65549:JYY65562 KIU65549:KIU65562 KSQ65549:KSQ65562 LCM65549:LCM65562 LMI65549:LMI65562 LWE65549:LWE65562 MGA65549:MGA65562 MPW65549:MPW65562 MZS65549:MZS65562 NJO65549:NJO65562 NTK65549:NTK65562 ODG65549:ODG65562 ONC65549:ONC65562 OWY65549:OWY65562 PGU65549:PGU65562 PQQ65549:PQQ65562 QAM65549:QAM65562 QKI65549:QKI65562 QUE65549:QUE65562 REA65549:REA65562 RNW65549:RNW65562 RXS65549:RXS65562 SHO65549:SHO65562 SRK65549:SRK65562 TBG65549:TBG65562 TLC65549:TLC65562 TUY65549:TUY65562 UEU65549:UEU65562 UOQ65549:UOQ65562 UYM65549:UYM65562 VII65549:VII65562 VSE65549:VSE65562 WCA65549:WCA65562 WLW65549:WLW65562 WVS65549:WVS65562 K131085:K131098 JG131085:JG131098 TC131085:TC131098 ACY131085:ACY131098 AMU131085:AMU131098 AWQ131085:AWQ131098 BGM131085:BGM131098 BQI131085:BQI131098 CAE131085:CAE131098 CKA131085:CKA131098 CTW131085:CTW131098 DDS131085:DDS131098 DNO131085:DNO131098 DXK131085:DXK131098 EHG131085:EHG131098 ERC131085:ERC131098 FAY131085:FAY131098 FKU131085:FKU131098 FUQ131085:FUQ131098 GEM131085:GEM131098 GOI131085:GOI131098 GYE131085:GYE131098 HIA131085:HIA131098 HRW131085:HRW131098 IBS131085:IBS131098 ILO131085:ILO131098 IVK131085:IVK131098 JFG131085:JFG131098 JPC131085:JPC131098 JYY131085:JYY131098 KIU131085:KIU131098 KSQ131085:KSQ131098 LCM131085:LCM131098 LMI131085:LMI131098 LWE131085:LWE131098 MGA131085:MGA131098 MPW131085:MPW131098 MZS131085:MZS131098 NJO131085:NJO131098 NTK131085:NTK131098 ODG131085:ODG131098 ONC131085:ONC131098 OWY131085:OWY131098 PGU131085:PGU131098 PQQ131085:PQQ131098 QAM131085:QAM131098 QKI131085:QKI131098 QUE131085:QUE131098 REA131085:REA131098 RNW131085:RNW131098 RXS131085:RXS131098 SHO131085:SHO131098 SRK131085:SRK131098 TBG131085:TBG131098 TLC131085:TLC131098 TUY131085:TUY131098 UEU131085:UEU131098 UOQ131085:UOQ131098 UYM131085:UYM131098 VII131085:VII131098 VSE131085:VSE131098 WCA131085:WCA131098 WLW131085:WLW131098 WVS131085:WVS131098 K196621:K196634 JG196621:JG196634 TC196621:TC196634 ACY196621:ACY196634 AMU196621:AMU196634 AWQ196621:AWQ196634 BGM196621:BGM196634 BQI196621:BQI196634 CAE196621:CAE196634 CKA196621:CKA196634 CTW196621:CTW196634 DDS196621:DDS196634 DNO196621:DNO196634 DXK196621:DXK196634 EHG196621:EHG196634 ERC196621:ERC196634 FAY196621:FAY196634 FKU196621:FKU196634 FUQ196621:FUQ196634 GEM196621:GEM196634 GOI196621:GOI196634 GYE196621:GYE196634 HIA196621:HIA196634 HRW196621:HRW196634 IBS196621:IBS196634 ILO196621:ILO196634 IVK196621:IVK196634 JFG196621:JFG196634 JPC196621:JPC196634 JYY196621:JYY196634 KIU196621:KIU196634 KSQ196621:KSQ196634 LCM196621:LCM196634 LMI196621:LMI196634 LWE196621:LWE196634 MGA196621:MGA196634 MPW196621:MPW196634 MZS196621:MZS196634 NJO196621:NJO196634 NTK196621:NTK196634 ODG196621:ODG196634 ONC196621:ONC196634 OWY196621:OWY196634 PGU196621:PGU196634 PQQ196621:PQQ196634 QAM196621:QAM196634 QKI196621:QKI196634 QUE196621:QUE196634 REA196621:REA196634 RNW196621:RNW196634 RXS196621:RXS196634 SHO196621:SHO196634 SRK196621:SRK196634 TBG196621:TBG196634 TLC196621:TLC196634 TUY196621:TUY196634 UEU196621:UEU196634 UOQ196621:UOQ196634 UYM196621:UYM196634 VII196621:VII196634 VSE196621:VSE196634 WCA196621:WCA196634 WLW196621:WLW196634 WVS196621:WVS196634 K262157:K262170 JG262157:JG262170 TC262157:TC262170 ACY262157:ACY262170 AMU262157:AMU262170 AWQ262157:AWQ262170 BGM262157:BGM262170 BQI262157:BQI262170 CAE262157:CAE262170 CKA262157:CKA262170 CTW262157:CTW262170 DDS262157:DDS262170 DNO262157:DNO262170 DXK262157:DXK262170 EHG262157:EHG262170 ERC262157:ERC262170 FAY262157:FAY262170 FKU262157:FKU262170 FUQ262157:FUQ262170 GEM262157:GEM262170 GOI262157:GOI262170 GYE262157:GYE262170 HIA262157:HIA262170 HRW262157:HRW262170 IBS262157:IBS262170 ILO262157:ILO262170 IVK262157:IVK262170 JFG262157:JFG262170 JPC262157:JPC262170 JYY262157:JYY262170 KIU262157:KIU262170 KSQ262157:KSQ262170 LCM262157:LCM262170 LMI262157:LMI262170 LWE262157:LWE262170 MGA262157:MGA262170 MPW262157:MPW262170 MZS262157:MZS262170 NJO262157:NJO262170 NTK262157:NTK262170 ODG262157:ODG262170 ONC262157:ONC262170 OWY262157:OWY262170 PGU262157:PGU262170 PQQ262157:PQQ262170 QAM262157:QAM262170 QKI262157:QKI262170 QUE262157:QUE262170 REA262157:REA262170 RNW262157:RNW262170 RXS262157:RXS262170 SHO262157:SHO262170 SRK262157:SRK262170 TBG262157:TBG262170 TLC262157:TLC262170 TUY262157:TUY262170 UEU262157:UEU262170 UOQ262157:UOQ262170 UYM262157:UYM262170 VII262157:VII262170 VSE262157:VSE262170 WCA262157:WCA262170 WLW262157:WLW262170 WVS262157:WVS262170 K327693:K327706 JG327693:JG327706 TC327693:TC327706 ACY327693:ACY327706 AMU327693:AMU327706 AWQ327693:AWQ327706 BGM327693:BGM327706 BQI327693:BQI327706 CAE327693:CAE327706 CKA327693:CKA327706 CTW327693:CTW327706 DDS327693:DDS327706 DNO327693:DNO327706 DXK327693:DXK327706 EHG327693:EHG327706 ERC327693:ERC327706 FAY327693:FAY327706 FKU327693:FKU327706 FUQ327693:FUQ327706 GEM327693:GEM327706 GOI327693:GOI327706 GYE327693:GYE327706 HIA327693:HIA327706 HRW327693:HRW327706 IBS327693:IBS327706 ILO327693:ILO327706 IVK327693:IVK327706 JFG327693:JFG327706 JPC327693:JPC327706 JYY327693:JYY327706 KIU327693:KIU327706 KSQ327693:KSQ327706 LCM327693:LCM327706 LMI327693:LMI327706 LWE327693:LWE327706 MGA327693:MGA327706 MPW327693:MPW327706 MZS327693:MZS327706 NJO327693:NJO327706 NTK327693:NTK327706 ODG327693:ODG327706 ONC327693:ONC327706 OWY327693:OWY327706 PGU327693:PGU327706 PQQ327693:PQQ327706 QAM327693:QAM327706 QKI327693:QKI327706 QUE327693:QUE327706 REA327693:REA327706 RNW327693:RNW327706 RXS327693:RXS327706 SHO327693:SHO327706 SRK327693:SRK327706 TBG327693:TBG327706 TLC327693:TLC327706 TUY327693:TUY327706 UEU327693:UEU327706 UOQ327693:UOQ327706 UYM327693:UYM327706 VII327693:VII327706 VSE327693:VSE327706 WCA327693:WCA327706 WLW327693:WLW327706 WVS327693:WVS327706 K393229:K393242 JG393229:JG393242 TC393229:TC393242 ACY393229:ACY393242 AMU393229:AMU393242 AWQ393229:AWQ393242 BGM393229:BGM393242 BQI393229:BQI393242 CAE393229:CAE393242 CKA393229:CKA393242 CTW393229:CTW393242 DDS393229:DDS393242 DNO393229:DNO393242 DXK393229:DXK393242 EHG393229:EHG393242 ERC393229:ERC393242 FAY393229:FAY393242 FKU393229:FKU393242 FUQ393229:FUQ393242 GEM393229:GEM393242 GOI393229:GOI393242 GYE393229:GYE393242 HIA393229:HIA393242 HRW393229:HRW393242 IBS393229:IBS393242 ILO393229:ILO393242 IVK393229:IVK393242 JFG393229:JFG393242 JPC393229:JPC393242 JYY393229:JYY393242 KIU393229:KIU393242 KSQ393229:KSQ393242 LCM393229:LCM393242 LMI393229:LMI393242 LWE393229:LWE393242 MGA393229:MGA393242 MPW393229:MPW393242 MZS393229:MZS393242 NJO393229:NJO393242 NTK393229:NTK393242 ODG393229:ODG393242 ONC393229:ONC393242 OWY393229:OWY393242 PGU393229:PGU393242 PQQ393229:PQQ393242 QAM393229:QAM393242 QKI393229:QKI393242 QUE393229:QUE393242 REA393229:REA393242 RNW393229:RNW393242 RXS393229:RXS393242 SHO393229:SHO393242 SRK393229:SRK393242 TBG393229:TBG393242 TLC393229:TLC393242 TUY393229:TUY393242 UEU393229:UEU393242 UOQ393229:UOQ393242 UYM393229:UYM393242 VII393229:VII393242 VSE393229:VSE393242 WCA393229:WCA393242 WLW393229:WLW393242 WVS393229:WVS393242 K458765:K458778 JG458765:JG458778 TC458765:TC458778 ACY458765:ACY458778 AMU458765:AMU458778 AWQ458765:AWQ458778 BGM458765:BGM458778 BQI458765:BQI458778 CAE458765:CAE458778 CKA458765:CKA458778 CTW458765:CTW458778 DDS458765:DDS458778 DNO458765:DNO458778 DXK458765:DXK458778 EHG458765:EHG458778 ERC458765:ERC458778 FAY458765:FAY458778 FKU458765:FKU458778 FUQ458765:FUQ458778 GEM458765:GEM458778 GOI458765:GOI458778 GYE458765:GYE458778 HIA458765:HIA458778 HRW458765:HRW458778 IBS458765:IBS458778 ILO458765:ILO458778 IVK458765:IVK458778 JFG458765:JFG458778 JPC458765:JPC458778 JYY458765:JYY458778 KIU458765:KIU458778 KSQ458765:KSQ458778 LCM458765:LCM458778 LMI458765:LMI458778 LWE458765:LWE458778 MGA458765:MGA458778 MPW458765:MPW458778 MZS458765:MZS458778 NJO458765:NJO458778 NTK458765:NTK458778 ODG458765:ODG458778 ONC458765:ONC458778 OWY458765:OWY458778 PGU458765:PGU458778 PQQ458765:PQQ458778 QAM458765:QAM458778 QKI458765:QKI458778 QUE458765:QUE458778 REA458765:REA458778 RNW458765:RNW458778 RXS458765:RXS458778 SHO458765:SHO458778 SRK458765:SRK458778 TBG458765:TBG458778 TLC458765:TLC458778 TUY458765:TUY458778 UEU458765:UEU458778 UOQ458765:UOQ458778 UYM458765:UYM458778 VII458765:VII458778 VSE458765:VSE458778 WCA458765:WCA458778 WLW458765:WLW458778 WVS458765:WVS458778 K524301:K524314 JG524301:JG524314 TC524301:TC524314 ACY524301:ACY524314 AMU524301:AMU524314 AWQ524301:AWQ524314 BGM524301:BGM524314 BQI524301:BQI524314 CAE524301:CAE524314 CKA524301:CKA524314 CTW524301:CTW524314 DDS524301:DDS524314 DNO524301:DNO524314 DXK524301:DXK524314 EHG524301:EHG524314 ERC524301:ERC524314 FAY524301:FAY524314 FKU524301:FKU524314 FUQ524301:FUQ524314 GEM524301:GEM524314 GOI524301:GOI524314 GYE524301:GYE524314 HIA524301:HIA524314 HRW524301:HRW524314 IBS524301:IBS524314 ILO524301:ILO524314 IVK524301:IVK524314 JFG524301:JFG524314 JPC524301:JPC524314 JYY524301:JYY524314 KIU524301:KIU524314 KSQ524301:KSQ524314 LCM524301:LCM524314 LMI524301:LMI524314 LWE524301:LWE524314 MGA524301:MGA524314 MPW524301:MPW524314 MZS524301:MZS524314 NJO524301:NJO524314 NTK524301:NTK524314 ODG524301:ODG524314 ONC524301:ONC524314 OWY524301:OWY524314 PGU524301:PGU524314 PQQ524301:PQQ524314 QAM524301:QAM524314 QKI524301:QKI524314 QUE524301:QUE524314 REA524301:REA524314 RNW524301:RNW524314 RXS524301:RXS524314 SHO524301:SHO524314 SRK524301:SRK524314 TBG524301:TBG524314 TLC524301:TLC524314 TUY524301:TUY524314 UEU524301:UEU524314 UOQ524301:UOQ524314 UYM524301:UYM524314 VII524301:VII524314 VSE524301:VSE524314 WCA524301:WCA524314 WLW524301:WLW524314 WVS524301:WVS524314 K589837:K589850 JG589837:JG589850 TC589837:TC589850 ACY589837:ACY589850 AMU589837:AMU589850 AWQ589837:AWQ589850 BGM589837:BGM589850 BQI589837:BQI589850 CAE589837:CAE589850 CKA589837:CKA589850 CTW589837:CTW589850 DDS589837:DDS589850 DNO589837:DNO589850 DXK589837:DXK589850 EHG589837:EHG589850 ERC589837:ERC589850 FAY589837:FAY589850 FKU589837:FKU589850 FUQ589837:FUQ589850 GEM589837:GEM589850 GOI589837:GOI589850 GYE589837:GYE589850 HIA589837:HIA589850 HRW589837:HRW589850 IBS589837:IBS589850 ILO589837:ILO589850 IVK589837:IVK589850 JFG589837:JFG589850 JPC589837:JPC589850 JYY589837:JYY589850 KIU589837:KIU589850 KSQ589837:KSQ589850 LCM589837:LCM589850 LMI589837:LMI589850 LWE589837:LWE589850 MGA589837:MGA589850 MPW589837:MPW589850 MZS589837:MZS589850 NJO589837:NJO589850 NTK589837:NTK589850 ODG589837:ODG589850 ONC589837:ONC589850 OWY589837:OWY589850 PGU589837:PGU589850 PQQ589837:PQQ589850 QAM589837:QAM589850 QKI589837:QKI589850 QUE589837:QUE589850 REA589837:REA589850 RNW589837:RNW589850 RXS589837:RXS589850 SHO589837:SHO589850 SRK589837:SRK589850 TBG589837:TBG589850 TLC589837:TLC589850 TUY589837:TUY589850 UEU589837:UEU589850 UOQ589837:UOQ589850 UYM589837:UYM589850 VII589837:VII589850 VSE589837:VSE589850 WCA589837:WCA589850 WLW589837:WLW589850 WVS589837:WVS589850 K655373:K655386 JG655373:JG655386 TC655373:TC655386 ACY655373:ACY655386 AMU655373:AMU655386 AWQ655373:AWQ655386 BGM655373:BGM655386 BQI655373:BQI655386 CAE655373:CAE655386 CKA655373:CKA655386 CTW655373:CTW655386 DDS655373:DDS655386 DNO655373:DNO655386 DXK655373:DXK655386 EHG655373:EHG655386 ERC655373:ERC655386 FAY655373:FAY655386 FKU655373:FKU655386 FUQ655373:FUQ655386 GEM655373:GEM655386 GOI655373:GOI655386 GYE655373:GYE655386 HIA655373:HIA655386 HRW655373:HRW655386 IBS655373:IBS655386 ILO655373:ILO655386 IVK655373:IVK655386 JFG655373:JFG655386 JPC655373:JPC655386 JYY655373:JYY655386 KIU655373:KIU655386 KSQ655373:KSQ655386 LCM655373:LCM655386 LMI655373:LMI655386 LWE655373:LWE655386 MGA655373:MGA655386 MPW655373:MPW655386 MZS655373:MZS655386 NJO655373:NJO655386 NTK655373:NTK655386 ODG655373:ODG655386 ONC655373:ONC655386 OWY655373:OWY655386 PGU655373:PGU655386 PQQ655373:PQQ655386 QAM655373:QAM655386 QKI655373:QKI655386 QUE655373:QUE655386 REA655373:REA655386 RNW655373:RNW655386 RXS655373:RXS655386 SHO655373:SHO655386 SRK655373:SRK655386 TBG655373:TBG655386 TLC655373:TLC655386 TUY655373:TUY655386 UEU655373:UEU655386 UOQ655373:UOQ655386 UYM655373:UYM655386 VII655373:VII655386 VSE655373:VSE655386 WCA655373:WCA655386 WLW655373:WLW655386 WVS655373:WVS655386 K720909:K720922 JG720909:JG720922 TC720909:TC720922 ACY720909:ACY720922 AMU720909:AMU720922 AWQ720909:AWQ720922 BGM720909:BGM720922 BQI720909:BQI720922 CAE720909:CAE720922 CKA720909:CKA720922 CTW720909:CTW720922 DDS720909:DDS720922 DNO720909:DNO720922 DXK720909:DXK720922 EHG720909:EHG720922 ERC720909:ERC720922 FAY720909:FAY720922 FKU720909:FKU720922 FUQ720909:FUQ720922 GEM720909:GEM720922 GOI720909:GOI720922 GYE720909:GYE720922 HIA720909:HIA720922 HRW720909:HRW720922 IBS720909:IBS720922 ILO720909:ILO720922 IVK720909:IVK720922 JFG720909:JFG720922 JPC720909:JPC720922 JYY720909:JYY720922 KIU720909:KIU720922 KSQ720909:KSQ720922 LCM720909:LCM720922 LMI720909:LMI720922 LWE720909:LWE720922 MGA720909:MGA720922 MPW720909:MPW720922 MZS720909:MZS720922 NJO720909:NJO720922 NTK720909:NTK720922 ODG720909:ODG720922 ONC720909:ONC720922 OWY720909:OWY720922 PGU720909:PGU720922 PQQ720909:PQQ720922 QAM720909:QAM720922 QKI720909:QKI720922 QUE720909:QUE720922 REA720909:REA720922 RNW720909:RNW720922 RXS720909:RXS720922 SHO720909:SHO720922 SRK720909:SRK720922 TBG720909:TBG720922 TLC720909:TLC720922 TUY720909:TUY720922 UEU720909:UEU720922 UOQ720909:UOQ720922 UYM720909:UYM720922 VII720909:VII720922 VSE720909:VSE720922 WCA720909:WCA720922 WLW720909:WLW720922 WVS720909:WVS720922 K786445:K786458 JG786445:JG786458 TC786445:TC786458 ACY786445:ACY786458 AMU786445:AMU786458 AWQ786445:AWQ786458 BGM786445:BGM786458 BQI786445:BQI786458 CAE786445:CAE786458 CKA786445:CKA786458 CTW786445:CTW786458 DDS786445:DDS786458 DNO786445:DNO786458 DXK786445:DXK786458 EHG786445:EHG786458 ERC786445:ERC786458 FAY786445:FAY786458 FKU786445:FKU786458 FUQ786445:FUQ786458 GEM786445:GEM786458 GOI786445:GOI786458 GYE786445:GYE786458 HIA786445:HIA786458 HRW786445:HRW786458 IBS786445:IBS786458 ILO786445:ILO786458 IVK786445:IVK786458 JFG786445:JFG786458 JPC786445:JPC786458 JYY786445:JYY786458 KIU786445:KIU786458 KSQ786445:KSQ786458 LCM786445:LCM786458 LMI786445:LMI786458 LWE786445:LWE786458 MGA786445:MGA786458 MPW786445:MPW786458 MZS786445:MZS786458 NJO786445:NJO786458 NTK786445:NTK786458 ODG786445:ODG786458 ONC786445:ONC786458 OWY786445:OWY786458 PGU786445:PGU786458 PQQ786445:PQQ786458 QAM786445:QAM786458 QKI786445:QKI786458 QUE786445:QUE786458 REA786445:REA786458 RNW786445:RNW786458 RXS786445:RXS786458 SHO786445:SHO786458 SRK786445:SRK786458 TBG786445:TBG786458 TLC786445:TLC786458 TUY786445:TUY786458 UEU786445:UEU786458 UOQ786445:UOQ786458 UYM786445:UYM786458 VII786445:VII786458 VSE786445:VSE786458 WCA786445:WCA786458 WLW786445:WLW786458 WVS786445:WVS786458 K851981:K851994 JG851981:JG851994 TC851981:TC851994 ACY851981:ACY851994 AMU851981:AMU851994 AWQ851981:AWQ851994 BGM851981:BGM851994 BQI851981:BQI851994 CAE851981:CAE851994 CKA851981:CKA851994 CTW851981:CTW851994 DDS851981:DDS851994 DNO851981:DNO851994 DXK851981:DXK851994 EHG851981:EHG851994 ERC851981:ERC851994 FAY851981:FAY851994 FKU851981:FKU851994 FUQ851981:FUQ851994 GEM851981:GEM851994 GOI851981:GOI851994 GYE851981:GYE851994 HIA851981:HIA851994 HRW851981:HRW851994 IBS851981:IBS851994 ILO851981:ILO851994 IVK851981:IVK851994 JFG851981:JFG851994 JPC851981:JPC851994 JYY851981:JYY851994 KIU851981:KIU851994 KSQ851981:KSQ851994 LCM851981:LCM851994 LMI851981:LMI851994 LWE851981:LWE851994 MGA851981:MGA851994 MPW851981:MPW851994 MZS851981:MZS851994 NJO851981:NJO851994 NTK851981:NTK851994 ODG851981:ODG851994 ONC851981:ONC851994 OWY851981:OWY851994 PGU851981:PGU851994 PQQ851981:PQQ851994 QAM851981:QAM851994 QKI851981:QKI851994 QUE851981:QUE851994 REA851981:REA851994 RNW851981:RNW851994 RXS851981:RXS851994 SHO851981:SHO851994 SRK851981:SRK851994 TBG851981:TBG851994 TLC851981:TLC851994 TUY851981:TUY851994 UEU851981:UEU851994 UOQ851981:UOQ851994 UYM851981:UYM851994 VII851981:VII851994 VSE851981:VSE851994 WCA851981:WCA851994 WLW851981:WLW851994 WVS851981:WVS851994 K917517:K917530 JG917517:JG917530 TC917517:TC917530 ACY917517:ACY917530 AMU917517:AMU917530 AWQ917517:AWQ917530 BGM917517:BGM917530 BQI917517:BQI917530 CAE917517:CAE917530 CKA917517:CKA917530 CTW917517:CTW917530 DDS917517:DDS917530 DNO917517:DNO917530 DXK917517:DXK917530 EHG917517:EHG917530 ERC917517:ERC917530 FAY917517:FAY917530 FKU917517:FKU917530 FUQ917517:FUQ917530 GEM917517:GEM917530 GOI917517:GOI917530 GYE917517:GYE917530 HIA917517:HIA917530 HRW917517:HRW917530 IBS917517:IBS917530 ILO917517:ILO917530 IVK917517:IVK917530 JFG917517:JFG917530 JPC917517:JPC917530 JYY917517:JYY917530 KIU917517:KIU917530 KSQ917517:KSQ917530 LCM917517:LCM917530 LMI917517:LMI917530 LWE917517:LWE917530 MGA917517:MGA917530 MPW917517:MPW917530 MZS917517:MZS917530 NJO917517:NJO917530 NTK917517:NTK917530 ODG917517:ODG917530 ONC917517:ONC917530 OWY917517:OWY917530 PGU917517:PGU917530 PQQ917517:PQQ917530 QAM917517:QAM917530 QKI917517:QKI917530 QUE917517:QUE917530 REA917517:REA917530 RNW917517:RNW917530 RXS917517:RXS917530 SHO917517:SHO917530 SRK917517:SRK917530 TBG917517:TBG917530 TLC917517:TLC917530 TUY917517:TUY917530 UEU917517:UEU917530 UOQ917517:UOQ917530 UYM917517:UYM917530 VII917517:VII917530 VSE917517:VSE917530 WCA917517:WCA917530 WLW917517:WLW917530 WVS917517:WVS917530 K983053:K983066 JG983053:JG983066 TC983053:TC983066 ACY983053:ACY983066 AMU983053:AMU983066 AWQ983053:AWQ983066 BGM983053:BGM983066 BQI983053:BQI983066 CAE983053:CAE983066 CKA983053:CKA983066 CTW983053:CTW983066 DDS983053:DDS983066 DNO983053:DNO983066 DXK983053:DXK983066 EHG983053:EHG983066 ERC983053:ERC983066 FAY983053:FAY983066 FKU983053:FKU983066 FUQ983053:FUQ983066 GEM983053:GEM983066 GOI983053:GOI983066 GYE983053:GYE983066 HIA983053:HIA983066 HRW983053:HRW983066 IBS983053:IBS983066 ILO983053:ILO983066 IVK983053:IVK983066 JFG983053:JFG983066 JPC983053:JPC983066 JYY983053:JYY983066 KIU983053:KIU983066 KSQ983053:KSQ983066 LCM983053:LCM983066 LMI983053:LMI983066 LWE983053:LWE983066 MGA983053:MGA983066 MPW983053:MPW983066 MZS983053:MZS983066 NJO983053:NJO983066 NTK983053:NTK983066 ODG983053:ODG983066 ONC983053:ONC983066 OWY983053:OWY983066 PGU983053:PGU983066 PQQ983053:PQQ983066 QAM983053:QAM983066 QKI983053:QKI983066 QUE983053:QUE983066 REA983053:REA983066 RNW983053:RNW983066 RXS983053:RXS983066 SHO983053:SHO983066 SRK983053:SRK983066 TBG983053:TBG983066 TLC983053:TLC983066 TUY983053:TUY983066 UEU983053:UEU983066 UOQ983053:UOQ983066 UYM983053:UYM983066 VII983053:VII983066 VSE983053:VSE983066 WCA983053:WCA983066 WLW983053:WLW983066 WVS983053:WVS983066 L17:L20 JH17:JH20 TD17:TD20 ACZ17:ACZ20 AMV17:AMV20 AWR17:AWR20 BGN17:BGN20 BQJ17:BQJ20 CAF17:CAF20 CKB17:CKB20 CTX17:CTX20 DDT17:DDT20 DNP17:DNP20 DXL17:DXL20 EHH17:EHH20 ERD17:ERD20 FAZ17:FAZ20 FKV17:FKV20 FUR17:FUR20 GEN17:GEN20 GOJ17:GOJ20 GYF17:GYF20 HIB17:HIB20 HRX17:HRX20 IBT17:IBT20 ILP17:ILP20 IVL17:IVL20 JFH17:JFH20 JPD17:JPD20 JYZ17:JYZ20 KIV17:KIV20 KSR17:KSR20 LCN17:LCN20 LMJ17:LMJ20 LWF17:LWF20 MGB17:MGB20 MPX17:MPX20 MZT17:MZT20 NJP17:NJP20 NTL17:NTL20 ODH17:ODH20 OND17:OND20 OWZ17:OWZ20 PGV17:PGV20 PQR17:PQR20 QAN17:QAN20 QKJ17:QKJ20 QUF17:QUF20 REB17:REB20 RNX17:RNX20 RXT17:RXT20 SHP17:SHP20 SRL17:SRL20 TBH17:TBH20 TLD17:TLD20 TUZ17:TUZ20 UEV17:UEV20 UOR17:UOR20 UYN17:UYN20 VIJ17:VIJ20 VSF17:VSF20 WCB17:WCB20 WLX17:WLX20 WVT17:WVT20 L65553:L65556 JH65553:JH65556 TD65553:TD65556 ACZ65553:ACZ65556 AMV65553:AMV65556 AWR65553:AWR65556 BGN65553:BGN65556 BQJ65553:BQJ65556 CAF65553:CAF65556 CKB65553:CKB65556 CTX65553:CTX65556 DDT65553:DDT65556 DNP65553:DNP65556 DXL65553:DXL65556 EHH65553:EHH65556 ERD65553:ERD65556 FAZ65553:FAZ65556 FKV65553:FKV65556 FUR65553:FUR65556 GEN65553:GEN65556 GOJ65553:GOJ65556 GYF65553:GYF65556 HIB65553:HIB65556 HRX65553:HRX65556 IBT65553:IBT65556 ILP65553:ILP65556 IVL65553:IVL65556 JFH65553:JFH65556 JPD65553:JPD65556 JYZ65553:JYZ65556 KIV65553:KIV65556 KSR65553:KSR65556 LCN65553:LCN65556 LMJ65553:LMJ65556 LWF65553:LWF65556 MGB65553:MGB65556 MPX65553:MPX65556 MZT65553:MZT65556 NJP65553:NJP65556 NTL65553:NTL65556 ODH65553:ODH65556 OND65553:OND65556 OWZ65553:OWZ65556 PGV65553:PGV65556 PQR65553:PQR65556 QAN65553:QAN65556 QKJ65553:QKJ65556 QUF65553:QUF65556 REB65553:REB65556 RNX65553:RNX65556 RXT65553:RXT65556 SHP65553:SHP65556 SRL65553:SRL65556 TBH65553:TBH65556 TLD65553:TLD65556 TUZ65553:TUZ65556 UEV65553:UEV65556 UOR65553:UOR65556 UYN65553:UYN65556 VIJ65553:VIJ65556 VSF65553:VSF65556 WCB65553:WCB65556 WLX65553:WLX65556 WVT65553:WVT65556 L131089:L131092 JH131089:JH131092 TD131089:TD131092 ACZ131089:ACZ131092 AMV131089:AMV131092 AWR131089:AWR131092 BGN131089:BGN131092 BQJ131089:BQJ131092 CAF131089:CAF131092 CKB131089:CKB131092 CTX131089:CTX131092 DDT131089:DDT131092 DNP131089:DNP131092 DXL131089:DXL131092 EHH131089:EHH131092 ERD131089:ERD131092 FAZ131089:FAZ131092 FKV131089:FKV131092 FUR131089:FUR131092 GEN131089:GEN131092 GOJ131089:GOJ131092 GYF131089:GYF131092 HIB131089:HIB131092 HRX131089:HRX131092 IBT131089:IBT131092 ILP131089:ILP131092 IVL131089:IVL131092 JFH131089:JFH131092 JPD131089:JPD131092 JYZ131089:JYZ131092 KIV131089:KIV131092 KSR131089:KSR131092 LCN131089:LCN131092 LMJ131089:LMJ131092 LWF131089:LWF131092 MGB131089:MGB131092 MPX131089:MPX131092 MZT131089:MZT131092 NJP131089:NJP131092 NTL131089:NTL131092 ODH131089:ODH131092 OND131089:OND131092 OWZ131089:OWZ131092 PGV131089:PGV131092 PQR131089:PQR131092 QAN131089:QAN131092 QKJ131089:QKJ131092 QUF131089:QUF131092 REB131089:REB131092 RNX131089:RNX131092 RXT131089:RXT131092 SHP131089:SHP131092 SRL131089:SRL131092 TBH131089:TBH131092 TLD131089:TLD131092 TUZ131089:TUZ131092 UEV131089:UEV131092 UOR131089:UOR131092 UYN131089:UYN131092 VIJ131089:VIJ131092 VSF131089:VSF131092 WCB131089:WCB131092 WLX131089:WLX131092 WVT131089:WVT131092 L196625:L196628 JH196625:JH196628 TD196625:TD196628 ACZ196625:ACZ196628 AMV196625:AMV196628 AWR196625:AWR196628 BGN196625:BGN196628 BQJ196625:BQJ196628 CAF196625:CAF196628 CKB196625:CKB196628 CTX196625:CTX196628 DDT196625:DDT196628 DNP196625:DNP196628 DXL196625:DXL196628 EHH196625:EHH196628 ERD196625:ERD196628 FAZ196625:FAZ196628 FKV196625:FKV196628 FUR196625:FUR196628 GEN196625:GEN196628 GOJ196625:GOJ196628 GYF196625:GYF196628 HIB196625:HIB196628 HRX196625:HRX196628 IBT196625:IBT196628 ILP196625:ILP196628 IVL196625:IVL196628 JFH196625:JFH196628 JPD196625:JPD196628 JYZ196625:JYZ196628 KIV196625:KIV196628 KSR196625:KSR196628 LCN196625:LCN196628 LMJ196625:LMJ196628 LWF196625:LWF196628 MGB196625:MGB196628 MPX196625:MPX196628 MZT196625:MZT196628 NJP196625:NJP196628 NTL196625:NTL196628 ODH196625:ODH196628 OND196625:OND196628 OWZ196625:OWZ196628 PGV196625:PGV196628 PQR196625:PQR196628 QAN196625:QAN196628 QKJ196625:QKJ196628 QUF196625:QUF196628 REB196625:REB196628 RNX196625:RNX196628 RXT196625:RXT196628 SHP196625:SHP196628 SRL196625:SRL196628 TBH196625:TBH196628 TLD196625:TLD196628 TUZ196625:TUZ196628 UEV196625:UEV196628 UOR196625:UOR196628 UYN196625:UYN196628 VIJ196625:VIJ196628 VSF196625:VSF196628 WCB196625:WCB196628 WLX196625:WLX196628 WVT196625:WVT196628 L262161:L262164 JH262161:JH262164 TD262161:TD262164 ACZ262161:ACZ262164 AMV262161:AMV262164 AWR262161:AWR262164 BGN262161:BGN262164 BQJ262161:BQJ262164 CAF262161:CAF262164 CKB262161:CKB262164 CTX262161:CTX262164 DDT262161:DDT262164 DNP262161:DNP262164 DXL262161:DXL262164 EHH262161:EHH262164 ERD262161:ERD262164 FAZ262161:FAZ262164 FKV262161:FKV262164 FUR262161:FUR262164 GEN262161:GEN262164 GOJ262161:GOJ262164 GYF262161:GYF262164 HIB262161:HIB262164 HRX262161:HRX262164 IBT262161:IBT262164 ILP262161:ILP262164 IVL262161:IVL262164 JFH262161:JFH262164 JPD262161:JPD262164 JYZ262161:JYZ262164 KIV262161:KIV262164 KSR262161:KSR262164 LCN262161:LCN262164 LMJ262161:LMJ262164 LWF262161:LWF262164 MGB262161:MGB262164 MPX262161:MPX262164 MZT262161:MZT262164 NJP262161:NJP262164 NTL262161:NTL262164 ODH262161:ODH262164 OND262161:OND262164 OWZ262161:OWZ262164 PGV262161:PGV262164 PQR262161:PQR262164 QAN262161:QAN262164 QKJ262161:QKJ262164 QUF262161:QUF262164 REB262161:REB262164 RNX262161:RNX262164 RXT262161:RXT262164 SHP262161:SHP262164 SRL262161:SRL262164 TBH262161:TBH262164 TLD262161:TLD262164 TUZ262161:TUZ262164 UEV262161:UEV262164 UOR262161:UOR262164 UYN262161:UYN262164 VIJ262161:VIJ262164 VSF262161:VSF262164 WCB262161:WCB262164 WLX262161:WLX262164 WVT262161:WVT262164 L327697:L327700 JH327697:JH327700 TD327697:TD327700 ACZ327697:ACZ327700 AMV327697:AMV327700 AWR327697:AWR327700 BGN327697:BGN327700 BQJ327697:BQJ327700 CAF327697:CAF327700 CKB327697:CKB327700 CTX327697:CTX327700 DDT327697:DDT327700 DNP327697:DNP327700 DXL327697:DXL327700 EHH327697:EHH327700 ERD327697:ERD327700 FAZ327697:FAZ327700 FKV327697:FKV327700 FUR327697:FUR327700 GEN327697:GEN327700 GOJ327697:GOJ327700 GYF327697:GYF327700 HIB327697:HIB327700 HRX327697:HRX327700 IBT327697:IBT327700 ILP327697:ILP327700 IVL327697:IVL327700 JFH327697:JFH327700 JPD327697:JPD327700 JYZ327697:JYZ327700 KIV327697:KIV327700 KSR327697:KSR327700 LCN327697:LCN327700 LMJ327697:LMJ327700 LWF327697:LWF327700 MGB327697:MGB327700 MPX327697:MPX327700 MZT327697:MZT327700 NJP327697:NJP327700 NTL327697:NTL327700 ODH327697:ODH327700 OND327697:OND327700 OWZ327697:OWZ327700 PGV327697:PGV327700 PQR327697:PQR327700 QAN327697:QAN327700 QKJ327697:QKJ327700 QUF327697:QUF327700 REB327697:REB327700 RNX327697:RNX327700 RXT327697:RXT327700 SHP327697:SHP327700 SRL327697:SRL327700 TBH327697:TBH327700 TLD327697:TLD327700 TUZ327697:TUZ327700 UEV327697:UEV327700 UOR327697:UOR327700 UYN327697:UYN327700 VIJ327697:VIJ327700 VSF327697:VSF327700 WCB327697:WCB327700 WLX327697:WLX327700 WVT327697:WVT327700 L393233:L393236 JH393233:JH393236 TD393233:TD393236 ACZ393233:ACZ393236 AMV393233:AMV393236 AWR393233:AWR393236 BGN393233:BGN393236 BQJ393233:BQJ393236 CAF393233:CAF393236 CKB393233:CKB393236 CTX393233:CTX393236 DDT393233:DDT393236 DNP393233:DNP393236 DXL393233:DXL393236 EHH393233:EHH393236 ERD393233:ERD393236 FAZ393233:FAZ393236 FKV393233:FKV393236 FUR393233:FUR393236 GEN393233:GEN393236 GOJ393233:GOJ393236 GYF393233:GYF393236 HIB393233:HIB393236 HRX393233:HRX393236 IBT393233:IBT393236 ILP393233:ILP393236 IVL393233:IVL393236 JFH393233:JFH393236 JPD393233:JPD393236 JYZ393233:JYZ393236 KIV393233:KIV393236 KSR393233:KSR393236 LCN393233:LCN393236 LMJ393233:LMJ393236 LWF393233:LWF393236 MGB393233:MGB393236 MPX393233:MPX393236 MZT393233:MZT393236 NJP393233:NJP393236 NTL393233:NTL393236 ODH393233:ODH393236 OND393233:OND393236 OWZ393233:OWZ393236 PGV393233:PGV393236 PQR393233:PQR393236 QAN393233:QAN393236 QKJ393233:QKJ393236 QUF393233:QUF393236 REB393233:REB393236 RNX393233:RNX393236 RXT393233:RXT393236 SHP393233:SHP393236 SRL393233:SRL393236 TBH393233:TBH393236 TLD393233:TLD393236 TUZ393233:TUZ393236 UEV393233:UEV393236 UOR393233:UOR393236 UYN393233:UYN393236 VIJ393233:VIJ393236 VSF393233:VSF393236 WCB393233:WCB393236 WLX393233:WLX393236 WVT393233:WVT393236 L458769:L458772 JH458769:JH458772 TD458769:TD458772 ACZ458769:ACZ458772 AMV458769:AMV458772 AWR458769:AWR458772 BGN458769:BGN458772 BQJ458769:BQJ458772 CAF458769:CAF458772 CKB458769:CKB458772 CTX458769:CTX458772 DDT458769:DDT458772 DNP458769:DNP458772 DXL458769:DXL458772 EHH458769:EHH458772 ERD458769:ERD458772 FAZ458769:FAZ458772 FKV458769:FKV458772 FUR458769:FUR458772 GEN458769:GEN458772 GOJ458769:GOJ458772 GYF458769:GYF458772 HIB458769:HIB458772 HRX458769:HRX458772 IBT458769:IBT458772 ILP458769:ILP458772 IVL458769:IVL458772 JFH458769:JFH458772 JPD458769:JPD458772 JYZ458769:JYZ458772 KIV458769:KIV458772 KSR458769:KSR458772 LCN458769:LCN458772 LMJ458769:LMJ458772 LWF458769:LWF458772 MGB458769:MGB458772 MPX458769:MPX458772 MZT458769:MZT458772 NJP458769:NJP458772 NTL458769:NTL458772 ODH458769:ODH458772 OND458769:OND458772 OWZ458769:OWZ458772 PGV458769:PGV458772 PQR458769:PQR458772 QAN458769:QAN458772 QKJ458769:QKJ458772 QUF458769:QUF458772 REB458769:REB458772 RNX458769:RNX458772 RXT458769:RXT458772 SHP458769:SHP458772 SRL458769:SRL458772 TBH458769:TBH458772 TLD458769:TLD458772 TUZ458769:TUZ458772 UEV458769:UEV458772 UOR458769:UOR458772 UYN458769:UYN458772 VIJ458769:VIJ458772 VSF458769:VSF458772 WCB458769:WCB458772 WLX458769:WLX458772 WVT458769:WVT458772 L524305:L524308 JH524305:JH524308 TD524305:TD524308 ACZ524305:ACZ524308 AMV524305:AMV524308 AWR524305:AWR524308 BGN524305:BGN524308 BQJ524305:BQJ524308 CAF524305:CAF524308 CKB524305:CKB524308 CTX524305:CTX524308 DDT524305:DDT524308 DNP524305:DNP524308 DXL524305:DXL524308 EHH524305:EHH524308 ERD524305:ERD524308 FAZ524305:FAZ524308 FKV524305:FKV524308 FUR524305:FUR524308 GEN524305:GEN524308 GOJ524305:GOJ524308 GYF524305:GYF524308 HIB524305:HIB524308 HRX524305:HRX524308 IBT524305:IBT524308 ILP524305:ILP524308 IVL524305:IVL524308 JFH524305:JFH524308 JPD524305:JPD524308 JYZ524305:JYZ524308 KIV524305:KIV524308 KSR524305:KSR524308 LCN524305:LCN524308 LMJ524305:LMJ524308 LWF524305:LWF524308 MGB524305:MGB524308 MPX524305:MPX524308 MZT524305:MZT524308 NJP524305:NJP524308 NTL524305:NTL524308 ODH524305:ODH524308 OND524305:OND524308 OWZ524305:OWZ524308 PGV524305:PGV524308 PQR524305:PQR524308 QAN524305:QAN524308 QKJ524305:QKJ524308 QUF524305:QUF524308 REB524305:REB524308 RNX524305:RNX524308 RXT524305:RXT524308 SHP524305:SHP524308 SRL524305:SRL524308 TBH524305:TBH524308 TLD524305:TLD524308 TUZ524305:TUZ524308 UEV524305:UEV524308 UOR524305:UOR524308 UYN524305:UYN524308 VIJ524305:VIJ524308 VSF524305:VSF524308 WCB524305:WCB524308 WLX524305:WLX524308 WVT524305:WVT524308 L589841:L589844 JH589841:JH589844 TD589841:TD589844 ACZ589841:ACZ589844 AMV589841:AMV589844 AWR589841:AWR589844 BGN589841:BGN589844 BQJ589841:BQJ589844 CAF589841:CAF589844 CKB589841:CKB589844 CTX589841:CTX589844 DDT589841:DDT589844 DNP589841:DNP589844 DXL589841:DXL589844 EHH589841:EHH589844 ERD589841:ERD589844 FAZ589841:FAZ589844 FKV589841:FKV589844 FUR589841:FUR589844 GEN589841:GEN589844 GOJ589841:GOJ589844 GYF589841:GYF589844 HIB589841:HIB589844 HRX589841:HRX589844 IBT589841:IBT589844 ILP589841:ILP589844 IVL589841:IVL589844 JFH589841:JFH589844 JPD589841:JPD589844 JYZ589841:JYZ589844 KIV589841:KIV589844 KSR589841:KSR589844 LCN589841:LCN589844 LMJ589841:LMJ589844 LWF589841:LWF589844 MGB589841:MGB589844 MPX589841:MPX589844 MZT589841:MZT589844 NJP589841:NJP589844 NTL589841:NTL589844 ODH589841:ODH589844 OND589841:OND589844 OWZ589841:OWZ589844 PGV589841:PGV589844 PQR589841:PQR589844 QAN589841:QAN589844 QKJ589841:QKJ589844 QUF589841:QUF589844 REB589841:REB589844 RNX589841:RNX589844 RXT589841:RXT589844 SHP589841:SHP589844 SRL589841:SRL589844 TBH589841:TBH589844 TLD589841:TLD589844 TUZ589841:TUZ589844 UEV589841:UEV589844 UOR589841:UOR589844 UYN589841:UYN589844 VIJ589841:VIJ589844 VSF589841:VSF589844 WCB589841:WCB589844 WLX589841:WLX589844 WVT589841:WVT589844 L655377:L655380 JH655377:JH655380 TD655377:TD655380 ACZ655377:ACZ655380 AMV655377:AMV655380 AWR655377:AWR655380 BGN655377:BGN655380 BQJ655377:BQJ655380 CAF655377:CAF655380 CKB655377:CKB655380 CTX655377:CTX655380 DDT655377:DDT655380 DNP655377:DNP655380 DXL655377:DXL655380 EHH655377:EHH655380 ERD655377:ERD655380 FAZ655377:FAZ655380 FKV655377:FKV655380 FUR655377:FUR655380 GEN655377:GEN655380 GOJ655377:GOJ655380 GYF655377:GYF655380 HIB655377:HIB655380 HRX655377:HRX655380 IBT655377:IBT655380 ILP655377:ILP655380 IVL655377:IVL655380 JFH655377:JFH655380 JPD655377:JPD655380 JYZ655377:JYZ655380 KIV655377:KIV655380 KSR655377:KSR655380 LCN655377:LCN655380 LMJ655377:LMJ655380 LWF655377:LWF655380 MGB655377:MGB655380 MPX655377:MPX655380 MZT655377:MZT655380 NJP655377:NJP655380 NTL655377:NTL655380 ODH655377:ODH655380 OND655377:OND655380 OWZ655377:OWZ655380 PGV655377:PGV655380 PQR655377:PQR655380 QAN655377:QAN655380 QKJ655377:QKJ655380 QUF655377:QUF655380 REB655377:REB655380 RNX655377:RNX655380 RXT655377:RXT655380 SHP655377:SHP655380 SRL655377:SRL655380 TBH655377:TBH655380 TLD655377:TLD655380 TUZ655377:TUZ655380 UEV655377:UEV655380 UOR655377:UOR655380 UYN655377:UYN655380 VIJ655377:VIJ655380 VSF655377:VSF655380 WCB655377:WCB655380 WLX655377:WLX655380 WVT655377:WVT655380 L720913:L720916 JH720913:JH720916 TD720913:TD720916 ACZ720913:ACZ720916 AMV720913:AMV720916 AWR720913:AWR720916 BGN720913:BGN720916 BQJ720913:BQJ720916 CAF720913:CAF720916 CKB720913:CKB720916 CTX720913:CTX720916 DDT720913:DDT720916 DNP720913:DNP720916 DXL720913:DXL720916 EHH720913:EHH720916 ERD720913:ERD720916 FAZ720913:FAZ720916 FKV720913:FKV720916 FUR720913:FUR720916 GEN720913:GEN720916 GOJ720913:GOJ720916 GYF720913:GYF720916 HIB720913:HIB720916 HRX720913:HRX720916 IBT720913:IBT720916 ILP720913:ILP720916 IVL720913:IVL720916 JFH720913:JFH720916 JPD720913:JPD720916 JYZ720913:JYZ720916 KIV720913:KIV720916 KSR720913:KSR720916 LCN720913:LCN720916 LMJ720913:LMJ720916 LWF720913:LWF720916 MGB720913:MGB720916 MPX720913:MPX720916 MZT720913:MZT720916 NJP720913:NJP720916 NTL720913:NTL720916 ODH720913:ODH720916 OND720913:OND720916 OWZ720913:OWZ720916 PGV720913:PGV720916 PQR720913:PQR720916 QAN720913:QAN720916 QKJ720913:QKJ720916 QUF720913:QUF720916 REB720913:REB720916 RNX720913:RNX720916 RXT720913:RXT720916 SHP720913:SHP720916 SRL720913:SRL720916 TBH720913:TBH720916 TLD720913:TLD720916 TUZ720913:TUZ720916 UEV720913:UEV720916 UOR720913:UOR720916 UYN720913:UYN720916 VIJ720913:VIJ720916 VSF720913:VSF720916 WCB720913:WCB720916 WLX720913:WLX720916 WVT720913:WVT720916 L786449:L786452 JH786449:JH786452 TD786449:TD786452 ACZ786449:ACZ786452 AMV786449:AMV786452 AWR786449:AWR786452 BGN786449:BGN786452 BQJ786449:BQJ786452 CAF786449:CAF786452 CKB786449:CKB786452 CTX786449:CTX786452 DDT786449:DDT786452 DNP786449:DNP786452 DXL786449:DXL786452 EHH786449:EHH786452 ERD786449:ERD786452 FAZ786449:FAZ786452 FKV786449:FKV786452 FUR786449:FUR786452 GEN786449:GEN786452 GOJ786449:GOJ786452 GYF786449:GYF786452 HIB786449:HIB786452 HRX786449:HRX786452 IBT786449:IBT786452 ILP786449:ILP786452 IVL786449:IVL786452 JFH786449:JFH786452 JPD786449:JPD786452 JYZ786449:JYZ786452 KIV786449:KIV786452 KSR786449:KSR786452 LCN786449:LCN786452 LMJ786449:LMJ786452 LWF786449:LWF786452 MGB786449:MGB786452 MPX786449:MPX786452 MZT786449:MZT786452 NJP786449:NJP786452 NTL786449:NTL786452 ODH786449:ODH786452 OND786449:OND786452 OWZ786449:OWZ786452 PGV786449:PGV786452 PQR786449:PQR786452 QAN786449:QAN786452 QKJ786449:QKJ786452 QUF786449:QUF786452 REB786449:REB786452 RNX786449:RNX786452 RXT786449:RXT786452 SHP786449:SHP786452 SRL786449:SRL786452 TBH786449:TBH786452 TLD786449:TLD786452 TUZ786449:TUZ786452 UEV786449:UEV786452 UOR786449:UOR786452 UYN786449:UYN786452 VIJ786449:VIJ786452 VSF786449:VSF786452 WCB786449:WCB786452 WLX786449:WLX786452 WVT786449:WVT786452 L851985:L851988 JH851985:JH851988 TD851985:TD851988 ACZ851985:ACZ851988 AMV851985:AMV851988 AWR851985:AWR851988 BGN851985:BGN851988 BQJ851985:BQJ851988 CAF851985:CAF851988 CKB851985:CKB851988 CTX851985:CTX851988 DDT851985:DDT851988 DNP851985:DNP851988 DXL851985:DXL851988 EHH851985:EHH851988 ERD851985:ERD851988 FAZ851985:FAZ851988 FKV851985:FKV851988 FUR851985:FUR851988 GEN851985:GEN851988 GOJ851985:GOJ851988 GYF851985:GYF851988 HIB851985:HIB851988 HRX851985:HRX851988 IBT851985:IBT851988 ILP851985:ILP851988 IVL851985:IVL851988 JFH851985:JFH851988 JPD851985:JPD851988 JYZ851985:JYZ851988 KIV851985:KIV851988 KSR851985:KSR851988 LCN851985:LCN851988 LMJ851985:LMJ851988 LWF851985:LWF851988 MGB851985:MGB851988 MPX851985:MPX851988 MZT851985:MZT851988 NJP851985:NJP851988 NTL851985:NTL851988 ODH851985:ODH851988 OND851985:OND851988 OWZ851985:OWZ851988 PGV851985:PGV851988 PQR851985:PQR851988 QAN851985:QAN851988 QKJ851985:QKJ851988 QUF851985:QUF851988 REB851985:REB851988 RNX851985:RNX851988 RXT851985:RXT851988 SHP851985:SHP851988 SRL851985:SRL851988 TBH851985:TBH851988 TLD851985:TLD851988 TUZ851985:TUZ851988 UEV851985:UEV851988 UOR851985:UOR851988 UYN851985:UYN851988 VIJ851985:VIJ851988 VSF851985:VSF851988 WCB851985:WCB851988 WLX851985:WLX851988 WVT851985:WVT851988 L917521:L917524 JH917521:JH917524 TD917521:TD917524 ACZ917521:ACZ917524 AMV917521:AMV917524 AWR917521:AWR917524 BGN917521:BGN917524 BQJ917521:BQJ917524 CAF917521:CAF917524 CKB917521:CKB917524 CTX917521:CTX917524 DDT917521:DDT917524 DNP917521:DNP917524 DXL917521:DXL917524 EHH917521:EHH917524 ERD917521:ERD917524 FAZ917521:FAZ917524 FKV917521:FKV917524 FUR917521:FUR917524 GEN917521:GEN917524 GOJ917521:GOJ917524 GYF917521:GYF917524 HIB917521:HIB917524 HRX917521:HRX917524 IBT917521:IBT917524 ILP917521:ILP917524 IVL917521:IVL917524 JFH917521:JFH917524 JPD917521:JPD917524 JYZ917521:JYZ917524 KIV917521:KIV917524 KSR917521:KSR917524 LCN917521:LCN917524 LMJ917521:LMJ917524 LWF917521:LWF917524 MGB917521:MGB917524 MPX917521:MPX917524 MZT917521:MZT917524 NJP917521:NJP917524 NTL917521:NTL917524 ODH917521:ODH917524 OND917521:OND917524 OWZ917521:OWZ917524 PGV917521:PGV917524 PQR917521:PQR917524 QAN917521:QAN917524 QKJ917521:QKJ917524 QUF917521:QUF917524 REB917521:REB917524 RNX917521:RNX917524 RXT917521:RXT917524 SHP917521:SHP917524 SRL917521:SRL917524 TBH917521:TBH917524 TLD917521:TLD917524 TUZ917521:TUZ917524 UEV917521:UEV917524 UOR917521:UOR917524 UYN917521:UYN917524 VIJ917521:VIJ917524 VSF917521:VSF917524 WCB917521:WCB917524 WLX917521:WLX917524 WVT917521:WVT917524 L983057:L983060 JH983057:JH983060 TD983057:TD983060 ACZ983057:ACZ983060 AMV983057:AMV983060 AWR983057:AWR983060 BGN983057:BGN983060 BQJ983057:BQJ983060 CAF983057:CAF983060 CKB983057:CKB983060 CTX983057:CTX983060 DDT983057:DDT983060 DNP983057:DNP983060 DXL983057:DXL983060 EHH983057:EHH983060 ERD983057:ERD983060 FAZ983057:FAZ983060 FKV983057:FKV983060 FUR983057:FUR983060 GEN983057:GEN983060 GOJ983057:GOJ983060 GYF983057:GYF983060 HIB983057:HIB983060 HRX983057:HRX983060 IBT983057:IBT983060 ILP983057:ILP983060 IVL983057:IVL983060 JFH983057:JFH983060 JPD983057:JPD983060 JYZ983057:JYZ983060 KIV983057:KIV983060 KSR983057:KSR983060 LCN983057:LCN983060 LMJ983057:LMJ983060 LWF983057:LWF983060 MGB983057:MGB983060 MPX983057:MPX983060 MZT983057:MZT983060 NJP983057:NJP983060 NTL983057:NTL983060 ODH983057:ODH983060 OND983057:OND983060 OWZ983057:OWZ983060 PGV983057:PGV983060 PQR983057:PQR983060 QAN983057:QAN983060 QKJ983057:QKJ983060 QUF983057:QUF983060 REB983057:REB983060 RNX983057:RNX983060 RXT983057:RXT983060 SHP983057:SHP983060 SRL983057:SRL983060 TBH983057:TBH983060 TLD983057:TLD983060 TUZ983057:TUZ983060 UEV983057:UEV983060 UOR983057:UOR983060 UYN983057:UYN983060 VIJ983057:VIJ983060 VSF983057:VSF983060 WCB983057:WCB983060 WLX983057:WLX983060 WVT983057:WVT983060 L22:L26 JH22:JH26 TD22:TD26 ACZ22:ACZ26 AMV22:AMV26 AWR22:AWR26 BGN22:BGN26 BQJ22:BQJ26 CAF22:CAF26 CKB22:CKB26 CTX22:CTX26 DDT22:DDT26 DNP22:DNP26 DXL22:DXL26 EHH22:EHH26 ERD22:ERD26 FAZ22:FAZ26 FKV22:FKV26 FUR22:FUR26 GEN22:GEN26 GOJ22:GOJ26 GYF22:GYF26 HIB22:HIB26 HRX22:HRX26 IBT22:IBT26 ILP22:ILP26 IVL22:IVL26 JFH22:JFH26 JPD22:JPD26 JYZ22:JYZ26 KIV22:KIV26 KSR22:KSR26 LCN22:LCN26 LMJ22:LMJ26 LWF22:LWF26 MGB22:MGB26 MPX22:MPX26 MZT22:MZT26 NJP22:NJP26 NTL22:NTL26 ODH22:ODH26 OND22:OND26 OWZ22:OWZ26 PGV22:PGV26 PQR22:PQR26 QAN22:QAN26 QKJ22:QKJ26 QUF22:QUF26 REB22:REB26 RNX22:RNX26 RXT22:RXT26 SHP22:SHP26 SRL22:SRL26 TBH22:TBH26 TLD22:TLD26 TUZ22:TUZ26 UEV22:UEV26 UOR22:UOR26 UYN22:UYN26 VIJ22:VIJ26 VSF22:VSF26 WCB22:WCB26 WLX22:WLX26 WVT22:WVT26 L65558:L65562 JH65558:JH65562 TD65558:TD65562 ACZ65558:ACZ65562 AMV65558:AMV65562 AWR65558:AWR65562 BGN65558:BGN65562 BQJ65558:BQJ65562 CAF65558:CAF65562 CKB65558:CKB65562 CTX65558:CTX65562 DDT65558:DDT65562 DNP65558:DNP65562 DXL65558:DXL65562 EHH65558:EHH65562 ERD65558:ERD65562 FAZ65558:FAZ65562 FKV65558:FKV65562 FUR65558:FUR65562 GEN65558:GEN65562 GOJ65558:GOJ65562 GYF65558:GYF65562 HIB65558:HIB65562 HRX65558:HRX65562 IBT65558:IBT65562 ILP65558:ILP65562 IVL65558:IVL65562 JFH65558:JFH65562 JPD65558:JPD65562 JYZ65558:JYZ65562 KIV65558:KIV65562 KSR65558:KSR65562 LCN65558:LCN65562 LMJ65558:LMJ65562 LWF65558:LWF65562 MGB65558:MGB65562 MPX65558:MPX65562 MZT65558:MZT65562 NJP65558:NJP65562 NTL65558:NTL65562 ODH65558:ODH65562 OND65558:OND65562 OWZ65558:OWZ65562 PGV65558:PGV65562 PQR65558:PQR65562 QAN65558:QAN65562 QKJ65558:QKJ65562 QUF65558:QUF65562 REB65558:REB65562 RNX65558:RNX65562 RXT65558:RXT65562 SHP65558:SHP65562 SRL65558:SRL65562 TBH65558:TBH65562 TLD65558:TLD65562 TUZ65558:TUZ65562 UEV65558:UEV65562 UOR65558:UOR65562 UYN65558:UYN65562 VIJ65558:VIJ65562 VSF65558:VSF65562 WCB65558:WCB65562 WLX65558:WLX65562 WVT65558:WVT65562 L131094:L131098 JH131094:JH131098 TD131094:TD131098 ACZ131094:ACZ131098 AMV131094:AMV131098 AWR131094:AWR131098 BGN131094:BGN131098 BQJ131094:BQJ131098 CAF131094:CAF131098 CKB131094:CKB131098 CTX131094:CTX131098 DDT131094:DDT131098 DNP131094:DNP131098 DXL131094:DXL131098 EHH131094:EHH131098 ERD131094:ERD131098 FAZ131094:FAZ131098 FKV131094:FKV131098 FUR131094:FUR131098 GEN131094:GEN131098 GOJ131094:GOJ131098 GYF131094:GYF131098 HIB131094:HIB131098 HRX131094:HRX131098 IBT131094:IBT131098 ILP131094:ILP131098 IVL131094:IVL131098 JFH131094:JFH131098 JPD131094:JPD131098 JYZ131094:JYZ131098 KIV131094:KIV131098 KSR131094:KSR131098 LCN131094:LCN131098 LMJ131094:LMJ131098 LWF131094:LWF131098 MGB131094:MGB131098 MPX131094:MPX131098 MZT131094:MZT131098 NJP131094:NJP131098 NTL131094:NTL131098 ODH131094:ODH131098 OND131094:OND131098 OWZ131094:OWZ131098 PGV131094:PGV131098 PQR131094:PQR131098 QAN131094:QAN131098 QKJ131094:QKJ131098 QUF131094:QUF131098 REB131094:REB131098 RNX131094:RNX131098 RXT131094:RXT131098 SHP131094:SHP131098 SRL131094:SRL131098 TBH131094:TBH131098 TLD131094:TLD131098 TUZ131094:TUZ131098 UEV131094:UEV131098 UOR131094:UOR131098 UYN131094:UYN131098 VIJ131094:VIJ131098 VSF131094:VSF131098 WCB131094:WCB131098 WLX131094:WLX131098 WVT131094:WVT131098 L196630:L196634 JH196630:JH196634 TD196630:TD196634 ACZ196630:ACZ196634 AMV196630:AMV196634 AWR196630:AWR196634 BGN196630:BGN196634 BQJ196630:BQJ196634 CAF196630:CAF196634 CKB196630:CKB196634 CTX196630:CTX196634 DDT196630:DDT196634 DNP196630:DNP196634 DXL196630:DXL196634 EHH196630:EHH196634 ERD196630:ERD196634 FAZ196630:FAZ196634 FKV196630:FKV196634 FUR196630:FUR196634 GEN196630:GEN196634 GOJ196630:GOJ196634 GYF196630:GYF196634 HIB196630:HIB196634 HRX196630:HRX196634 IBT196630:IBT196634 ILP196630:ILP196634 IVL196630:IVL196634 JFH196630:JFH196634 JPD196630:JPD196634 JYZ196630:JYZ196634 KIV196630:KIV196634 KSR196630:KSR196634 LCN196630:LCN196634 LMJ196630:LMJ196634 LWF196630:LWF196634 MGB196630:MGB196634 MPX196630:MPX196634 MZT196630:MZT196634 NJP196630:NJP196634 NTL196630:NTL196634 ODH196630:ODH196634 OND196630:OND196634 OWZ196630:OWZ196634 PGV196630:PGV196634 PQR196630:PQR196634 QAN196630:QAN196634 QKJ196630:QKJ196634 QUF196630:QUF196634 REB196630:REB196634 RNX196630:RNX196634 RXT196630:RXT196634 SHP196630:SHP196634 SRL196630:SRL196634 TBH196630:TBH196634 TLD196630:TLD196634 TUZ196630:TUZ196634 UEV196630:UEV196634 UOR196630:UOR196634 UYN196630:UYN196634 VIJ196630:VIJ196634 VSF196630:VSF196634 WCB196630:WCB196634 WLX196630:WLX196634 WVT196630:WVT196634 L262166:L262170 JH262166:JH262170 TD262166:TD262170 ACZ262166:ACZ262170 AMV262166:AMV262170 AWR262166:AWR262170 BGN262166:BGN262170 BQJ262166:BQJ262170 CAF262166:CAF262170 CKB262166:CKB262170 CTX262166:CTX262170 DDT262166:DDT262170 DNP262166:DNP262170 DXL262166:DXL262170 EHH262166:EHH262170 ERD262166:ERD262170 FAZ262166:FAZ262170 FKV262166:FKV262170 FUR262166:FUR262170 GEN262166:GEN262170 GOJ262166:GOJ262170 GYF262166:GYF262170 HIB262166:HIB262170 HRX262166:HRX262170 IBT262166:IBT262170 ILP262166:ILP262170 IVL262166:IVL262170 JFH262166:JFH262170 JPD262166:JPD262170 JYZ262166:JYZ262170 KIV262166:KIV262170 KSR262166:KSR262170 LCN262166:LCN262170 LMJ262166:LMJ262170 LWF262166:LWF262170 MGB262166:MGB262170 MPX262166:MPX262170 MZT262166:MZT262170 NJP262166:NJP262170 NTL262166:NTL262170 ODH262166:ODH262170 OND262166:OND262170 OWZ262166:OWZ262170 PGV262166:PGV262170 PQR262166:PQR262170 QAN262166:QAN262170 QKJ262166:QKJ262170 QUF262166:QUF262170 REB262166:REB262170 RNX262166:RNX262170 RXT262166:RXT262170 SHP262166:SHP262170 SRL262166:SRL262170 TBH262166:TBH262170 TLD262166:TLD262170 TUZ262166:TUZ262170 UEV262166:UEV262170 UOR262166:UOR262170 UYN262166:UYN262170 VIJ262166:VIJ262170 VSF262166:VSF262170 WCB262166:WCB262170 WLX262166:WLX262170 WVT262166:WVT262170 L327702:L327706 JH327702:JH327706 TD327702:TD327706 ACZ327702:ACZ327706 AMV327702:AMV327706 AWR327702:AWR327706 BGN327702:BGN327706 BQJ327702:BQJ327706 CAF327702:CAF327706 CKB327702:CKB327706 CTX327702:CTX327706 DDT327702:DDT327706 DNP327702:DNP327706 DXL327702:DXL327706 EHH327702:EHH327706 ERD327702:ERD327706 FAZ327702:FAZ327706 FKV327702:FKV327706 FUR327702:FUR327706 GEN327702:GEN327706 GOJ327702:GOJ327706 GYF327702:GYF327706 HIB327702:HIB327706 HRX327702:HRX327706 IBT327702:IBT327706 ILP327702:ILP327706 IVL327702:IVL327706 JFH327702:JFH327706 JPD327702:JPD327706 JYZ327702:JYZ327706 KIV327702:KIV327706 KSR327702:KSR327706 LCN327702:LCN327706 LMJ327702:LMJ327706 LWF327702:LWF327706 MGB327702:MGB327706 MPX327702:MPX327706 MZT327702:MZT327706 NJP327702:NJP327706 NTL327702:NTL327706 ODH327702:ODH327706 OND327702:OND327706 OWZ327702:OWZ327706 PGV327702:PGV327706 PQR327702:PQR327706 QAN327702:QAN327706 QKJ327702:QKJ327706 QUF327702:QUF327706 REB327702:REB327706 RNX327702:RNX327706 RXT327702:RXT327706 SHP327702:SHP327706 SRL327702:SRL327706 TBH327702:TBH327706 TLD327702:TLD327706 TUZ327702:TUZ327706 UEV327702:UEV327706 UOR327702:UOR327706 UYN327702:UYN327706 VIJ327702:VIJ327706 VSF327702:VSF327706 WCB327702:WCB327706 WLX327702:WLX327706 WVT327702:WVT327706 L393238:L393242 JH393238:JH393242 TD393238:TD393242 ACZ393238:ACZ393242 AMV393238:AMV393242 AWR393238:AWR393242 BGN393238:BGN393242 BQJ393238:BQJ393242 CAF393238:CAF393242 CKB393238:CKB393242 CTX393238:CTX393242 DDT393238:DDT393242 DNP393238:DNP393242 DXL393238:DXL393242 EHH393238:EHH393242 ERD393238:ERD393242 FAZ393238:FAZ393242 FKV393238:FKV393242 FUR393238:FUR393242 GEN393238:GEN393242 GOJ393238:GOJ393242 GYF393238:GYF393242 HIB393238:HIB393242 HRX393238:HRX393242 IBT393238:IBT393242 ILP393238:ILP393242 IVL393238:IVL393242 JFH393238:JFH393242 JPD393238:JPD393242 JYZ393238:JYZ393242 KIV393238:KIV393242 KSR393238:KSR393242 LCN393238:LCN393242 LMJ393238:LMJ393242 LWF393238:LWF393242 MGB393238:MGB393242 MPX393238:MPX393242 MZT393238:MZT393242 NJP393238:NJP393242 NTL393238:NTL393242 ODH393238:ODH393242 OND393238:OND393242 OWZ393238:OWZ393242 PGV393238:PGV393242 PQR393238:PQR393242 QAN393238:QAN393242 QKJ393238:QKJ393242 QUF393238:QUF393242 REB393238:REB393242 RNX393238:RNX393242 RXT393238:RXT393242 SHP393238:SHP393242 SRL393238:SRL393242 TBH393238:TBH393242 TLD393238:TLD393242 TUZ393238:TUZ393242 UEV393238:UEV393242 UOR393238:UOR393242 UYN393238:UYN393242 VIJ393238:VIJ393242 VSF393238:VSF393242 WCB393238:WCB393242 WLX393238:WLX393242 WVT393238:WVT393242 L458774:L458778 JH458774:JH458778 TD458774:TD458778 ACZ458774:ACZ458778 AMV458774:AMV458778 AWR458774:AWR458778 BGN458774:BGN458778 BQJ458774:BQJ458778 CAF458774:CAF458778 CKB458774:CKB458778 CTX458774:CTX458778 DDT458774:DDT458778 DNP458774:DNP458778 DXL458774:DXL458778 EHH458774:EHH458778 ERD458774:ERD458778 FAZ458774:FAZ458778 FKV458774:FKV458778 FUR458774:FUR458778 GEN458774:GEN458778 GOJ458774:GOJ458778 GYF458774:GYF458778 HIB458774:HIB458778 HRX458774:HRX458778 IBT458774:IBT458778 ILP458774:ILP458778 IVL458774:IVL458778 JFH458774:JFH458778 JPD458774:JPD458778 JYZ458774:JYZ458778 KIV458774:KIV458778 KSR458774:KSR458778 LCN458774:LCN458778 LMJ458774:LMJ458778 LWF458774:LWF458778 MGB458774:MGB458778 MPX458774:MPX458778 MZT458774:MZT458778 NJP458774:NJP458778 NTL458774:NTL458778 ODH458774:ODH458778 OND458774:OND458778 OWZ458774:OWZ458778 PGV458774:PGV458778 PQR458774:PQR458778 QAN458774:QAN458778 QKJ458774:QKJ458778 QUF458774:QUF458778 REB458774:REB458778 RNX458774:RNX458778 RXT458774:RXT458778 SHP458774:SHP458778 SRL458774:SRL458778 TBH458774:TBH458778 TLD458774:TLD458778 TUZ458774:TUZ458778 UEV458774:UEV458778 UOR458774:UOR458778 UYN458774:UYN458778 VIJ458774:VIJ458778 VSF458774:VSF458778 WCB458774:WCB458778 WLX458774:WLX458778 WVT458774:WVT458778 L524310:L524314 JH524310:JH524314 TD524310:TD524314 ACZ524310:ACZ524314 AMV524310:AMV524314 AWR524310:AWR524314 BGN524310:BGN524314 BQJ524310:BQJ524314 CAF524310:CAF524314 CKB524310:CKB524314 CTX524310:CTX524314 DDT524310:DDT524314 DNP524310:DNP524314 DXL524310:DXL524314 EHH524310:EHH524314 ERD524310:ERD524314 FAZ524310:FAZ524314 FKV524310:FKV524314 FUR524310:FUR524314 GEN524310:GEN524314 GOJ524310:GOJ524314 GYF524310:GYF524314 HIB524310:HIB524314 HRX524310:HRX524314 IBT524310:IBT524314 ILP524310:ILP524314 IVL524310:IVL524314 JFH524310:JFH524314 JPD524310:JPD524314 JYZ524310:JYZ524314 KIV524310:KIV524314 KSR524310:KSR524314 LCN524310:LCN524314 LMJ524310:LMJ524314 LWF524310:LWF524314 MGB524310:MGB524314 MPX524310:MPX524314 MZT524310:MZT524314 NJP524310:NJP524314 NTL524310:NTL524314 ODH524310:ODH524314 OND524310:OND524314 OWZ524310:OWZ524314 PGV524310:PGV524314 PQR524310:PQR524314 QAN524310:QAN524314 QKJ524310:QKJ524314 QUF524310:QUF524314 REB524310:REB524314 RNX524310:RNX524314 RXT524310:RXT524314 SHP524310:SHP524314 SRL524310:SRL524314 TBH524310:TBH524314 TLD524310:TLD524314 TUZ524310:TUZ524314 UEV524310:UEV524314 UOR524310:UOR524314 UYN524310:UYN524314 VIJ524310:VIJ524314 VSF524310:VSF524314 WCB524310:WCB524314 WLX524310:WLX524314 WVT524310:WVT524314 L589846:L589850 JH589846:JH589850 TD589846:TD589850 ACZ589846:ACZ589850 AMV589846:AMV589850 AWR589846:AWR589850 BGN589846:BGN589850 BQJ589846:BQJ589850 CAF589846:CAF589850 CKB589846:CKB589850 CTX589846:CTX589850 DDT589846:DDT589850 DNP589846:DNP589850 DXL589846:DXL589850 EHH589846:EHH589850 ERD589846:ERD589850 FAZ589846:FAZ589850 FKV589846:FKV589850 FUR589846:FUR589850 GEN589846:GEN589850 GOJ589846:GOJ589850 GYF589846:GYF589850 HIB589846:HIB589850 HRX589846:HRX589850 IBT589846:IBT589850 ILP589846:ILP589850 IVL589846:IVL589850 JFH589846:JFH589850 JPD589846:JPD589850 JYZ589846:JYZ589850 KIV589846:KIV589850 KSR589846:KSR589850 LCN589846:LCN589850 LMJ589846:LMJ589850 LWF589846:LWF589850 MGB589846:MGB589850 MPX589846:MPX589850 MZT589846:MZT589850 NJP589846:NJP589850 NTL589846:NTL589850 ODH589846:ODH589850 OND589846:OND589850 OWZ589846:OWZ589850 PGV589846:PGV589850 PQR589846:PQR589850 QAN589846:QAN589850 QKJ589846:QKJ589850 QUF589846:QUF589850 REB589846:REB589850 RNX589846:RNX589850 RXT589846:RXT589850 SHP589846:SHP589850 SRL589846:SRL589850 TBH589846:TBH589850 TLD589846:TLD589850 TUZ589846:TUZ589850 UEV589846:UEV589850 UOR589846:UOR589850 UYN589846:UYN589850 VIJ589846:VIJ589850 VSF589846:VSF589850 WCB589846:WCB589850 WLX589846:WLX589850 WVT589846:WVT589850 L655382:L655386 JH655382:JH655386 TD655382:TD655386 ACZ655382:ACZ655386 AMV655382:AMV655386 AWR655382:AWR655386 BGN655382:BGN655386 BQJ655382:BQJ655386 CAF655382:CAF655386 CKB655382:CKB655386 CTX655382:CTX655386 DDT655382:DDT655386 DNP655382:DNP655386 DXL655382:DXL655386 EHH655382:EHH655386 ERD655382:ERD655386 FAZ655382:FAZ655386 FKV655382:FKV655386 FUR655382:FUR655386 GEN655382:GEN655386 GOJ655382:GOJ655386 GYF655382:GYF655386 HIB655382:HIB655386 HRX655382:HRX655386 IBT655382:IBT655386 ILP655382:ILP655386 IVL655382:IVL655386 JFH655382:JFH655386 JPD655382:JPD655386 JYZ655382:JYZ655386 KIV655382:KIV655386 KSR655382:KSR655386 LCN655382:LCN655386 LMJ655382:LMJ655386 LWF655382:LWF655386 MGB655382:MGB655386 MPX655382:MPX655386 MZT655382:MZT655386 NJP655382:NJP655386 NTL655382:NTL655386 ODH655382:ODH655386 OND655382:OND655386 OWZ655382:OWZ655386 PGV655382:PGV655386 PQR655382:PQR655386 QAN655382:QAN655386 QKJ655382:QKJ655386 QUF655382:QUF655386 REB655382:REB655386 RNX655382:RNX655386 RXT655382:RXT655386 SHP655382:SHP655386 SRL655382:SRL655386 TBH655382:TBH655386 TLD655382:TLD655386 TUZ655382:TUZ655386 UEV655382:UEV655386 UOR655382:UOR655386 UYN655382:UYN655386 VIJ655382:VIJ655386 VSF655382:VSF655386 WCB655382:WCB655386 WLX655382:WLX655386 WVT655382:WVT655386 L720918:L720922 JH720918:JH720922 TD720918:TD720922 ACZ720918:ACZ720922 AMV720918:AMV720922 AWR720918:AWR720922 BGN720918:BGN720922 BQJ720918:BQJ720922 CAF720918:CAF720922 CKB720918:CKB720922 CTX720918:CTX720922 DDT720918:DDT720922 DNP720918:DNP720922 DXL720918:DXL720922 EHH720918:EHH720922 ERD720918:ERD720922 FAZ720918:FAZ720922 FKV720918:FKV720922 FUR720918:FUR720922 GEN720918:GEN720922 GOJ720918:GOJ720922 GYF720918:GYF720922 HIB720918:HIB720922 HRX720918:HRX720922 IBT720918:IBT720922 ILP720918:ILP720922 IVL720918:IVL720922 JFH720918:JFH720922 JPD720918:JPD720922 JYZ720918:JYZ720922 KIV720918:KIV720922 KSR720918:KSR720922 LCN720918:LCN720922 LMJ720918:LMJ720922 LWF720918:LWF720922 MGB720918:MGB720922 MPX720918:MPX720922 MZT720918:MZT720922 NJP720918:NJP720922 NTL720918:NTL720922 ODH720918:ODH720922 OND720918:OND720922 OWZ720918:OWZ720922 PGV720918:PGV720922 PQR720918:PQR720922 QAN720918:QAN720922 QKJ720918:QKJ720922 QUF720918:QUF720922 REB720918:REB720922 RNX720918:RNX720922 RXT720918:RXT720922 SHP720918:SHP720922 SRL720918:SRL720922 TBH720918:TBH720922 TLD720918:TLD720922 TUZ720918:TUZ720922 UEV720918:UEV720922 UOR720918:UOR720922 UYN720918:UYN720922 VIJ720918:VIJ720922 VSF720918:VSF720922 WCB720918:WCB720922 WLX720918:WLX720922 WVT720918:WVT720922 L786454:L786458 JH786454:JH786458 TD786454:TD786458 ACZ786454:ACZ786458 AMV786454:AMV786458 AWR786454:AWR786458 BGN786454:BGN786458 BQJ786454:BQJ786458 CAF786454:CAF786458 CKB786454:CKB786458 CTX786454:CTX786458 DDT786454:DDT786458 DNP786454:DNP786458 DXL786454:DXL786458 EHH786454:EHH786458 ERD786454:ERD786458 FAZ786454:FAZ786458 FKV786454:FKV786458 FUR786454:FUR786458 GEN786454:GEN786458 GOJ786454:GOJ786458 GYF786454:GYF786458 HIB786454:HIB786458 HRX786454:HRX786458 IBT786454:IBT786458 ILP786454:ILP786458 IVL786454:IVL786458 JFH786454:JFH786458 JPD786454:JPD786458 JYZ786454:JYZ786458 KIV786454:KIV786458 KSR786454:KSR786458 LCN786454:LCN786458 LMJ786454:LMJ786458 LWF786454:LWF786458 MGB786454:MGB786458 MPX786454:MPX786458 MZT786454:MZT786458 NJP786454:NJP786458 NTL786454:NTL786458 ODH786454:ODH786458 OND786454:OND786458 OWZ786454:OWZ786458 PGV786454:PGV786458 PQR786454:PQR786458 QAN786454:QAN786458 QKJ786454:QKJ786458 QUF786454:QUF786458 REB786454:REB786458 RNX786454:RNX786458 RXT786454:RXT786458 SHP786454:SHP786458 SRL786454:SRL786458 TBH786454:TBH786458 TLD786454:TLD786458 TUZ786454:TUZ786458 UEV786454:UEV786458 UOR786454:UOR786458 UYN786454:UYN786458 VIJ786454:VIJ786458 VSF786454:VSF786458 WCB786454:WCB786458 WLX786454:WLX786458 WVT786454:WVT786458 L851990:L851994 JH851990:JH851994 TD851990:TD851994 ACZ851990:ACZ851994 AMV851990:AMV851994 AWR851990:AWR851994 BGN851990:BGN851994 BQJ851990:BQJ851994 CAF851990:CAF851994 CKB851990:CKB851994 CTX851990:CTX851994 DDT851990:DDT851994 DNP851990:DNP851994 DXL851990:DXL851994 EHH851990:EHH851994 ERD851990:ERD851994 FAZ851990:FAZ851994 FKV851990:FKV851994 FUR851990:FUR851994 GEN851990:GEN851994 GOJ851990:GOJ851994 GYF851990:GYF851994 HIB851990:HIB851994 HRX851990:HRX851994 IBT851990:IBT851994 ILP851990:ILP851994 IVL851990:IVL851994 JFH851990:JFH851994 JPD851990:JPD851994 JYZ851990:JYZ851994 KIV851990:KIV851994 KSR851990:KSR851994 LCN851990:LCN851994 LMJ851990:LMJ851994 LWF851990:LWF851994 MGB851990:MGB851994 MPX851990:MPX851994 MZT851990:MZT851994 NJP851990:NJP851994 NTL851990:NTL851994 ODH851990:ODH851994 OND851990:OND851994 OWZ851990:OWZ851994 PGV851990:PGV851994 PQR851990:PQR851994 QAN851990:QAN851994 QKJ851990:QKJ851994 QUF851990:QUF851994 REB851990:REB851994 RNX851990:RNX851994 RXT851990:RXT851994 SHP851990:SHP851994 SRL851990:SRL851994 TBH851990:TBH851994 TLD851990:TLD851994 TUZ851990:TUZ851994 UEV851990:UEV851994 UOR851990:UOR851994 UYN851990:UYN851994 VIJ851990:VIJ851994 VSF851990:VSF851994 WCB851990:WCB851994 WLX851990:WLX851994 WVT851990:WVT851994 L917526:L917530 JH917526:JH917530 TD917526:TD917530 ACZ917526:ACZ917530 AMV917526:AMV917530 AWR917526:AWR917530 BGN917526:BGN917530 BQJ917526:BQJ917530 CAF917526:CAF917530 CKB917526:CKB917530 CTX917526:CTX917530 DDT917526:DDT917530 DNP917526:DNP917530 DXL917526:DXL917530 EHH917526:EHH917530 ERD917526:ERD917530 FAZ917526:FAZ917530 FKV917526:FKV917530 FUR917526:FUR917530 GEN917526:GEN917530 GOJ917526:GOJ917530 GYF917526:GYF917530 HIB917526:HIB917530 HRX917526:HRX917530 IBT917526:IBT917530 ILP917526:ILP917530 IVL917526:IVL917530 JFH917526:JFH917530 JPD917526:JPD917530 JYZ917526:JYZ917530 KIV917526:KIV917530 KSR917526:KSR917530 LCN917526:LCN917530 LMJ917526:LMJ917530 LWF917526:LWF917530 MGB917526:MGB917530 MPX917526:MPX917530 MZT917526:MZT917530 NJP917526:NJP917530 NTL917526:NTL917530 ODH917526:ODH917530 OND917526:OND917530 OWZ917526:OWZ917530 PGV917526:PGV917530 PQR917526:PQR917530 QAN917526:QAN917530 QKJ917526:QKJ917530 QUF917526:QUF917530 REB917526:REB917530 RNX917526:RNX917530 RXT917526:RXT917530 SHP917526:SHP917530 SRL917526:SRL917530 TBH917526:TBH917530 TLD917526:TLD917530 TUZ917526:TUZ917530 UEV917526:UEV917530 UOR917526:UOR917530 UYN917526:UYN917530 VIJ917526:VIJ917530 VSF917526:VSF917530 WCB917526:WCB917530 WLX917526:WLX917530 WVT917526:WVT917530 L983062:L983066 JH983062:JH983066 TD983062:TD983066 ACZ983062:ACZ983066 AMV983062:AMV983066 AWR983062:AWR983066 BGN983062:BGN983066 BQJ983062:BQJ983066 CAF983062:CAF983066 CKB983062:CKB983066 CTX983062:CTX983066 DDT983062:DDT983066 DNP983062:DNP983066 DXL983062:DXL983066 EHH983062:EHH983066 ERD983062:ERD983066 FAZ983062:FAZ983066 FKV983062:FKV983066 FUR983062:FUR983066 GEN983062:GEN983066 GOJ983062:GOJ983066 GYF983062:GYF983066 HIB983062:HIB983066 HRX983062:HRX983066 IBT983062:IBT983066 ILP983062:ILP983066 IVL983062:IVL983066 JFH983062:JFH983066 JPD983062:JPD983066 JYZ983062:JYZ983066 KIV983062:KIV983066 KSR983062:KSR983066 LCN983062:LCN983066 LMJ983062:LMJ983066 LWF983062:LWF983066 MGB983062:MGB983066 MPX983062:MPX983066 MZT983062:MZT983066 NJP983062:NJP983066 NTL983062:NTL983066 ODH983062:ODH983066 OND983062:OND983066 OWZ983062:OWZ983066 PGV983062:PGV983066 PQR983062:PQR983066 QAN983062:QAN983066 QKJ983062:QKJ983066 QUF983062:QUF983066 REB983062:REB983066 RNX983062:RNX983066 RXT983062:RXT983066 SHP983062:SHP983066 SRL983062:SRL983066 TBH983062:TBH983066 TLD983062:TLD983066 TUZ983062:TUZ983066 UEV983062:UEV983066 UOR983062:UOR983066 UYN983062:UYN983066 VIJ983062:VIJ983066 VSF983062:VSF983066 WCB983062:WCB983066 WLX983062:WLX983066 WVT983062:WVT983066 L13:L15 JH13:JH15 TD13:TD15 ACZ13:ACZ15 AMV13:AMV15 AWR13:AWR15 BGN13:BGN15 BQJ13:BQJ15 CAF13:CAF15 CKB13:CKB15 CTX13:CTX15 DDT13:DDT15 DNP13:DNP15 DXL13:DXL15 EHH13:EHH15 ERD13:ERD15 FAZ13:FAZ15 FKV13:FKV15 FUR13:FUR15 GEN13:GEN15 GOJ13:GOJ15 GYF13:GYF15 HIB13:HIB15 HRX13:HRX15 IBT13:IBT15 ILP13:ILP15 IVL13:IVL15 JFH13:JFH15 JPD13:JPD15 JYZ13:JYZ15 KIV13:KIV15 KSR13:KSR15 LCN13:LCN15 LMJ13:LMJ15 LWF13:LWF15 MGB13:MGB15 MPX13:MPX15 MZT13:MZT15 NJP13:NJP15 NTL13:NTL15 ODH13:ODH15 OND13:OND15 OWZ13:OWZ15 PGV13:PGV15 PQR13:PQR15 QAN13:QAN15 QKJ13:QKJ15 QUF13:QUF15 REB13:REB15 RNX13:RNX15 RXT13:RXT15 SHP13:SHP15 SRL13:SRL15 TBH13:TBH15 TLD13:TLD15 TUZ13:TUZ15 UEV13:UEV15 UOR13:UOR15 UYN13:UYN15 VIJ13:VIJ15 VSF13:VSF15 WCB13:WCB15 WLX13:WLX15 WVT13:WVT15 L65549:L65551 JH65549:JH65551 TD65549:TD65551 ACZ65549:ACZ65551 AMV65549:AMV65551 AWR65549:AWR65551 BGN65549:BGN65551 BQJ65549:BQJ65551 CAF65549:CAF65551 CKB65549:CKB65551 CTX65549:CTX65551 DDT65549:DDT65551 DNP65549:DNP65551 DXL65549:DXL65551 EHH65549:EHH65551 ERD65549:ERD65551 FAZ65549:FAZ65551 FKV65549:FKV65551 FUR65549:FUR65551 GEN65549:GEN65551 GOJ65549:GOJ65551 GYF65549:GYF65551 HIB65549:HIB65551 HRX65549:HRX65551 IBT65549:IBT65551 ILP65549:ILP65551 IVL65549:IVL65551 JFH65549:JFH65551 JPD65549:JPD65551 JYZ65549:JYZ65551 KIV65549:KIV65551 KSR65549:KSR65551 LCN65549:LCN65551 LMJ65549:LMJ65551 LWF65549:LWF65551 MGB65549:MGB65551 MPX65549:MPX65551 MZT65549:MZT65551 NJP65549:NJP65551 NTL65549:NTL65551 ODH65549:ODH65551 OND65549:OND65551 OWZ65549:OWZ65551 PGV65549:PGV65551 PQR65549:PQR65551 QAN65549:QAN65551 QKJ65549:QKJ65551 QUF65549:QUF65551 REB65549:REB65551 RNX65549:RNX65551 RXT65549:RXT65551 SHP65549:SHP65551 SRL65549:SRL65551 TBH65549:TBH65551 TLD65549:TLD65551 TUZ65549:TUZ65551 UEV65549:UEV65551 UOR65549:UOR65551 UYN65549:UYN65551 VIJ65549:VIJ65551 VSF65549:VSF65551 WCB65549:WCB65551 WLX65549:WLX65551 WVT65549:WVT65551 L131085:L131087 JH131085:JH131087 TD131085:TD131087 ACZ131085:ACZ131087 AMV131085:AMV131087 AWR131085:AWR131087 BGN131085:BGN131087 BQJ131085:BQJ131087 CAF131085:CAF131087 CKB131085:CKB131087 CTX131085:CTX131087 DDT131085:DDT131087 DNP131085:DNP131087 DXL131085:DXL131087 EHH131085:EHH131087 ERD131085:ERD131087 FAZ131085:FAZ131087 FKV131085:FKV131087 FUR131085:FUR131087 GEN131085:GEN131087 GOJ131085:GOJ131087 GYF131085:GYF131087 HIB131085:HIB131087 HRX131085:HRX131087 IBT131085:IBT131087 ILP131085:ILP131087 IVL131085:IVL131087 JFH131085:JFH131087 JPD131085:JPD131087 JYZ131085:JYZ131087 KIV131085:KIV131087 KSR131085:KSR131087 LCN131085:LCN131087 LMJ131085:LMJ131087 LWF131085:LWF131087 MGB131085:MGB131087 MPX131085:MPX131087 MZT131085:MZT131087 NJP131085:NJP131087 NTL131085:NTL131087 ODH131085:ODH131087 OND131085:OND131087 OWZ131085:OWZ131087 PGV131085:PGV131087 PQR131085:PQR131087 QAN131085:QAN131087 QKJ131085:QKJ131087 QUF131085:QUF131087 REB131085:REB131087 RNX131085:RNX131087 RXT131085:RXT131087 SHP131085:SHP131087 SRL131085:SRL131087 TBH131085:TBH131087 TLD131085:TLD131087 TUZ131085:TUZ131087 UEV131085:UEV131087 UOR131085:UOR131087 UYN131085:UYN131087 VIJ131085:VIJ131087 VSF131085:VSF131087 WCB131085:WCB131087 WLX131085:WLX131087 WVT131085:WVT131087 L196621:L196623 JH196621:JH196623 TD196621:TD196623 ACZ196621:ACZ196623 AMV196621:AMV196623 AWR196621:AWR196623 BGN196621:BGN196623 BQJ196621:BQJ196623 CAF196621:CAF196623 CKB196621:CKB196623 CTX196621:CTX196623 DDT196621:DDT196623 DNP196621:DNP196623 DXL196621:DXL196623 EHH196621:EHH196623 ERD196621:ERD196623 FAZ196621:FAZ196623 FKV196621:FKV196623 FUR196621:FUR196623 GEN196621:GEN196623 GOJ196621:GOJ196623 GYF196621:GYF196623 HIB196621:HIB196623 HRX196621:HRX196623 IBT196621:IBT196623 ILP196621:ILP196623 IVL196621:IVL196623 JFH196621:JFH196623 JPD196621:JPD196623 JYZ196621:JYZ196623 KIV196621:KIV196623 KSR196621:KSR196623 LCN196621:LCN196623 LMJ196621:LMJ196623 LWF196621:LWF196623 MGB196621:MGB196623 MPX196621:MPX196623 MZT196621:MZT196623 NJP196621:NJP196623 NTL196621:NTL196623 ODH196621:ODH196623 OND196621:OND196623 OWZ196621:OWZ196623 PGV196621:PGV196623 PQR196621:PQR196623 QAN196621:QAN196623 QKJ196621:QKJ196623 QUF196621:QUF196623 REB196621:REB196623 RNX196621:RNX196623 RXT196621:RXT196623 SHP196621:SHP196623 SRL196621:SRL196623 TBH196621:TBH196623 TLD196621:TLD196623 TUZ196621:TUZ196623 UEV196621:UEV196623 UOR196621:UOR196623 UYN196621:UYN196623 VIJ196621:VIJ196623 VSF196621:VSF196623 WCB196621:WCB196623 WLX196621:WLX196623 WVT196621:WVT196623 L262157:L262159 JH262157:JH262159 TD262157:TD262159 ACZ262157:ACZ262159 AMV262157:AMV262159 AWR262157:AWR262159 BGN262157:BGN262159 BQJ262157:BQJ262159 CAF262157:CAF262159 CKB262157:CKB262159 CTX262157:CTX262159 DDT262157:DDT262159 DNP262157:DNP262159 DXL262157:DXL262159 EHH262157:EHH262159 ERD262157:ERD262159 FAZ262157:FAZ262159 FKV262157:FKV262159 FUR262157:FUR262159 GEN262157:GEN262159 GOJ262157:GOJ262159 GYF262157:GYF262159 HIB262157:HIB262159 HRX262157:HRX262159 IBT262157:IBT262159 ILP262157:ILP262159 IVL262157:IVL262159 JFH262157:JFH262159 JPD262157:JPD262159 JYZ262157:JYZ262159 KIV262157:KIV262159 KSR262157:KSR262159 LCN262157:LCN262159 LMJ262157:LMJ262159 LWF262157:LWF262159 MGB262157:MGB262159 MPX262157:MPX262159 MZT262157:MZT262159 NJP262157:NJP262159 NTL262157:NTL262159 ODH262157:ODH262159 OND262157:OND262159 OWZ262157:OWZ262159 PGV262157:PGV262159 PQR262157:PQR262159 QAN262157:QAN262159 QKJ262157:QKJ262159 QUF262157:QUF262159 REB262157:REB262159 RNX262157:RNX262159 RXT262157:RXT262159 SHP262157:SHP262159 SRL262157:SRL262159 TBH262157:TBH262159 TLD262157:TLD262159 TUZ262157:TUZ262159 UEV262157:UEV262159 UOR262157:UOR262159 UYN262157:UYN262159 VIJ262157:VIJ262159 VSF262157:VSF262159 WCB262157:WCB262159 WLX262157:WLX262159 WVT262157:WVT262159 L327693:L327695 JH327693:JH327695 TD327693:TD327695 ACZ327693:ACZ327695 AMV327693:AMV327695 AWR327693:AWR327695 BGN327693:BGN327695 BQJ327693:BQJ327695 CAF327693:CAF327695 CKB327693:CKB327695 CTX327693:CTX327695 DDT327693:DDT327695 DNP327693:DNP327695 DXL327693:DXL327695 EHH327693:EHH327695 ERD327693:ERD327695 FAZ327693:FAZ327695 FKV327693:FKV327695 FUR327693:FUR327695 GEN327693:GEN327695 GOJ327693:GOJ327695 GYF327693:GYF327695 HIB327693:HIB327695 HRX327693:HRX327695 IBT327693:IBT327695 ILP327693:ILP327695 IVL327693:IVL327695 JFH327693:JFH327695 JPD327693:JPD327695 JYZ327693:JYZ327695 KIV327693:KIV327695 KSR327693:KSR327695 LCN327693:LCN327695 LMJ327693:LMJ327695 LWF327693:LWF327695 MGB327693:MGB327695 MPX327693:MPX327695 MZT327693:MZT327695 NJP327693:NJP327695 NTL327693:NTL327695 ODH327693:ODH327695 OND327693:OND327695 OWZ327693:OWZ327695 PGV327693:PGV327695 PQR327693:PQR327695 QAN327693:QAN327695 QKJ327693:QKJ327695 QUF327693:QUF327695 REB327693:REB327695 RNX327693:RNX327695 RXT327693:RXT327695 SHP327693:SHP327695 SRL327693:SRL327695 TBH327693:TBH327695 TLD327693:TLD327695 TUZ327693:TUZ327695 UEV327693:UEV327695 UOR327693:UOR327695 UYN327693:UYN327695 VIJ327693:VIJ327695 VSF327693:VSF327695 WCB327693:WCB327695 WLX327693:WLX327695 WVT327693:WVT327695 L393229:L393231 JH393229:JH393231 TD393229:TD393231 ACZ393229:ACZ393231 AMV393229:AMV393231 AWR393229:AWR393231 BGN393229:BGN393231 BQJ393229:BQJ393231 CAF393229:CAF393231 CKB393229:CKB393231 CTX393229:CTX393231 DDT393229:DDT393231 DNP393229:DNP393231 DXL393229:DXL393231 EHH393229:EHH393231 ERD393229:ERD393231 FAZ393229:FAZ393231 FKV393229:FKV393231 FUR393229:FUR393231 GEN393229:GEN393231 GOJ393229:GOJ393231 GYF393229:GYF393231 HIB393229:HIB393231 HRX393229:HRX393231 IBT393229:IBT393231 ILP393229:ILP393231 IVL393229:IVL393231 JFH393229:JFH393231 JPD393229:JPD393231 JYZ393229:JYZ393231 KIV393229:KIV393231 KSR393229:KSR393231 LCN393229:LCN393231 LMJ393229:LMJ393231 LWF393229:LWF393231 MGB393229:MGB393231 MPX393229:MPX393231 MZT393229:MZT393231 NJP393229:NJP393231 NTL393229:NTL393231 ODH393229:ODH393231 OND393229:OND393231 OWZ393229:OWZ393231 PGV393229:PGV393231 PQR393229:PQR393231 QAN393229:QAN393231 QKJ393229:QKJ393231 QUF393229:QUF393231 REB393229:REB393231 RNX393229:RNX393231 RXT393229:RXT393231 SHP393229:SHP393231 SRL393229:SRL393231 TBH393229:TBH393231 TLD393229:TLD393231 TUZ393229:TUZ393231 UEV393229:UEV393231 UOR393229:UOR393231 UYN393229:UYN393231 VIJ393229:VIJ393231 VSF393229:VSF393231 WCB393229:WCB393231 WLX393229:WLX393231 WVT393229:WVT393231 L458765:L458767 JH458765:JH458767 TD458765:TD458767 ACZ458765:ACZ458767 AMV458765:AMV458767 AWR458765:AWR458767 BGN458765:BGN458767 BQJ458765:BQJ458767 CAF458765:CAF458767 CKB458765:CKB458767 CTX458765:CTX458767 DDT458765:DDT458767 DNP458765:DNP458767 DXL458765:DXL458767 EHH458765:EHH458767 ERD458765:ERD458767 FAZ458765:FAZ458767 FKV458765:FKV458767 FUR458765:FUR458767 GEN458765:GEN458767 GOJ458765:GOJ458767 GYF458765:GYF458767 HIB458765:HIB458767 HRX458765:HRX458767 IBT458765:IBT458767 ILP458765:ILP458767 IVL458765:IVL458767 JFH458765:JFH458767 JPD458765:JPD458767 JYZ458765:JYZ458767 KIV458765:KIV458767 KSR458765:KSR458767 LCN458765:LCN458767 LMJ458765:LMJ458767 LWF458765:LWF458767 MGB458765:MGB458767 MPX458765:MPX458767 MZT458765:MZT458767 NJP458765:NJP458767 NTL458765:NTL458767 ODH458765:ODH458767 OND458765:OND458767 OWZ458765:OWZ458767 PGV458765:PGV458767 PQR458765:PQR458767 QAN458765:QAN458767 QKJ458765:QKJ458767 QUF458765:QUF458767 REB458765:REB458767 RNX458765:RNX458767 RXT458765:RXT458767 SHP458765:SHP458767 SRL458765:SRL458767 TBH458765:TBH458767 TLD458765:TLD458767 TUZ458765:TUZ458767 UEV458765:UEV458767 UOR458765:UOR458767 UYN458765:UYN458767 VIJ458765:VIJ458767 VSF458765:VSF458767 WCB458765:WCB458767 WLX458765:WLX458767 WVT458765:WVT458767 L524301:L524303 JH524301:JH524303 TD524301:TD524303 ACZ524301:ACZ524303 AMV524301:AMV524303 AWR524301:AWR524303 BGN524301:BGN524303 BQJ524301:BQJ524303 CAF524301:CAF524303 CKB524301:CKB524303 CTX524301:CTX524303 DDT524301:DDT524303 DNP524301:DNP524303 DXL524301:DXL524303 EHH524301:EHH524303 ERD524301:ERD524303 FAZ524301:FAZ524303 FKV524301:FKV524303 FUR524301:FUR524303 GEN524301:GEN524303 GOJ524301:GOJ524303 GYF524301:GYF524303 HIB524301:HIB524303 HRX524301:HRX524303 IBT524301:IBT524303 ILP524301:ILP524303 IVL524301:IVL524303 JFH524301:JFH524303 JPD524301:JPD524303 JYZ524301:JYZ524303 KIV524301:KIV524303 KSR524301:KSR524303 LCN524301:LCN524303 LMJ524301:LMJ524303 LWF524301:LWF524303 MGB524301:MGB524303 MPX524301:MPX524303 MZT524301:MZT524303 NJP524301:NJP524303 NTL524301:NTL524303 ODH524301:ODH524303 OND524301:OND524303 OWZ524301:OWZ524303 PGV524301:PGV524303 PQR524301:PQR524303 QAN524301:QAN524303 QKJ524301:QKJ524303 QUF524301:QUF524303 REB524301:REB524303 RNX524301:RNX524303 RXT524301:RXT524303 SHP524301:SHP524303 SRL524301:SRL524303 TBH524301:TBH524303 TLD524301:TLD524303 TUZ524301:TUZ524303 UEV524301:UEV524303 UOR524301:UOR524303 UYN524301:UYN524303 VIJ524301:VIJ524303 VSF524301:VSF524303 WCB524301:WCB524303 WLX524301:WLX524303 WVT524301:WVT524303 L589837:L589839 JH589837:JH589839 TD589837:TD589839 ACZ589837:ACZ589839 AMV589837:AMV589839 AWR589837:AWR589839 BGN589837:BGN589839 BQJ589837:BQJ589839 CAF589837:CAF589839 CKB589837:CKB589839 CTX589837:CTX589839 DDT589837:DDT589839 DNP589837:DNP589839 DXL589837:DXL589839 EHH589837:EHH589839 ERD589837:ERD589839 FAZ589837:FAZ589839 FKV589837:FKV589839 FUR589837:FUR589839 GEN589837:GEN589839 GOJ589837:GOJ589839 GYF589837:GYF589839 HIB589837:HIB589839 HRX589837:HRX589839 IBT589837:IBT589839 ILP589837:ILP589839 IVL589837:IVL589839 JFH589837:JFH589839 JPD589837:JPD589839 JYZ589837:JYZ589839 KIV589837:KIV589839 KSR589837:KSR589839 LCN589837:LCN589839 LMJ589837:LMJ589839 LWF589837:LWF589839 MGB589837:MGB589839 MPX589837:MPX589839 MZT589837:MZT589839 NJP589837:NJP589839 NTL589837:NTL589839 ODH589837:ODH589839 OND589837:OND589839 OWZ589837:OWZ589839 PGV589837:PGV589839 PQR589837:PQR589839 QAN589837:QAN589839 QKJ589837:QKJ589839 QUF589837:QUF589839 REB589837:REB589839 RNX589837:RNX589839 RXT589837:RXT589839 SHP589837:SHP589839 SRL589837:SRL589839 TBH589837:TBH589839 TLD589837:TLD589839 TUZ589837:TUZ589839 UEV589837:UEV589839 UOR589837:UOR589839 UYN589837:UYN589839 VIJ589837:VIJ589839 VSF589837:VSF589839 WCB589837:WCB589839 WLX589837:WLX589839 WVT589837:WVT589839 L655373:L655375 JH655373:JH655375 TD655373:TD655375 ACZ655373:ACZ655375 AMV655373:AMV655375 AWR655373:AWR655375 BGN655373:BGN655375 BQJ655373:BQJ655375 CAF655373:CAF655375 CKB655373:CKB655375 CTX655373:CTX655375 DDT655373:DDT655375 DNP655373:DNP655375 DXL655373:DXL655375 EHH655373:EHH655375 ERD655373:ERD655375 FAZ655373:FAZ655375 FKV655373:FKV655375 FUR655373:FUR655375 GEN655373:GEN655375 GOJ655373:GOJ655375 GYF655373:GYF655375 HIB655373:HIB655375 HRX655373:HRX655375 IBT655373:IBT655375 ILP655373:ILP655375 IVL655373:IVL655375 JFH655373:JFH655375 JPD655373:JPD655375 JYZ655373:JYZ655375 KIV655373:KIV655375 KSR655373:KSR655375 LCN655373:LCN655375 LMJ655373:LMJ655375 LWF655373:LWF655375 MGB655373:MGB655375 MPX655373:MPX655375 MZT655373:MZT655375 NJP655373:NJP655375 NTL655373:NTL655375 ODH655373:ODH655375 OND655373:OND655375 OWZ655373:OWZ655375 PGV655373:PGV655375 PQR655373:PQR655375 QAN655373:QAN655375 QKJ655373:QKJ655375 QUF655373:QUF655375 REB655373:REB655375 RNX655373:RNX655375 RXT655373:RXT655375 SHP655373:SHP655375 SRL655373:SRL655375 TBH655373:TBH655375 TLD655373:TLD655375 TUZ655373:TUZ655375 UEV655373:UEV655375 UOR655373:UOR655375 UYN655373:UYN655375 VIJ655373:VIJ655375 VSF655373:VSF655375 WCB655373:WCB655375 WLX655373:WLX655375 WVT655373:WVT655375 L720909:L720911 JH720909:JH720911 TD720909:TD720911 ACZ720909:ACZ720911 AMV720909:AMV720911 AWR720909:AWR720911 BGN720909:BGN720911 BQJ720909:BQJ720911 CAF720909:CAF720911 CKB720909:CKB720911 CTX720909:CTX720911 DDT720909:DDT720911 DNP720909:DNP720911 DXL720909:DXL720911 EHH720909:EHH720911 ERD720909:ERD720911 FAZ720909:FAZ720911 FKV720909:FKV720911 FUR720909:FUR720911 GEN720909:GEN720911 GOJ720909:GOJ720911 GYF720909:GYF720911 HIB720909:HIB720911 HRX720909:HRX720911 IBT720909:IBT720911 ILP720909:ILP720911 IVL720909:IVL720911 JFH720909:JFH720911 JPD720909:JPD720911 JYZ720909:JYZ720911 KIV720909:KIV720911 KSR720909:KSR720911 LCN720909:LCN720911 LMJ720909:LMJ720911 LWF720909:LWF720911 MGB720909:MGB720911 MPX720909:MPX720911 MZT720909:MZT720911 NJP720909:NJP720911 NTL720909:NTL720911 ODH720909:ODH720911 OND720909:OND720911 OWZ720909:OWZ720911 PGV720909:PGV720911 PQR720909:PQR720911 QAN720909:QAN720911 QKJ720909:QKJ720911 QUF720909:QUF720911 REB720909:REB720911 RNX720909:RNX720911 RXT720909:RXT720911 SHP720909:SHP720911 SRL720909:SRL720911 TBH720909:TBH720911 TLD720909:TLD720911 TUZ720909:TUZ720911 UEV720909:UEV720911 UOR720909:UOR720911 UYN720909:UYN720911 VIJ720909:VIJ720911 VSF720909:VSF720911 WCB720909:WCB720911 WLX720909:WLX720911 WVT720909:WVT720911 L786445:L786447 JH786445:JH786447 TD786445:TD786447 ACZ786445:ACZ786447 AMV786445:AMV786447 AWR786445:AWR786447 BGN786445:BGN786447 BQJ786445:BQJ786447 CAF786445:CAF786447 CKB786445:CKB786447 CTX786445:CTX786447 DDT786445:DDT786447 DNP786445:DNP786447 DXL786445:DXL786447 EHH786445:EHH786447 ERD786445:ERD786447 FAZ786445:FAZ786447 FKV786445:FKV786447 FUR786445:FUR786447 GEN786445:GEN786447 GOJ786445:GOJ786447 GYF786445:GYF786447 HIB786445:HIB786447 HRX786445:HRX786447 IBT786445:IBT786447 ILP786445:ILP786447 IVL786445:IVL786447 JFH786445:JFH786447 JPD786445:JPD786447 JYZ786445:JYZ786447 KIV786445:KIV786447 KSR786445:KSR786447 LCN786445:LCN786447 LMJ786445:LMJ786447 LWF786445:LWF786447 MGB786445:MGB786447 MPX786445:MPX786447 MZT786445:MZT786447 NJP786445:NJP786447 NTL786445:NTL786447 ODH786445:ODH786447 OND786445:OND786447 OWZ786445:OWZ786447 PGV786445:PGV786447 PQR786445:PQR786447 QAN786445:QAN786447 QKJ786445:QKJ786447 QUF786445:QUF786447 REB786445:REB786447 RNX786445:RNX786447 RXT786445:RXT786447 SHP786445:SHP786447 SRL786445:SRL786447 TBH786445:TBH786447 TLD786445:TLD786447 TUZ786445:TUZ786447 UEV786445:UEV786447 UOR786445:UOR786447 UYN786445:UYN786447 VIJ786445:VIJ786447 VSF786445:VSF786447 WCB786445:WCB786447 WLX786445:WLX786447 WVT786445:WVT786447 L851981:L851983 JH851981:JH851983 TD851981:TD851983 ACZ851981:ACZ851983 AMV851981:AMV851983 AWR851981:AWR851983 BGN851981:BGN851983 BQJ851981:BQJ851983 CAF851981:CAF851983 CKB851981:CKB851983 CTX851981:CTX851983 DDT851981:DDT851983 DNP851981:DNP851983 DXL851981:DXL851983 EHH851981:EHH851983 ERD851981:ERD851983 FAZ851981:FAZ851983 FKV851981:FKV851983 FUR851981:FUR851983 GEN851981:GEN851983 GOJ851981:GOJ851983 GYF851981:GYF851983 HIB851981:HIB851983 HRX851981:HRX851983 IBT851981:IBT851983 ILP851981:ILP851983 IVL851981:IVL851983 JFH851981:JFH851983 JPD851981:JPD851983 JYZ851981:JYZ851983 KIV851981:KIV851983 KSR851981:KSR851983 LCN851981:LCN851983 LMJ851981:LMJ851983 LWF851981:LWF851983 MGB851981:MGB851983 MPX851981:MPX851983 MZT851981:MZT851983 NJP851981:NJP851983 NTL851981:NTL851983 ODH851981:ODH851983 OND851981:OND851983 OWZ851981:OWZ851983 PGV851981:PGV851983 PQR851981:PQR851983 QAN851981:QAN851983 QKJ851981:QKJ851983 QUF851981:QUF851983 REB851981:REB851983 RNX851981:RNX851983 RXT851981:RXT851983 SHP851981:SHP851983 SRL851981:SRL851983 TBH851981:TBH851983 TLD851981:TLD851983 TUZ851981:TUZ851983 UEV851981:UEV851983 UOR851981:UOR851983 UYN851981:UYN851983 VIJ851981:VIJ851983 VSF851981:VSF851983 WCB851981:WCB851983 WLX851981:WLX851983 WVT851981:WVT851983 L917517:L917519 JH917517:JH917519 TD917517:TD917519 ACZ917517:ACZ917519 AMV917517:AMV917519 AWR917517:AWR917519 BGN917517:BGN917519 BQJ917517:BQJ917519 CAF917517:CAF917519 CKB917517:CKB917519 CTX917517:CTX917519 DDT917517:DDT917519 DNP917517:DNP917519 DXL917517:DXL917519 EHH917517:EHH917519 ERD917517:ERD917519 FAZ917517:FAZ917519 FKV917517:FKV917519 FUR917517:FUR917519 GEN917517:GEN917519 GOJ917517:GOJ917519 GYF917517:GYF917519 HIB917517:HIB917519 HRX917517:HRX917519 IBT917517:IBT917519 ILP917517:ILP917519 IVL917517:IVL917519 JFH917517:JFH917519 JPD917517:JPD917519 JYZ917517:JYZ917519 KIV917517:KIV917519 KSR917517:KSR917519 LCN917517:LCN917519 LMJ917517:LMJ917519 LWF917517:LWF917519 MGB917517:MGB917519 MPX917517:MPX917519 MZT917517:MZT917519 NJP917517:NJP917519 NTL917517:NTL917519 ODH917517:ODH917519 OND917517:OND917519 OWZ917517:OWZ917519 PGV917517:PGV917519 PQR917517:PQR917519 QAN917517:QAN917519 QKJ917517:QKJ917519 QUF917517:QUF917519 REB917517:REB917519 RNX917517:RNX917519 RXT917517:RXT917519 SHP917517:SHP917519 SRL917517:SRL917519 TBH917517:TBH917519 TLD917517:TLD917519 TUZ917517:TUZ917519 UEV917517:UEV917519 UOR917517:UOR917519 UYN917517:UYN917519 VIJ917517:VIJ917519 VSF917517:VSF917519 WCB917517:WCB917519 WLX917517:WLX917519 WVT917517:WVT917519 L983053:L983055 JH983053:JH983055 TD983053:TD983055 ACZ983053:ACZ983055 AMV983053:AMV983055 AWR983053:AWR983055 BGN983053:BGN983055 BQJ983053:BQJ983055 CAF983053:CAF983055 CKB983053:CKB983055 CTX983053:CTX983055 DDT983053:DDT983055 DNP983053:DNP983055 DXL983053:DXL983055 EHH983053:EHH983055 ERD983053:ERD983055 FAZ983053:FAZ983055 FKV983053:FKV983055 FUR983053:FUR983055 GEN983053:GEN983055 GOJ983053:GOJ983055 GYF983053:GYF983055 HIB983053:HIB983055 HRX983053:HRX983055 IBT983053:IBT983055 ILP983053:ILP983055 IVL983053:IVL983055 JFH983053:JFH983055 JPD983053:JPD983055 JYZ983053:JYZ983055 KIV983053:KIV983055 KSR983053:KSR983055 LCN983053:LCN983055 LMJ983053:LMJ983055 LWF983053:LWF983055 MGB983053:MGB983055 MPX983053:MPX983055 MZT983053:MZT983055 NJP983053:NJP983055 NTL983053:NTL983055 ODH983053:ODH983055 OND983053:OND983055 OWZ983053:OWZ983055 PGV983053:PGV983055 PQR983053:PQR983055 QAN983053:QAN983055 QKJ983053:QKJ983055 QUF983053:QUF983055 REB983053:REB983055 RNX983053:RNX983055 RXT983053:RXT983055 SHP983053:SHP983055 SRL983053:SRL983055 TBH983053:TBH983055 TLD983053:TLD983055 TUZ983053:TUZ983055 UEV983053:UEV983055 UOR983053:UOR983055 UYN983053:UYN983055 VIJ983053:VIJ983055 VSF983053:VSF983055 WCB983053:WCB983055 WLX983053:WLX983055 WVT983053:WVT983055 K162:K192 JG162:JG192 TC162:TC192 ACY162:ACY192 AMU162:AMU192 AWQ162:AWQ192 BGM162:BGM192 BQI162:BQI192 CAE162:CAE192 CKA162:CKA192 CTW162:CTW192 DDS162:DDS192 DNO162:DNO192 DXK162:DXK192 EHG162:EHG192 ERC162:ERC192 FAY162:FAY192 FKU162:FKU192 FUQ162:FUQ192 GEM162:GEM192 GOI162:GOI192 GYE162:GYE192 HIA162:HIA192 HRW162:HRW192 IBS162:IBS192 ILO162:ILO192 IVK162:IVK192 JFG162:JFG192 JPC162:JPC192 JYY162:JYY192 KIU162:KIU192 KSQ162:KSQ192 LCM162:LCM192 LMI162:LMI192 LWE162:LWE192 MGA162:MGA192 MPW162:MPW192 MZS162:MZS192 NJO162:NJO192 NTK162:NTK192 ODG162:ODG192 ONC162:ONC192 OWY162:OWY192 PGU162:PGU192 PQQ162:PQQ192 QAM162:QAM192 QKI162:QKI192 QUE162:QUE192 REA162:REA192 RNW162:RNW192 RXS162:RXS192 SHO162:SHO192 SRK162:SRK192 TBG162:TBG192 TLC162:TLC192 TUY162:TUY192 UEU162:UEU192 UOQ162:UOQ192 UYM162:UYM192 VII162:VII192 VSE162:VSE192 WCA162:WCA192 WLW162:WLW192 WVS162:WVS192 K65698:K65728 JG65698:JG65728 TC65698:TC65728 ACY65698:ACY65728 AMU65698:AMU65728 AWQ65698:AWQ65728 BGM65698:BGM65728 BQI65698:BQI65728 CAE65698:CAE65728 CKA65698:CKA65728 CTW65698:CTW65728 DDS65698:DDS65728 DNO65698:DNO65728 DXK65698:DXK65728 EHG65698:EHG65728 ERC65698:ERC65728 FAY65698:FAY65728 FKU65698:FKU65728 FUQ65698:FUQ65728 GEM65698:GEM65728 GOI65698:GOI65728 GYE65698:GYE65728 HIA65698:HIA65728 HRW65698:HRW65728 IBS65698:IBS65728 ILO65698:ILO65728 IVK65698:IVK65728 JFG65698:JFG65728 JPC65698:JPC65728 JYY65698:JYY65728 KIU65698:KIU65728 KSQ65698:KSQ65728 LCM65698:LCM65728 LMI65698:LMI65728 LWE65698:LWE65728 MGA65698:MGA65728 MPW65698:MPW65728 MZS65698:MZS65728 NJO65698:NJO65728 NTK65698:NTK65728 ODG65698:ODG65728 ONC65698:ONC65728 OWY65698:OWY65728 PGU65698:PGU65728 PQQ65698:PQQ65728 QAM65698:QAM65728 QKI65698:QKI65728 QUE65698:QUE65728 REA65698:REA65728 RNW65698:RNW65728 RXS65698:RXS65728 SHO65698:SHO65728 SRK65698:SRK65728 TBG65698:TBG65728 TLC65698:TLC65728 TUY65698:TUY65728 UEU65698:UEU65728 UOQ65698:UOQ65728 UYM65698:UYM65728 VII65698:VII65728 VSE65698:VSE65728 WCA65698:WCA65728 WLW65698:WLW65728 WVS65698:WVS65728 K131234:K131264 JG131234:JG131264 TC131234:TC131264 ACY131234:ACY131264 AMU131234:AMU131264 AWQ131234:AWQ131264 BGM131234:BGM131264 BQI131234:BQI131264 CAE131234:CAE131264 CKA131234:CKA131264 CTW131234:CTW131264 DDS131234:DDS131264 DNO131234:DNO131264 DXK131234:DXK131264 EHG131234:EHG131264 ERC131234:ERC131264 FAY131234:FAY131264 FKU131234:FKU131264 FUQ131234:FUQ131264 GEM131234:GEM131264 GOI131234:GOI131264 GYE131234:GYE131264 HIA131234:HIA131264 HRW131234:HRW131264 IBS131234:IBS131264 ILO131234:ILO131264 IVK131234:IVK131264 JFG131234:JFG131264 JPC131234:JPC131264 JYY131234:JYY131264 KIU131234:KIU131264 KSQ131234:KSQ131264 LCM131234:LCM131264 LMI131234:LMI131264 LWE131234:LWE131264 MGA131234:MGA131264 MPW131234:MPW131264 MZS131234:MZS131264 NJO131234:NJO131264 NTK131234:NTK131264 ODG131234:ODG131264 ONC131234:ONC131264 OWY131234:OWY131264 PGU131234:PGU131264 PQQ131234:PQQ131264 QAM131234:QAM131264 QKI131234:QKI131264 QUE131234:QUE131264 REA131234:REA131264 RNW131234:RNW131264 RXS131234:RXS131264 SHO131234:SHO131264 SRK131234:SRK131264 TBG131234:TBG131264 TLC131234:TLC131264 TUY131234:TUY131264 UEU131234:UEU131264 UOQ131234:UOQ131264 UYM131234:UYM131264 VII131234:VII131264 VSE131234:VSE131264 WCA131234:WCA131264 WLW131234:WLW131264 WVS131234:WVS131264 K196770:K196800 JG196770:JG196800 TC196770:TC196800 ACY196770:ACY196800 AMU196770:AMU196800 AWQ196770:AWQ196800 BGM196770:BGM196800 BQI196770:BQI196800 CAE196770:CAE196800 CKA196770:CKA196800 CTW196770:CTW196800 DDS196770:DDS196800 DNO196770:DNO196800 DXK196770:DXK196800 EHG196770:EHG196800 ERC196770:ERC196800 FAY196770:FAY196800 FKU196770:FKU196800 FUQ196770:FUQ196800 GEM196770:GEM196800 GOI196770:GOI196800 GYE196770:GYE196800 HIA196770:HIA196800 HRW196770:HRW196800 IBS196770:IBS196800 ILO196770:ILO196800 IVK196770:IVK196800 JFG196770:JFG196800 JPC196770:JPC196800 JYY196770:JYY196800 KIU196770:KIU196800 KSQ196770:KSQ196800 LCM196770:LCM196800 LMI196770:LMI196800 LWE196770:LWE196800 MGA196770:MGA196800 MPW196770:MPW196800 MZS196770:MZS196800 NJO196770:NJO196800 NTK196770:NTK196800 ODG196770:ODG196800 ONC196770:ONC196800 OWY196770:OWY196800 PGU196770:PGU196800 PQQ196770:PQQ196800 QAM196770:QAM196800 QKI196770:QKI196800 QUE196770:QUE196800 REA196770:REA196800 RNW196770:RNW196800 RXS196770:RXS196800 SHO196770:SHO196800 SRK196770:SRK196800 TBG196770:TBG196800 TLC196770:TLC196800 TUY196770:TUY196800 UEU196770:UEU196800 UOQ196770:UOQ196800 UYM196770:UYM196800 VII196770:VII196800 VSE196770:VSE196800 WCA196770:WCA196800 WLW196770:WLW196800 WVS196770:WVS196800 K262306:K262336 JG262306:JG262336 TC262306:TC262336 ACY262306:ACY262336 AMU262306:AMU262336 AWQ262306:AWQ262336 BGM262306:BGM262336 BQI262306:BQI262336 CAE262306:CAE262336 CKA262306:CKA262336 CTW262306:CTW262336 DDS262306:DDS262336 DNO262306:DNO262336 DXK262306:DXK262336 EHG262306:EHG262336 ERC262306:ERC262336 FAY262306:FAY262336 FKU262306:FKU262336 FUQ262306:FUQ262336 GEM262306:GEM262336 GOI262306:GOI262336 GYE262306:GYE262336 HIA262306:HIA262336 HRW262306:HRW262336 IBS262306:IBS262336 ILO262306:ILO262336 IVK262306:IVK262336 JFG262306:JFG262336 JPC262306:JPC262336 JYY262306:JYY262336 KIU262306:KIU262336 KSQ262306:KSQ262336 LCM262306:LCM262336 LMI262306:LMI262336 LWE262306:LWE262336 MGA262306:MGA262336 MPW262306:MPW262336 MZS262306:MZS262336 NJO262306:NJO262336 NTK262306:NTK262336 ODG262306:ODG262336 ONC262306:ONC262336 OWY262306:OWY262336 PGU262306:PGU262336 PQQ262306:PQQ262336 QAM262306:QAM262336 QKI262306:QKI262336 QUE262306:QUE262336 REA262306:REA262336 RNW262306:RNW262336 RXS262306:RXS262336 SHO262306:SHO262336 SRK262306:SRK262336 TBG262306:TBG262336 TLC262306:TLC262336 TUY262306:TUY262336 UEU262306:UEU262336 UOQ262306:UOQ262336 UYM262306:UYM262336 VII262306:VII262336 VSE262306:VSE262336 WCA262306:WCA262336 WLW262306:WLW262336 WVS262306:WVS262336 K327842:K327872 JG327842:JG327872 TC327842:TC327872 ACY327842:ACY327872 AMU327842:AMU327872 AWQ327842:AWQ327872 BGM327842:BGM327872 BQI327842:BQI327872 CAE327842:CAE327872 CKA327842:CKA327872 CTW327842:CTW327872 DDS327842:DDS327872 DNO327842:DNO327872 DXK327842:DXK327872 EHG327842:EHG327872 ERC327842:ERC327872 FAY327842:FAY327872 FKU327842:FKU327872 FUQ327842:FUQ327872 GEM327842:GEM327872 GOI327842:GOI327872 GYE327842:GYE327872 HIA327842:HIA327872 HRW327842:HRW327872 IBS327842:IBS327872 ILO327842:ILO327872 IVK327842:IVK327872 JFG327842:JFG327872 JPC327842:JPC327872 JYY327842:JYY327872 KIU327842:KIU327872 KSQ327842:KSQ327872 LCM327842:LCM327872 LMI327842:LMI327872 LWE327842:LWE327872 MGA327842:MGA327872 MPW327842:MPW327872 MZS327842:MZS327872 NJO327842:NJO327872 NTK327842:NTK327872 ODG327842:ODG327872 ONC327842:ONC327872 OWY327842:OWY327872 PGU327842:PGU327872 PQQ327842:PQQ327872 QAM327842:QAM327872 QKI327842:QKI327872 QUE327842:QUE327872 REA327842:REA327872 RNW327842:RNW327872 RXS327842:RXS327872 SHO327842:SHO327872 SRK327842:SRK327872 TBG327842:TBG327872 TLC327842:TLC327872 TUY327842:TUY327872 UEU327842:UEU327872 UOQ327842:UOQ327872 UYM327842:UYM327872 VII327842:VII327872 VSE327842:VSE327872 WCA327842:WCA327872 WLW327842:WLW327872 WVS327842:WVS327872 K393378:K393408 JG393378:JG393408 TC393378:TC393408 ACY393378:ACY393408 AMU393378:AMU393408 AWQ393378:AWQ393408 BGM393378:BGM393408 BQI393378:BQI393408 CAE393378:CAE393408 CKA393378:CKA393408 CTW393378:CTW393408 DDS393378:DDS393408 DNO393378:DNO393408 DXK393378:DXK393408 EHG393378:EHG393408 ERC393378:ERC393408 FAY393378:FAY393408 FKU393378:FKU393408 FUQ393378:FUQ393408 GEM393378:GEM393408 GOI393378:GOI393408 GYE393378:GYE393408 HIA393378:HIA393408 HRW393378:HRW393408 IBS393378:IBS393408 ILO393378:ILO393408 IVK393378:IVK393408 JFG393378:JFG393408 JPC393378:JPC393408 JYY393378:JYY393408 KIU393378:KIU393408 KSQ393378:KSQ393408 LCM393378:LCM393408 LMI393378:LMI393408 LWE393378:LWE393408 MGA393378:MGA393408 MPW393378:MPW393408 MZS393378:MZS393408 NJO393378:NJO393408 NTK393378:NTK393408 ODG393378:ODG393408 ONC393378:ONC393408 OWY393378:OWY393408 PGU393378:PGU393408 PQQ393378:PQQ393408 QAM393378:QAM393408 QKI393378:QKI393408 QUE393378:QUE393408 REA393378:REA393408 RNW393378:RNW393408 RXS393378:RXS393408 SHO393378:SHO393408 SRK393378:SRK393408 TBG393378:TBG393408 TLC393378:TLC393408 TUY393378:TUY393408 UEU393378:UEU393408 UOQ393378:UOQ393408 UYM393378:UYM393408 VII393378:VII393408 VSE393378:VSE393408 WCA393378:WCA393408 WLW393378:WLW393408 WVS393378:WVS393408 K458914:K458944 JG458914:JG458944 TC458914:TC458944 ACY458914:ACY458944 AMU458914:AMU458944 AWQ458914:AWQ458944 BGM458914:BGM458944 BQI458914:BQI458944 CAE458914:CAE458944 CKA458914:CKA458944 CTW458914:CTW458944 DDS458914:DDS458944 DNO458914:DNO458944 DXK458914:DXK458944 EHG458914:EHG458944 ERC458914:ERC458944 FAY458914:FAY458944 FKU458914:FKU458944 FUQ458914:FUQ458944 GEM458914:GEM458944 GOI458914:GOI458944 GYE458914:GYE458944 HIA458914:HIA458944 HRW458914:HRW458944 IBS458914:IBS458944 ILO458914:ILO458944 IVK458914:IVK458944 JFG458914:JFG458944 JPC458914:JPC458944 JYY458914:JYY458944 KIU458914:KIU458944 KSQ458914:KSQ458944 LCM458914:LCM458944 LMI458914:LMI458944 LWE458914:LWE458944 MGA458914:MGA458944 MPW458914:MPW458944 MZS458914:MZS458944 NJO458914:NJO458944 NTK458914:NTK458944 ODG458914:ODG458944 ONC458914:ONC458944 OWY458914:OWY458944 PGU458914:PGU458944 PQQ458914:PQQ458944 QAM458914:QAM458944 QKI458914:QKI458944 QUE458914:QUE458944 REA458914:REA458944 RNW458914:RNW458944 RXS458914:RXS458944 SHO458914:SHO458944 SRK458914:SRK458944 TBG458914:TBG458944 TLC458914:TLC458944 TUY458914:TUY458944 UEU458914:UEU458944 UOQ458914:UOQ458944 UYM458914:UYM458944 VII458914:VII458944 VSE458914:VSE458944 WCA458914:WCA458944 WLW458914:WLW458944 WVS458914:WVS458944 K524450:K524480 JG524450:JG524480 TC524450:TC524480 ACY524450:ACY524480 AMU524450:AMU524480 AWQ524450:AWQ524480 BGM524450:BGM524480 BQI524450:BQI524480 CAE524450:CAE524480 CKA524450:CKA524480 CTW524450:CTW524480 DDS524450:DDS524480 DNO524450:DNO524480 DXK524450:DXK524480 EHG524450:EHG524480 ERC524450:ERC524480 FAY524450:FAY524480 FKU524450:FKU524480 FUQ524450:FUQ524480 GEM524450:GEM524480 GOI524450:GOI524480 GYE524450:GYE524480 HIA524450:HIA524480 HRW524450:HRW524480 IBS524450:IBS524480 ILO524450:ILO524480 IVK524450:IVK524480 JFG524450:JFG524480 JPC524450:JPC524480 JYY524450:JYY524480 KIU524450:KIU524480 KSQ524450:KSQ524480 LCM524450:LCM524480 LMI524450:LMI524480 LWE524450:LWE524480 MGA524450:MGA524480 MPW524450:MPW524480 MZS524450:MZS524480 NJO524450:NJO524480 NTK524450:NTK524480 ODG524450:ODG524480 ONC524450:ONC524480 OWY524450:OWY524480 PGU524450:PGU524480 PQQ524450:PQQ524480 QAM524450:QAM524480 QKI524450:QKI524480 QUE524450:QUE524480 REA524450:REA524480 RNW524450:RNW524480 RXS524450:RXS524480 SHO524450:SHO524480 SRK524450:SRK524480 TBG524450:TBG524480 TLC524450:TLC524480 TUY524450:TUY524480 UEU524450:UEU524480 UOQ524450:UOQ524480 UYM524450:UYM524480 VII524450:VII524480 VSE524450:VSE524480 WCA524450:WCA524480 WLW524450:WLW524480 WVS524450:WVS524480 K589986:K590016 JG589986:JG590016 TC589986:TC590016 ACY589986:ACY590016 AMU589986:AMU590016 AWQ589986:AWQ590016 BGM589986:BGM590016 BQI589986:BQI590016 CAE589986:CAE590016 CKA589986:CKA590016 CTW589986:CTW590016 DDS589986:DDS590016 DNO589986:DNO590016 DXK589986:DXK590016 EHG589986:EHG590016 ERC589986:ERC590016 FAY589986:FAY590016 FKU589986:FKU590016 FUQ589986:FUQ590016 GEM589986:GEM590016 GOI589986:GOI590016 GYE589986:GYE590016 HIA589986:HIA590016 HRW589986:HRW590016 IBS589986:IBS590016 ILO589986:ILO590016 IVK589986:IVK590016 JFG589986:JFG590016 JPC589986:JPC590016 JYY589986:JYY590016 KIU589986:KIU590016 KSQ589986:KSQ590016 LCM589986:LCM590016 LMI589986:LMI590016 LWE589986:LWE590016 MGA589986:MGA590016 MPW589986:MPW590016 MZS589986:MZS590016 NJO589986:NJO590016 NTK589986:NTK590016 ODG589986:ODG590016 ONC589986:ONC590016 OWY589986:OWY590016 PGU589986:PGU590016 PQQ589986:PQQ590016 QAM589986:QAM590016 QKI589986:QKI590016 QUE589986:QUE590016 REA589986:REA590016 RNW589986:RNW590016 RXS589986:RXS590016 SHO589986:SHO590016 SRK589986:SRK590016 TBG589986:TBG590016 TLC589986:TLC590016 TUY589986:TUY590016 UEU589986:UEU590016 UOQ589986:UOQ590016 UYM589986:UYM590016 VII589986:VII590016 VSE589986:VSE590016 WCA589986:WCA590016 WLW589986:WLW590016 WVS589986:WVS590016 K655522:K655552 JG655522:JG655552 TC655522:TC655552 ACY655522:ACY655552 AMU655522:AMU655552 AWQ655522:AWQ655552 BGM655522:BGM655552 BQI655522:BQI655552 CAE655522:CAE655552 CKA655522:CKA655552 CTW655522:CTW655552 DDS655522:DDS655552 DNO655522:DNO655552 DXK655522:DXK655552 EHG655522:EHG655552 ERC655522:ERC655552 FAY655522:FAY655552 FKU655522:FKU655552 FUQ655522:FUQ655552 GEM655522:GEM655552 GOI655522:GOI655552 GYE655522:GYE655552 HIA655522:HIA655552 HRW655522:HRW655552 IBS655522:IBS655552 ILO655522:ILO655552 IVK655522:IVK655552 JFG655522:JFG655552 JPC655522:JPC655552 JYY655522:JYY655552 KIU655522:KIU655552 KSQ655522:KSQ655552 LCM655522:LCM655552 LMI655522:LMI655552 LWE655522:LWE655552 MGA655522:MGA655552 MPW655522:MPW655552 MZS655522:MZS655552 NJO655522:NJO655552 NTK655522:NTK655552 ODG655522:ODG655552 ONC655522:ONC655552 OWY655522:OWY655552 PGU655522:PGU655552 PQQ655522:PQQ655552 QAM655522:QAM655552 QKI655522:QKI655552 QUE655522:QUE655552 REA655522:REA655552 RNW655522:RNW655552 RXS655522:RXS655552 SHO655522:SHO655552 SRK655522:SRK655552 TBG655522:TBG655552 TLC655522:TLC655552 TUY655522:TUY655552 UEU655522:UEU655552 UOQ655522:UOQ655552 UYM655522:UYM655552 VII655522:VII655552 VSE655522:VSE655552 WCA655522:WCA655552 WLW655522:WLW655552 WVS655522:WVS655552 K721058:K721088 JG721058:JG721088 TC721058:TC721088 ACY721058:ACY721088 AMU721058:AMU721088 AWQ721058:AWQ721088 BGM721058:BGM721088 BQI721058:BQI721088 CAE721058:CAE721088 CKA721058:CKA721088 CTW721058:CTW721088 DDS721058:DDS721088 DNO721058:DNO721088 DXK721058:DXK721088 EHG721058:EHG721088 ERC721058:ERC721088 FAY721058:FAY721088 FKU721058:FKU721088 FUQ721058:FUQ721088 GEM721058:GEM721088 GOI721058:GOI721088 GYE721058:GYE721088 HIA721058:HIA721088 HRW721058:HRW721088 IBS721058:IBS721088 ILO721058:ILO721088 IVK721058:IVK721088 JFG721058:JFG721088 JPC721058:JPC721088 JYY721058:JYY721088 KIU721058:KIU721088 KSQ721058:KSQ721088 LCM721058:LCM721088 LMI721058:LMI721088 LWE721058:LWE721088 MGA721058:MGA721088 MPW721058:MPW721088 MZS721058:MZS721088 NJO721058:NJO721088 NTK721058:NTK721088 ODG721058:ODG721088 ONC721058:ONC721088 OWY721058:OWY721088 PGU721058:PGU721088 PQQ721058:PQQ721088 QAM721058:QAM721088 QKI721058:QKI721088 QUE721058:QUE721088 REA721058:REA721088 RNW721058:RNW721088 RXS721058:RXS721088 SHO721058:SHO721088 SRK721058:SRK721088 TBG721058:TBG721088 TLC721058:TLC721088 TUY721058:TUY721088 UEU721058:UEU721088 UOQ721058:UOQ721088 UYM721058:UYM721088 VII721058:VII721088 VSE721058:VSE721088 WCA721058:WCA721088 WLW721058:WLW721088 WVS721058:WVS721088 K786594:K786624 JG786594:JG786624 TC786594:TC786624 ACY786594:ACY786624 AMU786594:AMU786624 AWQ786594:AWQ786624 BGM786594:BGM786624 BQI786594:BQI786624 CAE786594:CAE786624 CKA786594:CKA786624 CTW786594:CTW786624 DDS786594:DDS786624 DNO786594:DNO786624 DXK786594:DXK786624 EHG786594:EHG786624 ERC786594:ERC786624 FAY786594:FAY786624 FKU786594:FKU786624 FUQ786594:FUQ786624 GEM786594:GEM786624 GOI786594:GOI786624 GYE786594:GYE786624 HIA786594:HIA786624 HRW786594:HRW786624 IBS786594:IBS786624 ILO786594:ILO786624 IVK786594:IVK786624 JFG786594:JFG786624 JPC786594:JPC786624 JYY786594:JYY786624 KIU786594:KIU786624 KSQ786594:KSQ786624 LCM786594:LCM786624 LMI786594:LMI786624 LWE786594:LWE786624 MGA786594:MGA786624 MPW786594:MPW786624 MZS786594:MZS786624 NJO786594:NJO786624 NTK786594:NTK786624 ODG786594:ODG786624 ONC786594:ONC786624 OWY786594:OWY786624 PGU786594:PGU786624 PQQ786594:PQQ786624 QAM786594:QAM786624 QKI786594:QKI786624 QUE786594:QUE786624 REA786594:REA786624 RNW786594:RNW786624 RXS786594:RXS786624 SHO786594:SHO786624 SRK786594:SRK786624 TBG786594:TBG786624 TLC786594:TLC786624 TUY786594:TUY786624 UEU786594:UEU786624 UOQ786594:UOQ786624 UYM786594:UYM786624 VII786594:VII786624 VSE786594:VSE786624 WCA786594:WCA786624 WLW786594:WLW786624 WVS786594:WVS786624 K852130:K852160 JG852130:JG852160 TC852130:TC852160 ACY852130:ACY852160 AMU852130:AMU852160 AWQ852130:AWQ852160 BGM852130:BGM852160 BQI852130:BQI852160 CAE852130:CAE852160 CKA852130:CKA852160 CTW852130:CTW852160 DDS852130:DDS852160 DNO852130:DNO852160 DXK852130:DXK852160 EHG852130:EHG852160 ERC852130:ERC852160 FAY852130:FAY852160 FKU852130:FKU852160 FUQ852130:FUQ852160 GEM852130:GEM852160 GOI852130:GOI852160 GYE852130:GYE852160 HIA852130:HIA852160 HRW852130:HRW852160 IBS852130:IBS852160 ILO852130:ILO852160 IVK852130:IVK852160 JFG852130:JFG852160 JPC852130:JPC852160 JYY852130:JYY852160 KIU852130:KIU852160 KSQ852130:KSQ852160 LCM852130:LCM852160 LMI852130:LMI852160 LWE852130:LWE852160 MGA852130:MGA852160 MPW852130:MPW852160 MZS852130:MZS852160 NJO852130:NJO852160 NTK852130:NTK852160 ODG852130:ODG852160 ONC852130:ONC852160 OWY852130:OWY852160 PGU852130:PGU852160 PQQ852130:PQQ852160 QAM852130:QAM852160 QKI852130:QKI852160 QUE852130:QUE852160 REA852130:REA852160 RNW852130:RNW852160 RXS852130:RXS852160 SHO852130:SHO852160 SRK852130:SRK852160 TBG852130:TBG852160 TLC852130:TLC852160 TUY852130:TUY852160 UEU852130:UEU852160 UOQ852130:UOQ852160 UYM852130:UYM852160 VII852130:VII852160 VSE852130:VSE852160 WCA852130:WCA852160 WLW852130:WLW852160 WVS852130:WVS852160 K917666:K917696 JG917666:JG917696 TC917666:TC917696 ACY917666:ACY917696 AMU917666:AMU917696 AWQ917666:AWQ917696 BGM917666:BGM917696 BQI917666:BQI917696 CAE917666:CAE917696 CKA917666:CKA917696 CTW917666:CTW917696 DDS917666:DDS917696 DNO917666:DNO917696 DXK917666:DXK917696 EHG917666:EHG917696 ERC917666:ERC917696 FAY917666:FAY917696 FKU917666:FKU917696 FUQ917666:FUQ917696 GEM917666:GEM917696 GOI917666:GOI917696 GYE917666:GYE917696 HIA917666:HIA917696 HRW917666:HRW917696 IBS917666:IBS917696 ILO917666:ILO917696 IVK917666:IVK917696 JFG917666:JFG917696 JPC917666:JPC917696 JYY917666:JYY917696 KIU917666:KIU917696 KSQ917666:KSQ917696 LCM917666:LCM917696 LMI917666:LMI917696 LWE917666:LWE917696 MGA917666:MGA917696 MPW917666:MPW917696 MZS917666:MZS917696 NJO917666:NJO917696 NTK917666:NTK917696 ODG917666:ODG917696 ONC917666:ONC917696 OWY917666:OWY917696 PGU917666:PGU917696 PQQ917666:PQQ917696 QAM917666:QAM917696 QKI917666:QKI917696 QUE917666:QUE917696 REA917666:REA917696 RNW917666:RNW917696 RXS917666:RXS917696 SHO917666:SHO917696 SRK917666:SRK917696 TBG917666:TBG917696 TLC917666:TLC917696 TUY917666:TUY917696 UEU917666:UEU917696 UOQ917666:UOQ917696 UYM917666:UYM917696 VII917666:VII917696 VSE917666:VSE917696 WCA917666:WCA917696 WLW917666:WLW917696 WVS917666:WVS917696 K983202:K983232 JG983202:JG983232 TC983202:TC983232 ACY983202:ACY983232 AMU983202:AMU983232 AWQ983202:AWQ983232 BGM983202:BGM983232 BQI983202:BQI983232 CAE983202:CAE983232 CKA983202:CKA983232 CTW983202:CTW983232 DDS983202:DDS983232 DNO983202:DNO983232 DXK983202:DXK983232 EHG983202:EHG983232 ERC983202:ERC983232 FAY983202:FAY983232 FKU983202:FKU983232 FUQ983202:FUQ983232 GEM983202:GEM983232 GOI983202:GOI983232 GYE983202:GYE983232 HIA983202:HIA983232 HRW983202:HRW983232 IBS983202:IBS983232 ILO983202:ILO983232 IVK983202:IVK983232 JFG983202:JFG983232 JPC983202:JPC983232 JYY983202:JYY983232 KIU983202:KIU983232 KSQ983202:KSQ983232 LCM983202:LCM983232 LMI983202:LMI983232 LWE983202:LWE983232 MGA983202:MGA983232 MPW983202:MPW983232 MZS983202:MZS983232 NJO983202:NJO983232 NTK983202:NTK983232 ODG983202:ODG983232 ONC983202:ONC983232 OWY983202:OWY983232 PGU983202:PGU983232 PQQ983202:PQQ983232 QAM983202:QAM983232 QKI983202:QKI983232 QUE983202:QUE983232 REA983202:REA983232 RNW983202:RNW983232 RXS983202:RXS983232 SHO983202:SHO983232 SRK983202:SRK983232 TBG983202:TBG983232 TLC983202:TLC983232 TUY983202:TUY983232 UEU983202:UEU983232 UOQ983202:UOQ983232 UYM983202:UYM983232 VII983202:VII983232 VSE983202:VSE983232 WCA983202:WCA983232 WLW983202:WLW983232 WVS983202:WVS983232 L162:L191 JH162:JH191 TD162:TD191 ACZ162:ACZ191 AMV162:AMV191 AWR162:AWR191 BGN162:BGN191 BQJ162:BQJ191 CAF162:CAF191 CKB162:CKB191 CTX162:CTX191 DDT162:DDT191 DNP162:DNP191 DXL162:DXL191 EHH162:EHH191 ERD162:ERD191 FAZ162:FAZ191 FKV162:FKV191 FUR162:FUR191 GEN162:GEN191 GOJ162:GOJ191 GYF162:GYF191 HIB162:HIB191 HRX162:HRX191 IBT162:IBT191 ILP162:ILP191 IVL162:IVL191 JFH162:JFH191 JPD162:JPD191 JYZ162:JYZ191 KIV162:KIV191 KSR162:KSR191 LCN162:LCN191 LMJ162:LMJ191 LWF162:LWF191 MGB162:MGB191 MPX162:MPX191 MZT162:MZT191 NJP162:NJP191 NTL162:NTL191 ODH162:ODH191 OND162:OND191 OWZ162:OWZ191 PGV162:PGV191 PQR162:PQR191 QAN162:QAN191 QKJ162:QKJ191 QUF162:QUF191 REB162:REB191 RNX162:RNX191 RXT162:RXT191 SHP162:SHP191 SRL162:SRL191 TBH162:TBH191 TLD162:TLD191 TUZ162:TUZ191 UEV162:UEV191 UOR162:UOR191 UYN162:UYN191 VIJ162:VIJ191 VSF162:VSF191 WCB162:WCB191 WLX162:WLX191 WVT162:WVT191 L65698:L65727 JH65698:JH65727 TD65698:TD65727 ACZ65698:ACZ65727 AMV65698:AMV65727 AWR65698:AWR65727 BGN65698:BGN65727 BQJ65698:BQJ65727 CAF65698:CAF65727 CKB65698:CKB65727 CTX65698:CTX65727 DDT65698:DDT65727 DNP65698:DNP65727 DXL65698:DXL65727 EHH65698:EHH65727 ERD65698:ERD65727 FAZ65698:FAZ65727 FKV65698:FKV65727 FUR65698:FUR65727 GEN65698:GEN65727 GOJ65698:GOJ65727 GYF65698:GYF65727 HIB65698:HIB65727 HRX65698:HRX65727 IBT65698:IBT65727 ILP65698:ILP65727 IVL65698:IVL65727 JFH65698:JFH65727 JPD65698:JPD65727 JYZ65698:JYZ65727 KIV65698:KIV65727 KSR65698:KSR65727 LCN65698:LCN65727 LMJ65698:LMJ65727 LWF65698:LWF65727 MGB65698:MGB65727 MPX65698:MPX65727 MZT65698:MZT65727 NJP65698:NJP65727 NTL65698:NTL65727 ODH65698:ODH65727 OND65698:OND65727 OWZ65698:OWZ65727 PGV65698:PGV65727 PQR65698:PQR65727 QAN65698:QAN65727 QKJ65698:QKJ65727 QUF65698:QUF65727 REB65698:REB65727 RNX65698:RNX65727 RXT65698:RXT65727 SHP65698:SHP65727 SRL65698:SRL65727 TBH65698:TBH65727 TLD65698:TLD65727 TUZ65698:TUZ65727 UEV65698:UEV65727 UOR65698:UOR65727 UYN65698:UYN65727 VIJ65698:VIJ65727 VSF65698:VSF65727 WCB65698:WCB65727 WLX65698:WLX65727 WVT65698:WVT65727 L131234:L131263 JH131234:JH131263 TD131234:TD131263 ACZ131234:ACZ131263 AMV131234:AMV131263 AWR131234:AWR131263 BGN131234:BGN131263 BQJ131234:BQJ131263 CAF131234:CAF131263 CKB131234:CKB131263 CTX131234:CTX131263 DDT131234:DDT131263 DNP131234:DNP131263 DXL131234:DXL131263 EHH131234:EHH131263 ERD131234:ERD131263 FAZ131234:FAZ131263 FKV131234:FKV131263 FUR131234:FUR131263 GEN131234:GEN131263 GOJ131234:GOJ131263 GYF131234:GYF131263 HIB131234:HIB131263 HRX131234:HRX131263 IBT131234:IBT131263 ILP131234:ILP131263 IVL131234:IVL131263 JFH131234:JFH131263 JPD131234:JPD131263 JYZ131234:JYZ131263 KIV131234:KIV131263 KSR131234:KSR131263 LCN131234:LCN131263 LMJ131234:LMJ131263 LWF131234:LWF131263 MGB131234:MGB131263 MPX131234:MPX131263 MZT131234:MZT131263 NJP131234:NJP131263 NTL131234:NTL131263 ODH131234:ODH131263 OND131234:OND131263 OWZ131234:OWZ131263 PGV131234:PGV131263 PQR131234:PQR131263 QAN131234:QAN131263 QKJ131234:QKJ131263 QUF131234:QUF131263 REB131234:REB131263 RNX131234:RNX131263 RXT131234:RXT131263 SHP131234:SHP131263 SRL131234:SRL131263 TBH131234:TBH131263 TLD131234:TLD131263 TUZ131234:TUZ131263 UEV131234:UEV131263 UOR131234:UOR131263 UYN131234:UYN131263 VIJ131234:VIJ131263 VSF131234:VSF131263 WCB131234:WCB131263 WLX131234:WLX131263 WVT131234:WVT131263 L196770:L196799 JH196770:JH196799 TD196770:TD196799 ACZ196770:ACZ196799 AMV196770:AMV196799 AWR196770:AWR196799 BGN196770:BGN196799 BQJ196770:BQJ196799 CAF196770:CAF196799 CKB196770:CKB196799 CTX196770:CTX196799 DDT196770:DDT196799 DNP196770:DNP196799 DXL196770:DXL196799 EHH196770:EHH196799 ERD196770:ERD196799 FAZ196770:FAZ196799 FKV196770:FKV196799 FUR196770:FUR196799 GEN196770:GEN196799 GOJ196770:GOJ196799 GYF196770:GYF196799 HIB196770:HIB196799 HRX196770:HRX196799 IBT196770:IBT196799 ILP196770:ILP196799 IVL196770:IVL196799 JFH196770:JFH196799 JPD196770:JPD196799 JYZ196770:JYZ196799 KIV196770:KIV196799 KSR196770:KSR196799 LCN196770:LCN196799 LMJ196770:LMJ196799 LWF196770:LWF196799 MGB196770:MGB196799 MPX196770:MPX196799 MZT196770:MZT196799 NJP196770:NJP196799 NTL196770:NTL196799 ODH196770:ODH196799 OND196770:OND196799 OWZ196770:OWZ196799 PGV196770:PGV196799 PQR196770:PQR196799 QAN196770:QAN196799 QKJ196770:QKJ196799 QUF196770:QUF196799 REB196770:REB196799 RNX196770:RNX196799 RXT196770:RXT196799 SHP196770:SHP196799 SRL196770:SRL196799 TBH196770:TBH196799 TLD196770:TLD196799 TUZ196770:TUZ196799 UEV196770:UEV196799 UOR196770:UOR196799 UYN196770:UYN196799 VIJ196770:VIJ196799 VSF196770:VSF196799 WCB196770:WCB196799 WLX196770:WLX196799 WVT196770:WVT196799 L262306:L262335 JH262306:JH262335 TD262306:TD262335 ACZ262306:ACZ262335 AMV262306:AMV262335 AWR262306:AWR262335 BGN262306:BGN262335 BQJ262306:BQJ262335 CAF262306:CAF262335 CKB262306:CKB262335 CTX262306:CTX262335 DDT262306:DDT262335 DNP262306:DNP262335 DXL262306:DXL262335 EHH262306:EHH262335 ERD262306:ERD262335 FAZ262306:FAZ262335 FKV262306:FKV262335 FUR262306:FUR262335 GEN262306:GEN262335 GOJ262306:GOJ262335 GYF262306:GYF262335 HIB262306:HIB262335 HRX262306:HRX262335 IBT262306:IBT262335 ILP262306:ILP262335 IVL262306:IVL262335 JFH262306:JFH262335 JPD262306:JPD262335 JYZ262306:JYZ262335 KIV262306:KIV262335 KSR262306:KSR262335 LCN262306:LCN262335 LMJ262306:LMJ262335 LWF262306:LWF262335 MGB262306:MGB262335 MPX262306:MPX262335 MZT262306:MZT262335 NJP262306:NJP262335 NTL262306:NTL262335 ODH262306:ODH262335 OND262306:OND262335 OWZ262306:OWZ262335 PGV262306:PGV262335 PQR262306:PQR262335 QAN262306:QAN262335 QKJ262306:QKJ262335 QUF262306:QUF262335 REB262306:REB262335 RNX262306:RNX262335 RXT262306:RXT262335 SHP262306:SHP262335 SRL262306:SRL262335 TBH262306:TBH262335 TLD262306:TLD262335 TUZ262306:TUZ262335 UEV262306:UEV262335 UOR262306:UOR262335 UYN262306:UYN262335 VIJ262306:VIJ262335 VSF262306:VSF262335 WCB262306:WCB262335 WLX262306:WLX262335 WVT262306:WVT262335 L327842:L327871 JH327842:JH327871 TD327842:TD327871 ACZ327842:ACZ327871 AMV327842:AMV327871 AWR327842:AWR327871 BGN327842:BGN327871 BQJ327842:BQJ327871 CAF327842:CAF327871 CKB327842:CKB327871 CTX327842:CTX327871 DDT327842:DDT327871 DNP327842:DNP327871 DXL327842:DXL327871 EHH327842:EHH327871 ERD327842:ERD327871 FAZ327842:FAZ327871 FKV327842:FKV327871 FUR327842:FUR327871 GEN327842:GEN327871 GOJ327842:GOJ327871 GYF327842:GYF327871 HIB327842:HIB327871 HRX327842:HRX327871 IBT327842:IBT327871 ILP327842:ILP327871 IVL327842:IVL327871 JFH327842:JFH327871 JPD327842:JPD327871 JYZ327842:JYZ327871 KIV327842:KIV327871 KSR327842:KSR327871 LCN327842:LCN327871 LMJ327842:LMJ327871 LWF327842:LWF327871 MGB327842:MGB327871 MPX327842:MPX327871 MZT327842:MZT327871 NJP327842:NJP327871 NTL327842:NTL327871 ODH327842:ODH327871 OND327842:OND327871 OWZ327842:OWZ327871 PGV327842:PGV327871 PQR327842:PQR327871 QAN327842:QAN327871 QKJ327842:QKJ327871 QUF327842:QUF327871 REB327842:REB327871 RNX327842:RNX327871 RXT327842:RXT327871 SHP327842:SHP327871 SRL327842:SRL327871 TBH327842:TBH327871 TLD327842:TLD327871 TUZ327842:TUZ327871 UEV327842:UEV327871 UOR327842:UOR327871 UYN327842:UYN327871 VIJ327842:VIJ327871 VSF327842:VSF327871 WCB327842:WCB327871 WLX327842:WLX327871 WVT327842:WVT327871 L393378:L393407 JH393378:JH393407 TD393378:TD393407 ACZ393378:ACZ393407 AMV393378:AMV393407 AWR393378:AWR393407 BGN393378:BGN393407 BQJ393378:BQJ393407 CAF393378:CAF393407 CKB393378:CKB393407 CTX393378:CTX393407 DDT393378:DDT393407 DNP393378:DNP393407 DXL393378:DXL393407 EHH393378:EHH393407 ERD393378:ERD393407 FAZ393378:FAZ393407 FKV393378:FKV393407 FUR393378:FUR393407 GEN393378:GEN393407 GOJ393378:GOJ393407 GYF393378:GYF393407 HIB393378:HIB393407 HRX393378:HRX393407 IBT393378:IBT393407 ILP393378:ILP393407 IVL393378:IVL393407 JFH393378:JFH393407 JPD393378:JPD393407 JYZ393378:JYZ393407 KIV393378:KIV393407 KSR393378:KSR393407 LCN393378:LCN393407 LMJ393378:LMJ393407 LWF393378:LWF393407 MGB393378:MGB393407 MPX393378:MPX393407 MZT393378:MZT393407 NJP393378:NJP393407 NTL393378:NTL393407 ODH393378:ODH393407 OND393378:OND393407 OWZ393378:OWZ393407 PGV393378:PGV393407 PQR393378:PQR393407 QAN393378:QAN393407 QKJ393378:QKJ393407 QUF393378:QUF393407 REB393378:REB393407 RNX393378:RNX393407 RXT393378:RXT393407 SHP393378:SHP393407 SRL393378:SRL393407 TBH393378:TBH393407 TLD393378:TLD393407 TUZ393378:TUZ393407 UEV393378:UEV393407 UOR393378:UOR393407 UYN393378:UYN393407 VIJ393378:VIJ393407 VSF393378:VSF393407 WCB393378:WCB393407 WLX393378:WLX393407 WVT393378:WVT393407 L458914:L458943 JH458914:JH458943 TD458914:TD458943 ACZ458914:ACZ458943 AMV458914:AMV458943 AWR458914:AWR458943 BGN458914:BGN458943 BQJ458914:BQJ458943 CAF458914:CAF458943 CKB458914:CKB458943 CTX458914:CTX458943 DDT458914:DDT458943 DNP458914:DNP458943 DXL458914:DXL458943 EHH458914:EHH458943 ERD458914:ERD458943 FAZ458914:FAZ458943 FKV458914:FKV458943 FUR458914:FUR458943 GEN458914:GEN458943 GOJ458914:GOJ458943 GYF458914:GYF458943 HIB458914:HIB458943 HRX458914:HRX458943 IBT458914:IBT458943 ILP458914:ILP458943 IVL458914:IVL458943 JFH458914:JFH458943 JPD458914:JPD458943 JYZ458914:JYZ458943 KIV458914:KIV458943 KSR458914:KSR458943 LCN458914:LCN458943 LMJ458914:LMJ458943 LWF458914:LWF458943 MGB458914:MGB458943 MPX458914:MPX458943 MZT458914:MZT458943 NJP458914:NJP458943 NTL458914:NTL458943 ODH458914:ODH458943 OND458914:OND458943 OWZ458914:OWZ458943 PGV458914:PGV458943 PQR458914:PQR458943 QAN458914:QAN458943 QKJ458914:QKJ458943 QUF458914:QUF458943 REB458914:REB458943 RNX458914:RNX458943 RXT458914:RXT458943 SHP458914:SHP458943 SRL458914:SRL458943 TBH458914:TBH458943 TLD458914:TLD458943 TUZ458914:TUZ458943 UEV458914:UEV458943 UOR458914:UOR458943 UYN458914:UYN458943 VIJ458914:VIJ458943 VSF458914:VSF458943 WCB458914:WCB458943 WLX458914:WLX458943 WVT458914:WVT458943 L524450:L524479 JH524450:JH524479 TD524450:TD524479 ACZ524450:ACZ524479 AMV524450:AMV524479 AWR524450:AWR524479 BGN524450:BGN524479 BQJ524450:BQJ524479 CAF524450:CAF524479 CKB524450:CKB524479 CTX524450:CTX524479 DDT524450:DDT524479 DNP524450:DNP524479 DXL524450:DXL524479 EHH524450:EHH524479 ERD524450:ERD524479 FAZ524450:FAZ524479 FKV524450:FKV524479 FUR524450:FUR524479 GEN524450:GEN524479 GOJ524450:GOJ524479 GYF524450:GYF524479 HIB524450:HIB524479 HRX524450:HRX524479 IBT524450:IBT524479 ILP524450:ILP524479 IVL524450:IVL524479 JFH524450:JFH524479 JPD524450:JPD524479 JYZ524450:JYZ524479 KIV524450:KIV524479 KSR524450:KSR524479 LCN524450:LCN524479 LMJ524450:LMJ524479 LWF524450:LWF524479 MGB524450:MGB524479 MPX524450:MPX524479 MZT524450:MZT524479 NJP524450:NJP524479 NTL524450:NTL524479 ODH524450:ODH524479 OND524450:OND524479 OWZ524450:OWZ524479 PGV524450:PGV524479 PQR524450:PQR524479 QAN524450:QAN524479 QKJ524450:QKJ524479 QUF524450:QUF524479 REB524450:REB524479 RNX524450:RNX524479 RXT524450:RXT524479 SHP524450:SHP524479 SRL524450:SRL524479 TBH524450:TBH524479 TLD524450:TLD524479 TUZ524450:TUZ524479 UEV524450:UEV524479 UOR524450:UOR524479 UYN524450:UYN524479 VIJ524450:VIJ524479 VSF524450:VSF524479 WCB524450:WCB524479 WLX524450:WLX524479 WVT524450:WVT524479 L589986:L590015 JH589986:JH590015 TD589986:TD590015 ACZ589986:ACZ590015 AMV589986:AMV590015 AWR589986:AWR590015 BGN589986:BGN590015 BQJ589986:BQJ590015 CAF589986:CAF590015 CKB589986:CKB590015 CTX589986:CTX590015 DDT589986:DDT590015 DNP589986:DNP590015 DXL589986:DXL590015 EHH589986:EHH590015 ERD589986:ERD590015 FAZ589986:FAZ590015 FKV589986:FKV590015 FUR589986:FUR590015 GEN589986:GEN590015 GOJ589986:GOJ590015 GYF589986:GYF590015 HIB589986:HIB590015 HRX589986:HRX590015 IBT589986:IBT590015 ILP589986:ILP590015 IVL589986:IVL590015 JFH589986:JFH590015 JPD589986:JPD590015 JYZ589986:JYZ590015 KIV589986:KIV590015 KSR589986:KSR590015 LCN589986:LCN590015 LMJ589986:LMJ590015 LWF589986:LWF590015 MGB589986:MGB590015 MPX589986:MPX590015 MZT589986:MZT590015 NJP589986:NJP590015 NTL589986:NTL590015 ODH589986:ODH590015 OND589986:OND590015 OWZ589986:OWZ590015 PGV589986:PGV590015 PQR589986:PQR590015 QAN589986:QAN590015 QKJ589986:QKJ590015 QUF589986:QUF590015 REB589986:REB590015 RNX589986:RNX590015 RXT589986:RXT590015 SHP589986:SHP590015 SRL589986:SRL590015 TBH589986:TBH590015 TLD589986:TLD590015 TUZ589986:TUZ590015 UEV589986:UEV590015 UOR589986:UOR590015 UYN589986:UYN590015 VIJ589986:VIJ590015 VSF589986:VSF590015 WCB589986:WCB590015 WLX589986:WLX590015 WVT589986:WVT590015 L655522:L655551 JH655522:JH655551 TD655522:TD655551 ACZ655522:ACZ655551 AMV655522:AMV655551 AWR655522:AWR655551 BGN655522:BGN655551 BQJ655522:BQJ655551 CAF655522:CAF655551 CKB655522:CKB655551 CTX655522:CTX655551 DDT655522:DDT655551 DNP655522:DNP655551 DXL655522:DXL655551 EHH655522:EHH655551 ERD655522:ERD655551 FAZ655522:FAZ655551 FKV655522:FKV655551 FUR655522:FUR655551 GEN655522:GEN655551 GOJ655522:GOJ655551 GYF655522:GYF655551 HIB655522:HIB655551 HRX655522:HRX655551 IBT655522:IBT655551 ILP655522:ILP655551 IVL655522:IVL655551 JFH655522:JFH655551 JPD655522:JPD655551 JYZ655522:JYZ655551 KIV655522:KIV655551 KSR655522:KSR655551 LCN655522:LCN655551 LMJ655522:LMJ655551 LWF655522:LWF655551 MGB655522:MGB655551 MPX655522:MPX655551 MZT655522:MZT655551 NJP655522:NJP655551 NTL655522:NTL655551 ODH655522:ODH655551 OND655522:OND655551 OWZ655522:OWZ655551 PGV655522:PGV655551 PQR655522:PQR655551 QAN655522:QAN655551 QKJ655522:QKJ655551 QUF655522:QUF655551 REB655522:REB655551 RNX655522:RNX655551 RXT655522:RXT655551 SHP655522:SHP655551 SRL655522:SRL655551 TBH655522:TBH655551 TLD655522:TLD655551 TUZ655522:TUZ655551 UEV655522:UEV655551 UOR655522:UOR655551 UYN655522:UYN655551 VIJ655522:VIJ655551 VSF655522:VSF655551 WCB655522:WCB655551 WLX655522:WLX655551 WVT655522:WVT655551 L721058:L721087 JH721058:JH721087 TD721058:TD721087 ACZ721058:ACZ721087 AMV721058:AMV721087 AWR721058:AWR721087 BGN721058:BGN721087 BQJ721058:BQJ721087 CAF721058:CAF721087 CKB721058:CKB721087 CTX721058:CTX721087 DDT721058:DDT721087 DNP721058:DNP721087 DXL721058:DXL721087 EHH721058:EHH721087 ERD721058:ERD721087 FAZ721058:FAZ721087 FKV721058:FKV721087 FUR721058:FUR721087 GEN721058:GEN721087 GOJ721058:GOJ721087 GYF721058:GYF721087 HIB721058:HIB721087 HRX721058:HRX721087 IBT721058:IBT721087 ILP721058:ILP721087 IVL721058:IVL721087 JFH721058:JFH721087 JPD721058:JPD721087 JYZ721058:JYZ721087 KIV721058:KIV721087 KSR721058:KSR721087 LCN721058:LCN721087 LMJ721058:LMJ721087 LWF721058:LWF721087 MGB721058:MGB721087 MPX721058:MPX721087 MZT721058:MZT721087 NJP721058:NJP721087 NTL721058:NTL721087 ODH721058:ODH721087 OND721058:OND721087 OWZ721058:OWZ721087 PGV721058:PGV721087 PQR721058:PQR721087 QAN721058:QAN721087 QKJ721058:QKJ721087 QUF721058:QUF721087 REB721058:REB721087 RNX721058:RNX721087 RXT721058:RXT721087 SHP721058:SHP721087 SRL721058:SRL721087 TBH721058:TBH721087 TLD721058:TLD721087 TUZ721058:TUZ721087 UEV721058:UEV721087 UOR721058:UOR721087 UYN721058:UYN721087 VIJ721058:VIJ721087 VSF721058:VSF721087 WCB721058:WCB721087 WLX721058:WLX721087 WVT721058:WVT721087 L786594:L786623 JH786594:JH786623 TD786594:TD786623 ACZ786594:ACZ786623 AMV786594:AMV786623 AWR786594:AWR786623 BGN786594:BGN786623 BQJ786594:BQJ786623 CAF786594:CAF786623 CKB786594:CKB786623 CTX786594:CTX786623 DDT786594:DDT786623 DNP786594:DNP786623 DXL786594:DXL786623 EHH786594:EHH786623 ERD786594:ERD786623 FAZ786594:FAZ786623 FKV786594:FKV786623 FUR786594:FUR786623 GEN786594:GEN786623 GOJ786594:GOJ786623 GYF786594:GYF786623 HIB786594:HIB786623 HRX786594:HRX786623 IBT786594:IBT786623 ILP786594:ILP786623 IVL786594:IVL786623 JFH786594:JFH786623 JPD786594:JPD786623 JYZ786594:JYZ786623 KIV786594:KIV786623 KSR786594:KSR786623 LCN786594:LCN786623 LMJ786594:LMJ786623 LWF786594:LWF786623 MGB786594:MGB786623 MPX786594:MPX786623 MZT786594:MZT786623 NJP786594:NJP786623 NTL786594:NTL786623 ODH786594:ODH786623 OND786594:OND786623 OWZ786594:OWZ786623 PGV786594:PGV786623 PQR786594:PQR786623 QAN786594:QAN786623 QKJ786594:QKJ786623 QUF786594:QUF786623 REB786594:REB786623 RNX786594:RNX786623 RXT786594:RXT786623 SHP786594:SHP786623 SRL786594:SRL786623 TBH786594:TBH786623 TLD786594:TLD786623 TUZ786594:TUZ786623 UEV786594:UEV786623 UOR786594:UOR786623 UYN786594:UYN786623 VIJ786594:VIJ786623 VSF786594:VSF786623 WCB786594:WCB786623 WLX786594:WLX786623 WVT786594:WVT786623 L852130:L852159 JH852130:JH852159 TD852130:TD852159 ACZ852130:ACZ852159 AMV852130:AMV852159 AWR852130:AWR852159 BGN852130:BGN852159 BQJ852130:BQJ852159 CAF852130:CAF852159 CKB852130:CKB852159 CTX852130:CTX852159 DDT852130:DDT852159 DNP852130:DNP852159 DXL852130:DXL852159 EHH852130:EHH852159 ERD852130:ERD852159 FAZ852130:FAZ852159 FKV852130:FKV852159 FUR852130:FUR852159 GEN852130:GEN852159 GOJ852130:GOJ852159 GYF852130:GYF852159 HIB852130:HIB852159 HRX852130:HRX852159 IBT852130:IBT852159 ILP852130:ILP852159 IVL852130:IVL852159 JFH852130:JFH852159 JPD852130:JPD852159 JYZ852130:JYZ852159 KIV852130:KIV852159 KSR852130:KSR852159 LCN852130:LCN852159 LMJ852130:LMJ852159 LWF852130:LWF852159 MGB852130:MGB852159 MPX852130:MPX852159 MZT852130:MZT852159 NJP852130:NJP852159 NTL852130:NTL852159 ODH852130:ODH852159 OND852130:OND852159 OWZ852130:OWZ852159 PGV852130:PGV852159 PQR852130:PQR852159 QAN852130:QAN852159 QKJ852130:QKJ852159 QUF852130:QUF852159 REB852130:REB852159 RNX852130:RNX852159 RXT852130:RXT852159 SHP852130:SHP852159 SRL852130:SRL852159 TBH852130:TBH852159 TLD852130:TLD852159 TUZ852130:TUZ852159 UEV852130:UEV852159 UOR852130:UOR852159 UYN852130:UYN852159 VIJ852130:VIJ852159 VSF852130:VSF852159 WCB852130:WCB852159 WLX852130:WLX852159 WVT852130:WVT852159 L917666:L917695 JH917666:JH917695 TD917666:TD917695 ACZ917666:ACZ917695 AMV917666:AMV917695 AWR917666:AWR917695 BGN917666:BGN917695 BQJ917666:BQJ917695 CAF917666:CAF917695 CKB917666:CKB917695 CTX917666:CTX917695 DDT917666:DDT917695 DNP917666:DNP917695 DXL917666:DXL917695 EHH917666:EHH917695 ERD917666:ERD917695 FAZ917666:FAZ917695 FKV917666:FKV917695 FUR917666:FUR917695 GEN917666:GEN917695 GOJ917666:GOJ917695 GYF917666:GYF917695 HIB917666:HIB917695 HRX917666:HRX917695 IBT917666:IBT917695 ILP917666:ILP917695 IVL917666:IVL917695 JFH917666:JFH917695 JPD917666:JPD917695 JYZ917666:JYZ917695 KIV917666:KIV917695 KSR917666:KSR917695 LCN917666:LCN917695 LMJ917666:LMJ917695 LWF917666:LWF917695 MGB917666:MGB917695 MPX917666:MPX917695 MZT917666:MZT917695 NJP917666:NJP917695 NTL917666:NTL917695 ODH917666:ODH917695 OND917666:OND917695 OWZ917666:OWZ917695 PGV917666:PGV917695 PQR917666:PQR917695 QAN917666:QAN917695 QKJ917666:QKJ917695 QUF917666:QUF917695 REB917666:REB917695 RNX917666:RNX917695 RXT917666:RXT917695 SHP917666:SHP917695 SRL917666:SRL917695 TBH917666:TBH917695 TLD917666:TLD917695 TUZ917666:TUZ917695 UEV917666:UEV917695 UOR917666:UOR917695 UYN917666:UYN917695 VIJ917666:VIJ917695 VSF917666:VSF917695 WCB917666:WCB917695 WLX917666:WLX917695 WVT917666:WVT917695 L983202:L983231 JH983202:JH983231 TD983202:TD983231 ACZ983202:ACZ983231 AMV983202:AMV983231 AWR983202:AWR983231 BGN983202:BGN983231 BQJ983202:BQJ983231 CAF983202:CAF983231 CKB983202:CKB983231 CTX983202:CTX983231 DDT983202:DDT983231 DNP983202:DNP983231 DXL983202:DXL983231 EHH983202:EHH983231 ERD983202:ERD983231 FAZ983202:FAZ983231 FKV983202:FKV983231 FUR983202:FUR983231 GEN983202:GEN983231 GOJ983202:GOJ983231 GYF983202:GYF983231 HIB983202:HIB983231 HRX983202:HRX983231 IBT983202:IBT983231 ILP983202:ILP983231 IVL983202:IVL983231 JFH983202:JFH983231 JPD983202:JPD983231 JYZ983202:JYZ983231 KIV983202:KIV983231 KSR983202:KSR983231 LCN983202:LCN983231 LMJ983202:LMJ983231 LWF983202:LWF983231 MGB983202:MGB983231 MPX983202:MPX983231 MZT983202:MZT983231 NJP983202:NJP983231 NTL983202:NTL983231 ODH983202:ODH983231 OND983202:OND983231 OWZ983202:OWZ983231 PGV983202:PGV983231 PQR983202:PQR983231 QAN983202:QAN983231 QKJ983202:QKJ983231 QUF983202:QUF983231 REB983202:REB983231 RNX983202:RNX983231 RXT983202:RXT983231 SHP983202:SHP983231 SRL983202:SRL983231 TBH983202:TBH983231 TLD983202:TLD983231 TUZ983202:TUZ983231 UEV983202:UEV983231 UOR983202:UOR983231 UYN983202:UYN983231 VIJ983202:VIJ983231 VSF983202:VSF983231 WCB983202:WCB983231 WLX983202:WLX983231 WVT983202:WVT983231 AC131:AE131 JY131:KA131 TU131:TW131 ADQ131:ADS131 ANM131:ANO131 AXI131:AXK131 BHE131:BHG131 BRA131:BRC131 CAW131:CAY131 CKS131:CKU131 CUO131:CUQ131 DEK131:DEM131 DOG131:DOI131 DYC131:DYE131 EHY131:EIA131 ERU131:ERW131 FBQ131:FBS131 FLM131:FLO131 FVI131:FVK131 GFE131:GFG131 GPA131:GPC131 GYW131:GYY131 HIS131:HIU131 HSO131:HSQ131 ICK131:ICM131 IMG131:IMI131 IWC131:IWE131 JFY131:JGA131 JPU131:JPW131 JZQ131:JZS131 KJM131:KJO131 KTI131:KTK131 LDE131:LDG131 LNA131:LNC131 LWW131:LWY131 MGS131:MGU131 MQO131:MQQ131 NAK131:NAM131 NKG131:NKI131 NUC131:NUE131 ODY131:OEA131 ONU131:ONW131 OXQ131:OXS131 PHM131:PHO131 PRI131:PRK131 QBE131:QBG131 QLA131:QLC131 QUW131:QUY131 RES131:REU131 ROO131:ROQ131 RYK131:RYM131 SIG131:SII131 SSC131:SSE131 TBY131:TCA131 TLU131:TLW131 TVQ131:TVS131 UFM131:UFO131 UPI131:UPK131 UZE131:UZG131 VJA131:VJC131 VSW131:VSY131 WCS131:WCU131 WMO131:WMQ131 WWK131:WWM131 AC65667:AE65667 JY65667:KA65667 TU65667:TW65667 ADQ65667:ADS65667 ANM65667:ANO65667 AXI65667:AXK65667 BHE65667:BHG65667 BRA65667:BRC65667 CAW65667:CAY65667 CKS65667:CKU65667 CUO65667:CUQ65667 DEK65667:DEM65667 DOG65667:DOI65667 DYC65667:DYE65667 EHY65667:EIA65667 ERU65667:ERW65667 FBQ65667:FBS65667 FLM65667:FLO65667 FVI65667:FVK65667 GFE65667:GFG65667 GPA65667:GPC65667 GYW65667:GYY65667 HIS65667:HIU65667 HSO65667:HSQ65667 ICK65667:ICM65667 IMG65667:IMI65667 IWC65667:IWE65667 JFY65667:JGA65667 JPU65667:JPW65667 JZQ65667:JZS65667 KJM65667:KJO65667 KTI65667:KTK65667 LDE65667:LDG65667 LNA65667:LNC65667 LWW65667:LWY65667 MGS65667:MGU65667 MQO65667:MQQ65667 NAK65667:NAM65667 NKG65667:NKI65667 NUC65667:NUE65667 ODY65667:OEA65667 ONU65667:ONW65667 OXQ65667:OXS65667 PHM65667:PHO65667 PRI65667:PRK65667 QBE65667:QBG65667 QLA65667:QLC65667 QUW65667:QUY65667 RES65667:REU65667 ROO65667:ROQ65667 RYK65667:RYM65667 SIG65667:SII65667 SSC65667:SSE65667 TBY65667:TCA65667 TLU65667:TLW65667 TVQ65667:TVS65667 UFM65667:UFO65667 UPI65667:UPK65667 UZE65667:UZG65667 VJA65667:VJC65667 VSW65667:VSY65667 WCS65667:WCU65667 WMO65667:WMQ65667 WWK65667:WWM65667 AC131203:AE131203 JY131203:KA131203 TU131203:TW131203 ADQ131203:ADS131203 ANM131203:ANO131203 AXI131203:AXK131203 BHE131203:BHG131203 BRA131203:BRC131203 CAW131203:CAY131203 CKS131203:CKU131203 CUO131203:CUQ131203 DEK131203:DEM131203 DOG131203:DOI131203 DYC131203:DYE131203 EHY131203:EIA131203 ERU131203:ERW131203 FBQ131203:FBS131203 FLM131203:FLO131203 FVI131203:FVK131203 GFE131203:GFG131203 GPA131203:GPC131203 GYW131203:GYY131203 HIS131203:HIU131203 HSO131203:HSQ131203 ICK131203:ICM131203 IMG131203:IMI131203 IWC131203:IWE131203 JFY131203:JGA131203 JPU131203:JPW131203 JZQ131203:JZS131203 KJM131203:KJO131203 KTI131203:KTK131203 LDE131203:LDG131203 LNA131203:LNC131203 LWW131203:LWY131203 MGS131203:MGU131203 MQO131203:MQQ131203 NAK131203:NAM131203 NKG131203:NKI131203 NUC131203:NUE131203 ODY131203:OEA131203 ONU131203:ONW131203 OXQ131203:OXS131203 PHM131203:PHO131203 PRI131203:PRK131203 QBE131203:QBG131203 QLA131203:QLC131203 QUW131203:QUY131203 RES131203:REU131203 ROO131203:ROQ131203 RYK131203:RYM131203 SIG131203:SII131203 SSC131203:SSE131203 TBY131203:TCA131203 TLU131203:TLW131203 TVQ131203:TVS131203 UFM131203:UFO131203 UPI131203:UPK131203 UZE131203:UZG131203 VJA131203:VJC131203 VSW131203:VSY131203 WCS131203:WCU131203 WMO131203:WMQ131203 WWK131203:WWM131203 AC196739:AE196739 JY196739:KA196739 TU196739:TW196739 ADQ196739:ADS196739 ANM196739:ANO196739 AXI196739:AXK196739 BHE196739:BHG196739 BRA196739:BRC196739 CAW196739:CAY196739 CKS196739:CKU196739 CUO196739:CUQ196739 DEK196739:DEM196739 DOG196739:DOI196739 DYC196739:DYE196739 EHY196739:EIA196739 ERU196739:ERW196739 FBQ196739:FBS196739 FLM196739:FLO196739 FVI196739:FVK196739 GFE196739:GFG196739 GPA196739:GPC196739 GYW196739:GYY196739 HIS196739:HIU196739 HSO196739:HSQ196739 ICK196739:ICM196739 IMG196739:IMI196739 IWC196739:IWE196739 JFY196739:JGA196739 JPU196739:JPW196739 JZQ196739:JZS196739 KJM196739:KJO196739 KTI196739:KTK196739 LDE196739:LDG196739 LNA196739:LNC196739 LWW196739:LWY196739 MGS196739:MGU196739 MQO196739:MQQ196739 NAK196739:NAM196739 NKG196739:NKI196739 NUC196739:NUE196739 ODY196739:OEA196739 ONU196739:ONW196739 OXQ196739:OXS196739 PHM196739:PHO196739 PRI196739:PRK196739 QBE196739:QBG196739 QLA196739:QLC196739 QUW196739:QUY196739 RES196739:REU196739 ROO196739:ROQ196739 RYK196739:RYM196739 SIG196739:SII196739 SSC196739:SSE196739 TBY196739:TCA196739 TLU196739:TLW196739 TVQ196739:TVS196739 UFM196739:UFO196739 UPI196739:UPK196739 UZE196739:UZG196739 VJA196739:VJC196739 VSW196739:VSY196739 WCS196739:WCU196739 WMO196739:WMQ196739 WWK196739:WWM196739 AC262275:AE262275 JY262275:KA262275 TU262275:TW262275 ADQ262275:ADS262275 ANM262275:ANO262275 AXI262275:AXK262275 BHE262275:BHG262275 BRA262275:BRC262275 CAW262275:CAY262275 CKS262275:CKU262275 CUO262275:CUQ262275 DEK262275:DEM262275 DOG262275:DOI262275 DYC262275:DYE262275 EHY262275:EIA262275 ERU262275:ERW262275 FBQ262275:FBS262275 FLM262275:FLO262275 FVI262275:FVK262275 GFE262275:GFG262275 GPA262275:GPC262275 GYW262275:GYY262275 HIS262275:HIU262275 HSO262275:HSQ262275 ICK262275:ICM262275 IMG262275:IMI262275 IWC262275:IWE262275 JFY262275:JGA262275 JPU262275:JPW262275 JZQ262275:JZS262275 KJM262275:KJO262275 KTI262275:KTK262275 LDE262275:LDG262275 LNA262275:LNC262275 LWW262275:LWY262275 MGS262275:MGU262275 MQO262275:MQQ262275 NAK262275:NAM262275 NKG262275:NKI262275 NUC262275:NUE262275 ODY262275:OEA262275 ONU262275:ONW262275 OXQ262275:OXS262275 PHM262275:PHO262275 PRI262275:PRK262275 QBE262275:QBG262275 QLA262275:QLC262275 QUW262275:QUY262275 RES262275:REU262275 ROO262275:ROQ262275 RYK262275:RYM262275 SIG262275:SII262275 SSC262275:SSE262275 TBY262275:TCA262275 TLU262275:TLW262275 TVQ262275:TVS262275 UFM262275:UFO262275 UPI262275:UPK262275 UZE262275:UZG262275 VJA262275:VJC262275 VSW262275:VSY262275 WCS262275:WCU262275 WMO262275:WMQ262275 WWK262275:WWM262275 AC327811:AE327811 JY327811:KA327811 TU327811:TW327811 ADQ327811:ADS327811 ANM327811:ANO327811 AXI327811:AXK327811 BHE327811:BHG327811 BRA327811:BRC327811 CAW327811:CAY327811 CKS327811:CKU327811 CUO327811:CUQ327811 DEK327811:DEM327811 DOG327811:DOI327811 DYC327811:DYE327811 EHY327811:EIA327811 ERU327811:ERW327811 FBQ327811:FBS327811 FLM327811:FLO327811 FVI327811:FVK327811 GFE327811:GFG327811 GPA327811:GPC327811 GYW327811:GYY327811 HIS327811:HIU327811 HSO327811:HSQ327811 ICK327811:ICM327811 IMG327811:IMI327811 IWC327811:IWE327811 JFY327811:JGA327811 JPU327811:JPW327811 JZQ327811:JZS327811 KJM327811:KJO327811 KTI327811:KTK327811 LDE327811:LDG327811 LNA327811:LNC327811 LWW327811:LWY327811 MGS327811:MGU327811 MQO327811:MQQ327811 NAK327811:NAM327811 NKG327811:NKI327811 NUC327811:NUE327811 ODY327811:OEA327811 ONU327811:ONW327811 OXQ327811:OXS327811 PHM327811:PHO327811 PRI327811:PRK327811 QBE327811:QBG327811 QLA327811:QLC327811 QUW327811:QUY327811 RES327811:REU327811 ROO327811:ROQ327811 RYK327811:RYM327811 SIG327811:SII327811 SSC327811:SSE327811 TBY327811:TCA327811 TLU327811:TLW327811 TVQ327811:TVS327811 UFM327811:UFO327811 UPI327811:UPK327811 UZE327811:UZG327811 VJA327811:VJC327811 VSW327811:VSY327811 WCS327811:WCU327811 WMO327811:WMQ327811 WWK327811:WWM327811 AC393347:AE393347 JY393347:KA393347 TU393347:TW393347 ADQ393347:ADS393347 ANM393347:ANO393347 AXI393347:AXK393347 BHE393347:BHG393347 BRA393347:BRC393347 CAW393347:CAY393347 CKS393347:CKU393347 CUO393347:CUQ393347 DEK393347:DEM393347 DOG393347:DOI393347 DYC393347:DYE393347 EHY393347:EIA393347 ERU393347:ERW393347 FBQ393347:FBS393347 FLM393347:FLO393347 FVI393347:FVK393347 GFE393347:GFG393347 GPA393347:GPC393347 GYW393347:GYY393347 HIS393347:HIU393347 HSO393347:HSQ393347 ICK393347:ICM393347 IMG393347:IMI393347 IWC393347:IWE393347 JFY393347:JGA393347 JPU393347:JPW393347 JZQ393347:JZS393347 KJM393347:KJO393347 KTI393347:KTK393347 LDE393347:LDG393347 LNA393347:LNC393347 LWW393347:LWY393347 MGS393347:MGU393347 MQO393347:MQQ393347 NAK393347:NAM393347 NKG393347:NKI393347 NUC393347:NUE393347 ODY393347:OEA393347 ONU393347:ONW393347 OXQ393347:OXS393347 PHM393347:PHO393347 PRI393347:PRK393347 QBE393347:QBG393347 QLA393347:QLC393347 QUW393347:QUY393347 RES393347:REU393347 ROO393347:ROQ393347 RYK393347:RYM393347 SIG393347:SII393347 SSC393347:SSE393347 TBY393347:TCA393347 TLU393347:TLW393347 TVQ393347:TVS393347 UFM393347:UFO393347 UPI393347:UPK393347 UZE393347:UZG393347 VJA393347:VJC393347 VSW393347:VSY393347 WCS393347:WCU393347 WMO393347:WMQ393347 WWK393347:WWM393347 AC458883:AE458883 JY458883:KA458883 TU458883:TW458883 ADQ458883:ADS458883 ANM458883:ANO458883 AXI458883:AXK458883 BHE458883:BHG458883 BRA458883:BRC458883 CAW458883:CAY458883 CKS458883:CKU458883 CUO458883:CUQ458883 DEK458883:DEM458883 DOG458883:DOI458883 DYC458883:DYE458883 EHY458883:EIA458883 ERU458883:ERW458883 FBQ458883:FBS458883 FLM458883:FLO458883 FVI458883:FVK458883 GFE458883:GFG458883 GPA458883:GPC458883 GYW458883:GYY458883 HIS458883:HIU458883 HSO458883:HSQ458883 ICK458883:ICM458883 IMG458883:IMI458883 IWC458883:IWE458883 JFY458883:JGA458883 JPU458883:JPW458883 JZQ458883:JZS458883 KJM458883:KJO458883 KTI458883:KTK458883 LDE458883:LDG458883 LNA458883:LNC458883 LWW458883:LWY458883 MGS458883:MGU458883 MQO458883:MQQ458883 NAK458883:NAM458883 NKG458883:NKI458883 NUC458883:NUE458883 ODY458883:OEA458883 ONU458883:ONW458883 OXQ458883:OXS458883 PHM458883:PHO458883 PRI458883:PRK458883 QBE458883:QBG458883 QLA458883:QLC458883 QUW458883:QUY458883 RES458883:REU458883 ROO458883:ROQ458883 RYK458883:RYM458883 SIG458883:SII458883 SSC458883:SSE458883 TBY458883:TCA458883 TLU458883:TLW458883 TVQ458883:TVS458883 UFM458883:UFO458883 UPI458883:UPK458883 UZE458883:UZG458883 VJA458883:VJC458883 VSW458883:VSY458883 WCS458883:WCU458883 WMO458883:WMQ458883 WWK458883:WWM458883 AC524419:AE524419 JY524419:KA524419 TU524419:TW524419 ADQ524419:ADS524419 ANM524419:ANO524419 AXI524419:AXK524419 BHE524419:BHG524419 BRA524419:BRC524419 CAW524419:CAY524419 CKS524419:CKU524419 CUO524419:CUQ524419 DEK524419:DEM524419 DOG524419:DOI524419 DYC524419:DYE524419 EHY524419:EIA524419 ERU524419:ERW524419 FBQ524419:FBS524419 FLM524419:FLO524419 FVI524419:FVK524419 GFE524419:GFG524419 GPA524419:GPC524419 GYW524419:GYY524419 HIS524419:HIU524419 HSO524419:HSQ524419 ICK524419:ICM524419 IMG524419:IMI524419 IWC524419:IWE524419 JFY524419:JGA524419 JPU524419:JPW524419 JZQ524419:JZS524419 KJM524419:KJO524419 KTI524419:KTK524419 LDE524419:LDG524419 LNA524419:LNC524419 LWW524419:LWY524419 MGS524419:MGU524419 MQO524419:MQQ524419 NAK524419:NAM524419 NKG524419:NKI524419 NUC524419:NUE524419 ODY524419:OEA524419 ONU524419:ONW524419 OXQ524419:OXS524419 PHM524419:PHO524419 PRI524419:PRK524419 QBE524419:QBG524419 QLA524419:QLC524419 QUW524419:QUY524419 RES524419:REU524419 ROO524419:ROQ524419 RYK524419:RYM524419 SIG524419:SII524419 SSC524419:SSE524419 TBY524419:TCA524419 TLU524419:TLW524419 TVQ524419:TVS524419 UFM524419:UFO524419 UPI524419:UPK524419 UZE524419:UZG524419 VJA524419:VJC524419 VSW524419:VSY524419 WCS524419:WCU524419 WMO524419:WMQ524419 WWK524419:WWM524419 AC589955:AE589955 JY589955:KA589955 TU589955:TW589955 ADQ589955:ADS589955 ANM589955:ANO589955 AXI589955:AXK589955 BHE589955:BHG589955 BRA589955:BRC589955 CAW589955:CAY589955 CKS589955:CKU589955 CUO589955:CUQ589955 DEK589955:DEM589955 DOG589955:DOI589955 DYC589955:DYE589955 EHY589955:EIA589955 ERU589955:ERW589955 FBQ589955:FBS589955 FLM589955:FLO589955 FVI589955:FVK589955 GFE589955:GFG589955 GPA589955:GPC589955 GYW589955:GYY589955 HIS589955:HIU589955 HSO589955:HSQ589955 ICK589955:ICM589955 IMG589955:IMI589955 IWC589955:IWE589955 JFY589955:JGA589955 JPU589955:JPW589955 JZQ589955:JZS589955 KJM589955:KJO589955 KTI589955:KTK589955 LDE589955:LDG589955 LNA589955:LNC589955 LWW589955:LWY589955 MGS589955:MGU589955 MQO589955:MQQ589955 NAK589955:NAM589955 NKG589955:NKI589955 NUC589955:NUE589955 ODY589955:OEA589955 ONU589955:ONW589955 OXQ589955:OXS589955 PHM589955:PHO589955 PRI589955:PRK589955 QBE589955:QBG589955 QLA589955:QLC589955 QUW589955:QUY589955 RES589955:REU589955 ROO589955:ROQ589955 RYK589955:RYM589955 SIG589955:SII589955 SSC589955:SSE589955 TBY589955:TCA589955 TLU589955:TLW589955 TVQ589955:TVS589955 UFM589955:UFO589955 UPI589955:UPK589955 UZE589955:UZG589955 VJA589955:VJC589955 VSW589955:VSY589955 WCS589955:WCU589955 WMO589955:WMQ589955 WWK589955:WWM589955 AC655491:AE655491 JY655491:KA655491 TU655491:TW655491 ADQ655491:ADS655491 ANM655491:ANO655491 AXI655491:AXK655491 BHE655491:BHG655491 BRA655491:BRC655491 CAW655491:CAY655491 CKS655491:CKU655491 CUO655491:CUQ655491 DEK655491:DEM655491 DOG655491:DOI655491 DYC655491:DYE655491 EHY655491:EIA655491 ERU655491:ERW655491 FBQ655491:FBS655491 FLM655491:FLO655491 FVI655491:FVK655491 GFE655491:GFG655491 GPA655491:GPC655491 GYW655491:GYY655491 HIS655491:HIU655491 HSO655491:HSQ655491 ICK655491:ICM655491 IMG655491:IMI655491 IWC655491:IWE655491 JFY655491:JGA655491 JPU655491:JPW655491 JZQ655491:JZS655491 KJM655491:KJO655491 KTI655491:KTK655491 LDE655491:LDG655491 LNA655491:LNC655491 LWW655491:LWY655491 MGS655491:MGU655491 MQO655491:MQQ655491 NAK655491:NAM655491 NKG655491:NKI655491 NUC655491:NUE655491 ODY655491:OEA655491 ONU655491:ONW655491 OXQ655491:OXS655491 PHM655491:PHO655491 PRI655491:PRK655491 QBE655491:QBG655491 QLA655491:QLC655491 QUW655491:QUY655491 RES655491:REU655491 ROO655491:ROQ655491 RYK655491:RYM655491 SIG655491:SII655491 SSC655491:SSE655491 TBY655491:TCA655491 TLU655491:TLW655491 TVQ655491:TVS655491 UFM655491:UFO655491 UPI655491:UPK655491 UZE655491:UZG655491 VJA655491:VJC655491 VSW655491:VSY655491 WCS655491:WCU655491 WMO655491:WMQ655491 WWK655491:WWM655491 AC721027:AE721027 JY721027:KA721027 TU721027:TW721027 ADQ721027:ADS721027 ANM721027:ANO721027 AXI721027:AXK721027 BHE721027:BHG721027 BRA721027:BRC721027 CAW721027:CAY721027 CKS721027:CKU721027 CUO721027:CUQ721027 DEK721027:DEM721027 DOG721027:DOI721027 DYC721027:DYE721027 EHY721027:EIA721027 ERU721027:ERW721027 FBQ721027:FBS721027 FLM721027:FLO721027 FVI721027:FVK721027 GFE721027:GFG721027 GPA721027:GPC721027 GYW721027:GYY721027 HIS721027:HIU721027 HSO721027:HSQ721027 ICK721027:ICM721027 IMG721027:IMI721027 IWC721027:IWE721027 JFY721027:JGA721027 JPU721027:JPW721027 JZQ721027:JZS721027 KJM721027:KJO721027 KTI721027:KTK721027 LDE721027:LDG721027 LNA721027:LNC721027 LWW721027:LWY721027 MGS721027:MGU721027 MQO721027:MQQ721027 NAK721027:NAM721027 NKG721027:NKI721027 NUC721027:NUE721027 ODY721027:OEA721027 ONU721027:ONW721027 OXQ721027:OXS721027 PHM721027:PHO721027 PRI721027:PRK721027 QBE721027:QBG721027 QLA721027:QLC721027 QUW721027:QUY721027 RES721027:REU721027 ROO721027:ROQ721027 RYK721027:RYM721027 SIG721027:SII721027 SSC721027:SSE721027 TBY721027:TCA721027 TLU721027:TLW721027 TVQ721027:TVS721027 UFM721027:UFO721027 UPI721027:UPK721027 UZE721027:UZG721027 VJA721027:VJC721027 VSW721027:VSY721027 WCS721027:WCU721027 WMO721027:WMQ721027 WWK721027:WWM721027 AC786563:AE786563 JY786563:KA786563 TU786563:TW786563 ADQ786563:ADS786563 ANM786563:ANO786563 AXI786563:AXK786563 BHE786563:BHG786563 BRA786563:BRC786563 CAW786563:CAY786563 CKS786563:CKU786563 CUO786563:CUQ786563 DEK786563:DEM786563 DOG786563:DOI786563 DYC786563:DYE786563 EHY786563:EIA786563 ERU786563:ERW786563 FBQ786563:FBS786563 FLM786563:FLO786563 FVI786563:FVK786563 GFE786563:GFG786563 GPA786563:GPC786563 GYW786563:GYY786563 HIS786563:HIU786563 HSO786563:HSQ786563 ICK786563:ICM786563 IMG786563:IMI786563 IWC786563:IWE786563 JFY786563:JGA786563 JPU786563:JPW786563 JZQ786563:JZS786563 KJM786563:KJO786563 KTI786563:KTK786563 LDE786563:LDG786563 LNA786563:LNC786563 LWW786563:LWY786563 MGS786563:MGU786563 MQO786563:MQQ786563 NAK786563:NAM786563 NKG786563:NKI786563 NUC786563:NUE786563 ODY786563:OEA786563 ONU786563:ONW786563 OXQ786563:OXS786563 PHM786563:PHO786563 PRI786563:PRK786563 QBE786563:QBG786563 QLA786563:QLC786563 QUW786563:QUY786563 RES786563:REU786563 ROO786563:ROQ786563 RYK786563:RYM786563 SIG786563:SII786563 SSC786563:SSE786563 TBY786563:TCA786563 TLU786563:TLW786563 TVQ786563:TVS786563 UFM786563:UFO786563 UPI786563:UPK786563 UZE786563:UZG786563 VJA786563:VJC786563 VSW786563:VSY786563 WCS786563:WCU786563 WMO786563:WMQ786563 WWK786563:WWM786563 AC852099:AE852099 JY852099:KA852099 TU852099:TW852099 ADQ852099:ADS852099 ANM852099:ANO852099 AXI852099:AXK852099 BHE852099:BHG852099 BRA852099:BRC852099 CAW852099:CAY852099 CKS852099:CKU852099 CUO852099:CUQ852099 DEK852099:DEM852099 DOG852099:DOI852099 DYC852099:DYE852099 EHY852099:EIA852099 ERU852099:ERW852099 FBQ852099:FBS852099 FLM852099:FLO852099 FVI852099:FVK852099 GFE852099:GFG852099 GPA852099:GPC852099 GYW852099:GYY852099 HIS852099:HIU852099 HSO852099:HSQ852099 ICK852099:ICM852099 IMG852099:IMI852099 IWC852099:IWE852099 JFY852099:JGA852099 JPU852099:JPW852099 JZQ852099:JZS852099 KJM852099:KJO852099 KTI852099:KTK852099 LDE852099:LDG852099 LNA852099:LNC852099 LWW852099:LWY852099 MGS852099:MGU852099 MQO852099:MQQ852099 NAK852099:NAM852099 NKG852099:NKI852099 NUC852099:NUE852099 ODY852099:OEA852099 ONU852099:ONW852099 OXQ852099:OXS852099 PHM852099:PHO852099 PRI852099:PRK852099 QBE852099:QBG852099 QLA852099:QLC852099 QUW852099:QUY852099 RES852099:REU852099 ROO852099:ROQ852099 RYK852099:RYM852099 SIG852099:SII852099 SSC852099:SSE852099 TBY852099:TCA852099 TLU852099:TLW852099 TVQ852099:TVS852099 UFM852099:UFO852099 UPI852099:UPK852099 UZE852099:UZG852099 VJA852099:VJC852099 VSW852099:VSY852099 WCS852099:WCU852099 WMO852099:WMQ852099 WWK852099:WWM852099 AC917635:AE917635 JY917635:KA917635 TU917635:TW917635 ADQ917635:ADS917635 ANM917635:ANO917635 AXI917635:AXK917635 BHE917635:BHG917635 BRA917635:BRC917635 CAW917635:CAY917635 CKS917635:CKU917635 CUO917635:CUQ917635 DEK917635:DEM917635 DOG917635:DOI917635 DYC917635:DYE917635 EHY917635:EIA917635 ERU917635:ERW917635 FBQ917635:FBS917635 FLM917635:FLO917635 FVI917635:FVK917635 GFE917635:GFG917635 GPA917635:GPC917635 GYW917635:GYY917635 HIS917635:HIU917635 HSO917635:HSQ917635 ICK917635:ICM917635 IMG917635:IMI917635 IWC917635:IWE917635 JFY917635:JGA917635 JPU917635:JPW917635 JZQ917635:JZS917635 KJM917635:KJO917635 KTI917635:KTK917635 LDE917635:LDG917635 LNA917635:LNC917635 LWW917635:LWY917635 MGS917635:MGU917635 MQO917635:MQQ917635 NAK917635:NAM917635 NKG917635:NKI917635 NUC917635:NUE917635 ODY917635:OEA917635 ONU917635:ONW917635 OXQ917635:OXS917635 PHM917635:PHO917635 PRI917635:PRK917635 QBE917635:QBG917635 QLA917635:QLC917635 QUW917635:QUY917635 RES917635:REU917635 ROO917635:ROQ917635 RYK917635:RYM917635 SIG917635:SII917635 SSC917635:SSE917635 TBY917635:TCA917635 TLU917635:TLW917635 TVQ917635:TVS917635 UFM917635:UFO917635 UPI917635:UPK917635 UZE917635:UZG917635 VJA917635:VJC917635 VSW917635:VSY917635 WCS917635:WCU917635 WMO917635:WMQ917635 WWK917635:WWM917635 AC983171:AE983171 JY983171:KA983171 TU983171:TW983171 ADQ983171:ADS983171 ANM983171:ANO983171 AXI983171:AXK983171 BHE983171:BHG983171 BRA983171:BRC983171 CAW983171:CAY983171 CKS983171:CKU983171 CUO983171:CUQ983171 DEK983171:DEM983171 DOG983171:DOI983171 DYC983171:DYE983171 EHY983171:EIA983171 ERU983171:ERW983171 FBQ983171:FBS983171 FLM983171:FLO983171 FVI983171:FVK983171 GFE983171:GFG983171 GPA983171:GPC983171 GYW983171:GYY983171 HIS983171:HIU983171 HSO983171:HSQ983171 ICK983171:ICM983171 IMG983171:IMI983171 IWC983171:IWE983171 JFY983171:JGA983171 JPU983171:JPW983171 JZQ983171:JZS983171 KJM983171:KJO983171 KTI983171:KTK983171 LDE983171:LDG983171 LNA983171:LNC983171 LWW983171:LWY983171 MGS983171:MGU983171 MQO983171:MQQ983171 NAK983171:NAM983171 NKG983171:NKI983171 NUC983171:NUE983171 ODY983171:OEA983171 ONU983171:ONW983171 OXQ983171:OXS983171 PHM983171:PHO983171 PRI983171:PRK983171 QBE983171:QBG983171 QLA983171:QLC983171 QUW983171:QUY983171 RES983171:REU983171 ROO983171:ROQ983171 RYK983171:RYM983171 SIG983171:SII983171 SSC983171:SSE983171 TBY983171:TCA983171 TLU983171:TLW983171 TVQ983171:TVS983171 UFM983171:UFO983171 UPI983171:UPK983171 UZE983171:UZG983171 VJA983171:VJC983171 VSW983171:VSY983171 WCS983171:WCU983171 WMO983171:WMQ983171 WWK983171:WWM983171 V106:Z107 JR106:JV107 TN106:TR107 ADJ106:ADN107 ANF106:ANJ107 AXB106:AXF107 BGX106:BHB107 BQT106:BQX107 CAP106:CAT107 CKL106:CKP107 CUH106:CUL107 DED106:DEH107 DNZ106:DOD107 DXV106:DXZ107 EHR106:EHV107 ERN106:ERR107 FBJ106:FBN107 FLF106:FLJ107 FVB106:FVF107 GEX106:GFB107 GOT106:GOX107 GYP106:GYT107 HIL106:HIP107 HSH106:HSL107 ICD106:ICH107 ILZ106:IMD107 IVV106:IVZ107 JFR106:JFV107 JPN106:JPR107 JZJ106:JZN107 KJF106:KJJ107 KTB106:KTF107 LCX106:LDB107 LMT106:LMX107 LWP106:LWT107 MGL106:MGP107 MQH106:MQL107 NAD106:NAH107 NJZ106:NKD107 NTV106:NTZ107 ODR106:ODV107 ONN106:ONR107 OXJ106:OXN107 PHF106:PHJ107 PRB106:PRF107 QAX106:QBB107 QKT106:QKX107 QUP106:QUT107 REL106:REP107 ROH106:ROL107 RYD106:RYH107 SHZ106:SID107 SRV106:SRZ107 TBR106:TBV107 TLN106:TLR107 TVJ106:TVN107 UFF106:UFJ107 UPB106:UPF107 UYX106:UZB107 VIT106:VIX107 VSP106:VST107 WCL106:WCP107 WMH106:WML107 WWD106:WWH107 V65642:Z65643 JR65642:JV65643 TN65642:TR65643 ADJ65642:ADN65643 ANF65642:ANJ65643 AXB65642:AXF65643 BGX65642:BHB65643 BQT65642:BQX65643 CAP65642:CAT65643 CKL65642:CKP65643 CUH65642:CUL65643 DED65642:DEH65643 DNZ65642:DOD65643 DXV65642:DXZ65643 EHR65642:EHV65643 ERN65642:ERR65643 FBJ65642:FBN65643 FLF65642:FLJ65643 FVB65642:FVF65643 GEX65642:GFB65643 GOT65642:GOX65643 GYP65642:GYT65643 HIL65642:HIP65643 HSH65642:HSL65643 ICD65642:ICH65643 ILZ65642:IMD65643 IVV65642:IVZ65643 JFR65642:JFV65643 JPN65642:JPR65643 JZJ65642:JZN65643 KJF65642:KJJ65643 KTB65642:KTF65643 LCX65642:LDB65643 LMT65642:LMX65643 LWP65642:LWT65643 MGL65642:MGP65643 MQH65642:MQL65643 NAD65642:NAH65643 NJZ65642:NKD65643 NTV65642:NTZ65643 ODR65642:ODV65643 ONN65642:ONR65643 OXJ65642:OXN65643 PHF65642:PHJ65643 PRB65642:PRF65643 QAX65642:QBB65643 QKT65642:QKX65643 QUP65642:QUT65643 REL65642:REP65643 ROH65642:ROL65643 RYD65642:RYH65643 SHZ65642:SID65643 SRV65642:SRZ65643 TBR65642:TBV65643 TLN65642:TLR65643 TVJ65642:TVN65643 UFF65642:UFJ65643 UPB65642:UPF65643 UYX65642:UZB65643 VIT65642:VIX65643 VSP65642:VST65643 WCL65642:WCP65643 WMH65642:WML65643 WWD65642:WWH65643 V131178:Z131179 JR131178:JV131179 TN131178:TR131179 ADJ131178:ADN131179 ANF131178:ANJ131179 AXB131178:AXF131179 BGX131178:BHB131179 BQT131178:BQX131179 CAP131178:CAT131179 CKL131178:CKP131179 CUH131178:CUL131179 DED131178:DEH131179 DNZ131178:DOD131179 DXV131178:DXZ131179 EHR131178:EHV131179 ERN131178:ERR131179 FBJ131178:FBN131179 FLF131178:FLJ131179 FVB131178:FVF131179 GEX131178:GFB131179 GOT131178:GOX131179 GYP131178:GYT131179 HIL131178:HIP131179 HSH131178:HSL131179 ICD131178:ICH131179 ILZ131178:IMD131179 IVV131178:IVZ131179 JFR131178:JFV131179 JPN131178:JPR131179 JZJ131178:JZN131179 KJF131178:KJJ131179 KTB131178:KTF131179 LCX131178:LDB131179 LMT131178:LMX131179 LWP131178:LWT131179 MGL131178:MGP131179 MQH131178:MQL131179 NAD131178:NAH131179 NJZ131178:NKD131179 NTV131178:NTZ131179 ODR131178:ODV131179 ONN131178:ONR131179 OXJ131178:OXN131179 PHF131178:PHJ131179 PRB131178:PRF131179 QAX131178:QBB131179 QKT131178:QKX131179 QUP131178:QUT131179 REL131178:REP131179 ROH131178:ROL131179 RYD131178:RYH131179 SHZ131178:SID131179 SRV131178:SRZ131179 TBR131178:TBV131179 TLN131178:TLR131179 TVJ131178:TVN131179 UFF131178:UFJ131179 UPB131178:UPF131179 UYX131178:UZB131179 VIT131178:VIX131179 VSP131178:VST131179 WCL131178:WCP131179 WMH131178:WML131179 WWD131178:WWH131179 V196714:Z196715 JR196714:JV196715 TN196714:TR196715 ADJ196714:ADN196715 ANF196714:ANJ196715 AXB196714:AXF196715 BGX196714:BHB196715 BQT196714:BQX196715 CAP196714:CAT196715 CKL196714:CKP196715 CUH196714:CUL196715 DED196714:DEH196715 DNZ196714:DOD196715 DXV196714:DXZ196715 EHR196714:EHV196715 ERN196714:ERR196715 FBJ196714:FBN196715 FLF196714:FLJ196715 FVB196714:FVF196715 GEX196714:GFB196715 GOT196714:GOX196715 GYP196714:GYT196715 HIL196714:HIP196715 HSH196714:HSL196715 ICD196714:ICH196715 ILZ196714:IMD196715 IVV196714:IVZ196715 JFR196714:JFV196715 JPN196714:JPR196715 JZJ196714:JZN196715 KJF196714:KJJ196715 KTB196714:KTF196715 LCX196714:LDB196715 LMT196714:LMX196715 LWP196714:LWT196715 MGL196714:MGP196715 MQH196714:MQL196715 NAD196714:NAH196715 NJZ196714:NKD196715 NTV196714:NTZ196715 ODR196714:ODV196715 ONN196714:ONR196715 OXJ196714:OXN196715 PHF196714:PHJ196715 PRB196714:PRF196715 QAX196714:QBB196715 QKT196714:QKX196715 QUP196714:QUT196715 REL196714:REP196715 ROH196714:ROL196715 RYD196714:RYH196715 SHZ196714:SID196715 SRV196714:SRZ196715 TBR196714:TBV196715 TLN196714:TLR196715 TVJ196714:TVN196715 UFF196714:UFJ196715 UPB196714:UPF196715 UYX196714:UZB196715 VIT196714:VIX196715 VSP196714:VST196715 WCL196714:WCP196715 WMH196714:WML196715 WWD196714:WWH196715 V262250:Z262251 JR262250:JV262251 TN262250:TR262251 ADJ262250:ADN262251 ANF262250:ANJ262251 AXB262250:AXF262251 BGX262250:BHB262251 BQT262250:BQX262251 CAP262250:CAT262251 CKL262250:CKP262251 CUH262250:CUL262251 DED262250:DEH262251 DNZ262250:DOD262251 DXV262250:DXZ262251 EHR262250:EHV262251 ERN262250:ERR262251 FBJ262250:FBN262251 FLF262250:FLJ262251 FVB262250:FVF262251 GEX262250:GFB262251 GOT262250:GOX262251 GYP262250:GYT262251 HIL262250:HIP262251 HSH262250:HSL262251 ICD262250:ICH262251 ILZ262250:IMD262251 IVV262250:IVZ262251 JFR262250:JFV262251 JPN262250:JPR262251 JZJ262250:JZN262251 KJF262250:KJJ262251 KTB262250:KTF262251 LCX262250:LDB262251 LMT262250:LMX262251 LWP262250:LWT262251 MGL262250:MGP262251 MQH262250:MQL262251 NAD262250:NAH262251 NJZ262250:NKD262251 NTV262250:NTZ262251 ODR262250:ODV262251 ONN262250:ONR262251 OXJ262250:OXN262251 PHF262250:PHJ262251 PRB262250:PRF262251 QAX262250:QBB262251 QKT262250:QKX262251 QUP262250:QUT262251 REL262250:REP262251 ROH262250:ROL262251 RYD262250:RYH262251 SHZ262250:SID262251 SRV262250:SRZ262251 TBR262250:TBV262251 TLN262250:TLR262251 TVJ262250:TVN262251 UFF262250:UFJ262251 UPB262250:UPF262251 UYX262250:UZB262251 VIT262250:VIX262251 VSP262250:VST262251 WCL262250:WCP262251 WMH262250:WML262251 WWD262250:WWH262251 V327786:Z327787 JR327786:JV327787 TN327786:TR327787 ADJ327786:ADN327787 ANF327786:ANJ327787 AXB327786:AXF327787 BGX327786:BHB327787 BQT327786:BQX327787 CAP327786:CAT327787 CKL327786:CKP327787 CUH327786:CUL327787 DED327786:DEH327787 DNZ327786:DOD327787 DXV327786:DXZ327787 EHR327786:EHV327787 ERN327786:ERR327787 FBJ327786:FBN327787 FLF327786:FLJ327787 FVB327786:FVF327787 GEX327786:GFB327787 GOT327786:GOX327787 GYP327786:GYT327787 HIL327786:HIP327787 HSH327786:HSL327787 ICD327786:ICH327787 ILZ327786:IMD327787 IVV327786:IVZ327787 JFR327786:JFV327787 JPN327786:JPR327787 JZJ327786:JZN327787 KJF327786:KJJ327787 KTB327786:KTF327787 LCX327786:LDB327787 LMT327786:LMX327787 LWP327786:LWT327787 MGL327786:MGP327787 MQH327786:MQL327787 NAD327786:NAH327787 NJZ327786:NKD327787 NTV327786:NTZ327787 ODR327786:ODV327787 ONN327786:ONR327787 OXJ327786:OXN327787 PHF327786:PHJ327787 PRB327786:PRF327787 QAX327786:QBB327787 QKT327786:QKX327787 QUP327786:QUT327787 REL327786:REP327787 ROH327786:ROL327787 RYD327786:RYH327787 SHZ327786:SID327787 SRV327786:SRZ327787 TBR327786:TBV327787 TLN327786:TLR327787 TVJ327786:TVN327787 UFF327786:UFJ327787 UPB327786:UPF327787 UYX327786:UZB327787 VIT327786:VIX327787 VSP327786:VST327787 WCL327786:WCP327787 WMH327786:WML327787 WWD327786:WWH327787 V393322:Z393323 JR393322:JV393323 TN393322:TR393323 ADJ393322:ADN393323 ANF393322:ANJ393323 AXB393322:AXF393323 BGX393322:BHB393323 BQT393322:BQX393323 CAP393322:CAT393323 CKL393322:CKP393323 CUH393322:CUL393323 DED393322:DEH393323 DNZ393322:DOD393323 DXV393322:DXZ393323 EHR393322:EHV393323 ERN393322:ERR393323 FBJ393322:FBN393323 FLF393322:FLJ393323 FVB393322:FVF393323 GEX393322:GFB393323 GOT393322:GOX393323 GYP393322:GYT393323 HIL393322:HIP393323 HSH393322:HSL393323 ICD393322:ICH393323 ILZ393322:IMD393323 IVV393322:IVZ393323 JFR393322:JFV393323 JPN393322:JPR393323 JZJ393322:JZN393323 KJF393322:KJJ393323 KTB393322:KTF393323 LCX393322:LDB393323 LMT393322:LMX393323 LWP393322:LWT393323 MGL393322:MGP393323 MQH393322:MQL393323 NAD393322:NAH393323 NJZ393322:NKD393323 NTV393322:NTZ393323 ODR393322:ODV393323 ONN393322:ONR393323 OXJ393322:OXN393323 PHF393322:PHJ393323 PRB393322:PRF393323 QAX393322:QBB393323 QKT393322:QKX393323 QUP393322:QUT393323 REL393322:REP393323 ROH393322:ROL393323 RYD393322:RYH393323 SHZ393322:SID393323 SRV393322:SRZ393323 TBR393322:TBV393323 TLN393322:TLR393323 TVJ393322:TVN393323 UFF393322:UFJ393323 UPB393322:UPF393323 UYX393322:UZB393323 VIT393322:VIX393323 VSP393322:VST393323 WCL393322:WCP393323 WMH393322:WML393323 WWD393322:WWH393323 V458858:Z458859 JR458858:JV458859 TN458858:TR458859 ADJ458858:ADN458859 ANF458858:ANJ458859 AXB458858:AXF458859 BGX458858:BHB458859 BQT458858:BQX458859 CAP458858:CAT458859 CKL458858:CKP458859 CUH458858:CUL458859 DED458858:DEH458859 DNZ458858:DOD458859 DXV458858:DXZ458859 EHR458858:EHV458859 ERN458858:ERR458859 FBJ458858:FBN458859 FLF458858:FLJ458859 FVB458858:FVF458859 GEX458858:GFB458859 GOT458858:GOX458859 GYP458858:GYT458859 HIL458858:HIP458859 HSH458858:HSL458859 ICD458858:ICH458859 ILZ458858:IMD458859 IVV458858:IVZ458859 JFR458858:JFV458859 JPN458858:JPR458859 JZJ458858:JZN458859 KJF458858:KJJ458859 KTB458858:KTF458859 LCX458858:LDB458859 LMT458858:LMX458859 LWP458858:LWT458859 MGL458858:MGP458859 MQH458858:MQL458859 NAD458858:NAH458859 NJZ458858:NKD458859 NTV458858:NTZ458859 ODR458858:ODV458859 ONN458858:ONR458859 OXJ458858:OXN458859 PHF458858:PHJ458859 PRB458858:PRF458859 QAX458858:QBB458859 QKT458858:QKX458859 QUP458858:QUT458859 REL458858:REP458859 ROH458858:ROL458859 RYD458858:RYH458859 SHZ458858:SID458859 SRV458858:SRZ458859 TBR458858:TBV458859 TLN458858:TLR458859 TVJ458858:TVN458859 UFF458858:UFJ458859 UPB458858:UPF458859 UYX458858:UZB458859 VIT458858:VIX458859 VSP458858:VST458859 WCL458858:WCP458859 WMH458858:WML458859 WWD458858:WWH458859 V524394:Z524395 JR524394:JV524395 TN524394:TR524395 ADJ524394:ADN524395 ANF524394:ANJ524395 AXB524394:AXF524395 BGX524394:BHB524395 BQT524394:BQX524395 CAP524394:CAT524395 CKL524394:CKP524395 CUH524394:CUL524395 DED524394:DEH524395 DNZ524394:DOD524395 DXV524394:DXZ524395 EHR524394:EHV524395 ERN524394:ERR524395 FBJ524394:FBN524395 FLF524394:FLJ524395 FVB524394:FVF524395 GEX524394:GFB524395 GOT524394:GOX524395 GYP524394:GYT524395 HIL524394:HIP524395 HSH524394:HSL524395 ICD524394:ICH524395 ILZ524394:IMD524395 IVV524394:IVZ524395 JFR524394:JFV524395 JPN524394:JPR524395 JZJ524394:JZN524395 KJF524394:KJJ524395 KTB524394:KTF524395 LCX524394:LDB524395 LMT524394:LMX524395 LWP524394:LWT524395 MGL524394:MGP524395 MQH524394:MQL524395 NAD524394:NAH524395 NJZ524394:NKD524395 NTV524394:NTZ524395 ODR524394:ODV524395 ONN524394:ONR524395 OXJ524394:OXN524395 PHF524394:PHJ524395 PRB524394:PRF524395 QAX524394:QBB524395 QKT524394:QKX524395 QUP524394:QUT524395 REL524394:REP524395 ROH524394:ROL524395 RYD524394:RYH524395 SHZ524394:SID524395 SRV524394:SRZ524395 TBR524394:TBV524395 TLN524394:TLR524395 TVJ524394:TVN524395 UFF524394:UFJ524395 UPB524394:UPF524395 UYX524394:UZB524395 VIT524394:VIX524395 VSP524394:VST524395 WCL524394:WCP524395 WMH524394:WML524395 WWD524394:WWH524395 V589930:Z589931 JR589930:JV589931 TN589930:TR589931 ADJ589930:ADN589931 ANF589930:ANJ589931 AXB589930:AXF589931 BGX589930:BHB589931 BQT589930:BQX589931 CAP589930:CAT589931 CKL589930:CKP589931 CUH589930:CUL589931 DED589930:DEH589931 DNZ589930:DOD589931 DXV589930:DXZ589931 EHR589930:EHV589931 ERN589930:ERR589931 FBJ589930:FBN589931 FLF589930:FLJ589931 FVB589930:FVF589931 GEX589930:GFB589931 GOT589930:GOX589931 GYP589930:GYT589931 HIL589930:HIP589931 HSH589930:HSL589931 ICD589930:ICH589931 ILZ589930:IMD589931 IVV589930:IVZ589931 JFR589930:JFV589931 JPN589930:JPR589931 JZJ589930:JZN589931 KJF589930:KJJ589931 KTB589930:KTF589931 LCX589930:LDB589931 LMT589930:LMX589931 LWP589930:LWT589931 MGL589930:MGP589931 MQH589930:MQL589931 NAD589930:NAH589931 NJZ589930:NKD589931 NTV589930:NTZ589931 ODR589930:ODV589931 ONN589930:ONR589931 OXJ589930:OXN589931 PHF589930:PHJ589931 PRB589930:PRF589931 QAX589930:QBB589931 QKT589930:QKX589931 QUP589930:QUT589931 REL589930:REP589931 ROH589930:ROL589931 RYD589930:RYH589931 SHZ589930:SID589931 SRV589930:SRZ589931 TBR589930:TBV589931 TLN589930:TLR589931 TVJ589930:TVN589931 UFF589930:UFJ589931 UPB589930:UPF589931 UYX589930:UZB589931 VIT589930:VIX589931 VSP589930:VST589931 WCL589930:WCP589931 WMH589930:WML589931 WWD589930:WWH589931 V655466:Z655467 JR655466:JV655467 TN655466:TR655467 ADJ655466:ADN655467 ANF655466:ANJ655467 AXB655466:AXF655467 BGX655466:BHB655467 BQT655466:BQX655467 CAP655466:CAT655467 CKL655466:CKP655467 CUH655466:CUL655467 DED655466:DEH655467 DNZ655466:DOD655467 DXV655466:DXZ655467 EHR655466:EHV655467 ERN655466:ERR655467 FBJ655466:FBN655467 FLF655466:FLJ655467 FVB655466:FVF655467 GEX655466:GFB655467 GOT655466:GOX655467 GYP655466:GYT655467 HIL655466:HIP655467 HSH655466:HSL655467 ICD655466:ICH655467 ILZ655466:IMD655467 IVV655466:IVZ655467 JFR655466:JFV655467 JPN655466:JPR655467 JZJ655466:JZN655467 KJF655466:KJJ655467 KTB655466:KTF655467 LCX655466:LDB655467 LMT655466:LMX655467 LWP655466:LWT655467 MGL655466:MGP655467 MQH655466:MQL655467 NAD655466:NAH655467 NJZ655466:NKD655467 NTV655466:NTZ655467 ODR655466:ODV655467 ONN655466:ONR655467 OXJ655466:OXN655467 PHF655466:PHJ655467 PRB655466:PRF655467 QAX655466:QBB655467 QKT655466:QKX655467 QUP655466:QUT655467 REL655466:REP655467 ROH655466:ROL655467 RYD655466:RYH655467 SHZ655466:SID655467 SRV655466:SRZ655467 TBR655466:TBV655467 TLN655466:TLR655467 TVJ655466:TVN655467 UFF655466:UFJ655467 UPB655466:UPF655467 UYX655466:UZB655467 VIT655466:VIX655467 VSP655466:VST655467 WCL655466:WCP655467 WMH655466:WML655467 WWD655466:WWH655467 V721002:Z721003 JR721002:JV721003 TN721002:TR721003 ADJ721002:ADN721003 ANF721002:ANJ721003 AXB721002:AXF721003 BGX721002:BHB721003 BQT721002:BQX721003 CAP721002:CAT721003 CKL721002:CKP721003 CUH721002:CUL721003 DED721002:DEH721003 DNZ721002:DOD721003 DXV721002:DXZ721003 EHR721002:EHV721003 ERN721002:ERR721003 FBJ721002:FBN721003 FLF721002:FLJ721003 FVB721002:FVF721003 GEX721002:GFB721003 GOT721002:GOX721003 GYP721002:GYT721003 HIL721002:HIP721003 HSH721002:HSL721003 ICD721002:ICH721003 ILZ721002:IMD721003 IVV721002:IVZ721003 JFR721002:JFV721003 JPN721002:JPR721003 JZJ721002:JZN721003 KJF721002:KJJ721003 KTB721002:KTF721003 LCX721002:LDB721003 LMT721002:LMX721003 LWP721002:LWT721003 MGL721002:MGP721003 MQH721002:MQL721003 NAD721002:NAH721003 NJZ721002:NKD721003 NTV721002:NTZ721003 ODR721002:ODV721003 ONN721002:ONR721003 OXJ721002:OXN721003 PHF721002:PHJ721003 PRB721002:PRF721003 QAX721002:QBB721003 QKT721002:QKX721003 QUP721002:QUT721003 REL721002:REP721003 ROH721002:ROL721003 RYD721002:RYH721003 SHZ721002:SID721003 SRV721002:SRZ721003 TBR721002:TBV721003 TLN721002:TLR721003 TVJ721002:TVN721003 UFF721002:UFJ721003 UPB721002:UPF721003 UYX721002:UZB721003 VIT721002:VIX721003 VSP721002:VST721003 WCL721002:WCP721003 WMH721002:WML721003 WWD721002:WWH721003 V786538:Z786539 JR786538:JV786539 TN786538:TR786539 ADJ786538:ADN786539 ANF786538:ANJ786539 AXB786538:AXF786539 BGX786538:BHB786539 BQT786538:BQX786539 CAP786538:CAT786539 CKL786538:CKP786539 CUH786538:CUL786539 DED786538:DEH786539 DNZ786538:DOD786539 DXV786538:DXZ786539 EHR786538:EHV786539 ERN786538:ERR786539 FBJ786538:FBN786539 FLF786538:FLJ786539 FVB786538:FVF786539 GEX786538:GFB786539 GOT786538:GOX786539 GYP786538:GYT786539 HIL786538:HIP786539 HSH786538:HSL786539 ICD786538:ICH786539 ILZ786538:IMD786539 IVV786538:IVZ786539 JFR786538:JFV786539 JPN786538:JPR786539 JZJ786538:JZN786539 KJF786538:KJJ786539 KTB786538:KTF786539 LCX786538:LDB786539 LMT786538:LMX786539 LWP786538:LWT786539 MGL786538:MGP786539 MQH786538:MQL786539 NAD786538:NAH786539 NJZ786538:NKD786539 NTV786538:NTZ786539 ODR786538:ODV786539 ONN786538:ONR786539 OXJ786538:OXN786539 PHF786538:PHJ786539 PRB786538:PRF786539 QAX786538:QBB786539 QKT786538:QKX786539 QUP786538:QUT786539 REL786538:REP786539 ROH786538:ROL786539 RYD786538:RYH786539 SHZ786538:SID786539 SRV786538:SRZ786539 TBR786538:TBV786539 TLN786538:TLR786539 TVJ786538:TVN786539 UFF786538:UFJ786539 UPB786538:UPF786539 UYX786538:UZB786539 VIT786538:VIX786539 VSP786538:VST786539 WCL786538:WCP786539 WMH786538:WML786539 WWD786538:WWH786539 V852074:Z852075 JR852074:JV852075 TN852074:TR852075 ADJ852074:ADN852075 ANF852074:ANJ852075 AXB852074:AXF852075 BGX852074:BHB852075 BQT852074:BQX852075 CAP852074:CAT852075 CKL852074:CKP852075 CUH852074:CUL852075 DED852074:DEH852075 DNZ852074:DOD852075 DXV852074:DXZ852075 EHR852074:EHV852075 ERN852074:ERR852075 FBJ852074:FBN852075 FLF852074:FLJ852075 FVB852074:FVF852075 GEX852074:GFB852075 GOT852074:GOX852075 GYP852074:GYT852075 HIL852074:HIP852075 HSH852074:HSL852075 ICD852074:ICH852075 ILZ852074:IMD852075 IVV852074:IVZ852075 JFR852074:JFV852075 JPN852074:JPR852075 JZJ852074:JZN852075 KJF852074:KJJ852075 KTB852074:KTF852075 LCX852074:LDB852075 LMT852074:LMX852075 LWP852074:LWT852075 MGL852074:MGP852075 MQH852074:MQL852075 NAD852074:NAH852075 NJZ852074:NKD852075 NTV852074:NTZ852075 ODR852074:ODV852075 ONN852074:ONR852075 OXJ852074:OXN852075 PHF852074:PHJ852075 PRB852074:PRF852075 QAX852074:QBB852075 QKT852074:QKX852075 QUP852074:QUT852075 REL852074:REP852075 ROH852074:ROL852075 RYD852074:RYH852075 SHZ852074:SID852075 SRV852074:SRZ852075 TBR852074:TBV852075 TLN852074:TLR852075 TVJ852074:TVN852075 UFF852074:UFJ852075 UPB852074:UPF852075 UYX852074:UZB852075 VIT852074:VIX852075 VSP852074:VST852075 WCL852074:WCP852075 WMH852074:WML852075 WWD852074:WWH852075 V917610:Z917611 JR917610:JV917611 TN917610:TR917611 ADJ917610:ADN917611 ANF917610:ANJ917611 AXB917610:AXF917611 BGX917610:BHB917611 BQT917610:BQX917611 CAP917610:CAT917611 CKL917610:CKP917611 CUH917610:CUL917611 DED917610:DEH917611 DNZ917610:DOD917611 DXV917610:DXZ917611 EHR917610:EHV917611 ERN917610:ERR917611 FBJ917610:FBN917611 FLF917610:FLJ917611 FVB917610:FVF917611 GEX917610:GFB917611 GOT917610:GOX917611 GYP917610:GYT917611 HIL917610:HIP917611 HSH917610:HSL917611 ICD917610:ICH917611 ILZ917610:IMD917611 IVV917610:IVZ917611 JFR917610:JFV917611 JPN917610:JPR917611 JZJ917610:JZN917611 KJF917610:KJJ917611 KTB917610:KTF917611 LCX917610:LDB917611 LMT917610:LMX917611 LWP917610:LWT917611 MGL917610:MGP917611 MQH917610:MQL917611 NAD917610:NAH917611 NJZ917610:NKD917611 NTV917610:NTZ917611 ODR917610:ODV917611 ONN917610:ONR917611 OXJ917610:OXN917611 PHF917610:PHJ917611 PRB917610:PRF917611 QAX917610:QBB917611 QKT917610:QKX917611 QUP917610:QUT917611 REL917610:REP917611 ROH917610:ROL917611 RYD917610:RYH917611 SHZ917610:SID917611 SRV917610:SRZ917611 TBR917610:TBV917611 TLN917610:TLR917611 TVJ917610:TVN917611 UFF917610:UFJ917611 UPB917610:UPF917611 UYX917610:UZB917611 VIT917610:VIX917611 VSP917610:VST917611 WCL917610:WCP917611 WMH917610:WML917611 WWD917610:WWH917611 V983146:Z983147 JR983146:JV983147 TN983146:TR983147 ADJ983146:ADN983147 ANF983146:ANJ983147 AXB983146:AXF983147 BGX983146:BHB983147 BQT983146:BQX983147 CAP983146:CAT983147 CKL983146:CKP983147 CUH983146:CUL983147 DED983146:DEH983147 DNZ983146:DOD983147 DXV983146:DXZ983147 EHR983146:EHV983147 ERN983146:ERR983147 FBJ983146:FBN983147 FLF983146:FLJ983147 FVB983146:FVF983147 GEX983146:GFB983147 GOT983146:GOX983147 GYP983146:GYT983147 HIL983146:HIP983147 HSH983146:HSL983147 ICD983146:ICH983147 ILZ983146:IMD983147 IVV983146:IVZ983147 JFR983146:JFV983147 JPN983146:JPR983147 JZJ983146:JZN983147 KJF983146:KJJ983147 KTB983146:KTF983147 LCX983146:LDB983147 LMT983146:LMX983147 LWP983146:LWT983147 MGL983146:MGP983147 MQH983146:MQL983147 NAD983146:NAH983147 NJZ983146:NKD983147 NTV983146:NTZ983147 ODR983146:ODV983147 ONN983146:ONR983147 OXJ983146:OXN983147 PHF983146:PHJ983147 PRB983146:PRF983147 QAX983146:QBB983147 QKT983146:QKX983147 QUP983146:QUT983147 REL983146:REP983147 ROH983146:ROL983147 RYD983146:RYH983147 SHZ983146:SID983147 SRV983146:SRZ983147 TBR983146:TBV983147 TLN983146:TLR983147 TVJ983146:TVN983147 UFF983146:UFJ983147 UPB983146:UPF983147 UYX983146:UZB983147 VIT983146:VIX983147 VSP983146:VST983147 WCL983146:WCP983147 WMH983146:WML983147 WWD983146:WWH983147 V131:Z131 JR131:JV131 TN131:TR131 ADJ131:ADN131 ANF131:ANJ131 AXB131:AXF131 BGX131:BHB131 BQT131:BQX131 CAP131:CAT131 CKL131:CKP131 CUH131:CUL131 DED131:DEH131 DNZ131:DOD131 DXV131:DXZ131 EHR131:EHV131 ERN131:ERR131 FBJ131:FBN131 FLF131:FLJ131 FVB131:FVF131 GEX131:GFB131 GOT131:GOX131 GYP131:GYT131 HIL131:HIP131 HSH131:HSL131 ICD131:ICH131 ILZ131:IMD131 IVV131:IVZ131 JFR131:JFV131 JPN131:JPR131 JZJ131:JZN131 KJF131:KJJ131 KTB131:KTF131 LCX131:LDB131 LMT131:LMX131 LWP131:LWT131 MGL131:MGP131 MQH131:MQL131 NAD131:NAH131 NJZ131:NKD131 NTV131:NTZ131 ODR131:ODV131 ONN131:ONR131 OXJ131:OXN131 PHF131:PHJ131 PRB131:PRF131 QAX131:QBB131 QKT131:QKX131 QUP131:QUT131 REL131:REP131 ROH131:ROL131 RYD131:RYH131 SHZ131:SID131 SRV131:SRZ131 TBR131:TBV131 TLN131:TLR131 TVJ131:TVN131 UFF131:UFJ131 UPB131:UPF131 UYX131:UZB131 VIT131:VIX131 VSP131:VST131 WCL131:WCP131 WMH131:WML131 WWD131:WWH131 V65667:Z65667 JR65667:JV65667 TN65667:TR65667 ADJ65667:ADN65667 ANF65667:ANJ65667 AXB65667:AXF65667 BGX65667:BHB65667 BQT65667:BQX65667 CAP65667:CAT65667 CKL65667:CKP65667 CUH65667:CUL65667 DED65667:DEH65667 DNZ65667:DOD65667 DXV65667:DXZ65667 EHR65667:EHV65667 ERN65667:ERR65667 FBJ65667:FBN65667 FLF65667:FLJ65667 FVB65667:FVF65667 GEX65667:GFB65667 GOT65667:GOX65667 GYP65667:GYT65667 HIL65667:HIP65667 HSH65667:HSL65667 ICD65667:ICH65667 ILZ65667:IMD65667 IVV65667:IVZ65667 JFR65667:JFV65667 JPN65667:JPR65667 JZJ65667:JZN65667 KJF65667:KJJ65667 KTB65667:KTF65667 LCX65667:LDB65667 LMT65667:LMX65667 LWP65667:LWT65667 MGL65667:MGP65667 MQH65667:MQL65667 NAD65667:NAH65667 NJZ65667:NKD65667 NTV65667:NTZ65667 ODR65667:ODV65667 ONN65667:ONR65667 OXJ65667:OXN65667 PHF65667:PHJ65667 PRB65667:PRF65667 QAX65667:QBB65667 QKT65667:QKX65667 QUP65667:QUT65667 REL65667:REP65667 ROH65667:ROL65667 RYD65667:RYH65667 SHZ65667:SID65667 SRV65667:SRZ65667 TBR65667:TBV65667 TLN65667:TLR65667 TVJ65667:TVN65667 UFF65667:UFJ65667 UPB65667:UPF65667 UYX65667:UZB65667 VIT65667:VIX65667 VSP65667:VST65667 WCL65667:WCP65667 WMH65667:WML65667 WWD65667:WWH65667 V131203:Z131203 JR131203:JV131203 TN131203:TR131203 ADJ131203:ADN131203 ANF131203:ANJ131203 AXB131203:AXF131203 BGX131203:BHB131203 BQT131203:BQX131203 CAP131203:CAT131203 CKL131203:CKP131203 CUH131203:CUL131203 DED131203:DEH131203 DNZ131203:DOD131203 DXV131203:DXZ131203 EHR131203:EHV131203 ERN131203:ERR131203 FBJ131203:FBN131203 FLF131203:FLJ131203 FVB131203:FVF131203 GEX131203:GFB131203 GOT131203:GOX131203 GYP131203:GYT131203 HIL131203:HIP131203 HSH131203:HSL131203 ICD131203:ICH131203 ILZ131203:IMD131203 IVV131203:IVZ131203 JFR131203:JFV131203 JPN131203:JPR131203 JZJ131203:JZN131203 KJF131203:KJJ131203 KTB131203:KTF131203 LCX131203:LDB131203 LMT131203:LMX131203 LWP131203:LWT131203 MGL131203:MGP131203 MQH131203:MQL131203 NAD131203:NAH131203 NJZ131203:NKD131203 NTV131203:NTZ131203 ODR131203:ODV131203 ONN131203:ONR131203 OXJ131203:OXN131203 PHF131203:PHJ131203 PRB131203:PRF131203 QAX131203:QBB131203 QKT131203:QKX131203 QUP131203:QUT131203 REL131203:REP131203 ROH131203:ROL131203 RYD131203:RYH131203 SHZ131203:SID131203 SRV131203:SRZ131203 TBR131203:TBV131203 TLN131203:TLR131203 TVJ131203:TVN131203 UFF131203:UFJ131203 UPB131203:UPF131203 UYX131203:UZB131203 VIT131203:VIX131203 VSP131203:VST131203 WCL131203:WCP131203 WMH131203:WML131203 WWD131203:WWH131203 V196739:Z196739 JR196739:JV196739 TN196739:TR196739 ADJ196739:ADN196739 ANF196739:ANJ196739 AXB196739:AXF196739 BGX196739:BHB196739 BQT196739:BQX196739 CAP196739:CAT196739 CKL196739:CKP196739 CUH196739:CUL196739 DED196739:DEH196739 DNZ196739:DOD196739 DXV196739:DXZ196739 EHR196739:EHV196739 ERN196739:ERR196739 FBJ196739:FBN196739 FLF196739:FLJ196739 FVB196739:FVF196739 GEX196739:GFB196739 GOT196739:GOX196739 GYP196739:GYT196739 HIL196739:HIP196739 HSH196739:HSL196739 ICD196739:ICH196739 ILZ196739:IMD196739 IVV196739:IVZ196739 JFR196739:JFV196739 JPN196739:JPR196739 JZJ196739:JZN196739 KJF196739:KJJ196739 KTB196739:KTF196739 LCX196739:LDB196739 LMT196739:LMX196739 LWP196739:LWT196739 MGL196739:MGP196739 MQH196739:MQL196739 NAD196739:NAH196739 NJZ196739:NKD196739 NTV196739:NTZ196739 ODR196739:ODV196739 ONN196739:ONR196739 OXJ196739:OXN196739 PHF196739:PHJ196739 PRB196739:PRF196739 QAX196739:QBB196739 QKT196739:QKX196739 QUP196739:QUT196739 REL196739:REP196739 ROH196739:ROL196739 RYD196739:RYH196739 SHZ196739:SID196739 SRV196739:SRZ196739 TBR196739:TBV196739 TLN196739:TLR196739 TVJ196739:TVN196739 UFF196739:UFJ196739 UPB196739:UPF196739 UYX196739:UZB196739 VIT196739:VIX196739 VSP196739:VST196739 WCL196739:WCP196739 WMH196739:WML196739 WWD196739:WWH196739 V262275:Z262275 JR262275:JV262275 TN262275:TR262275 ADJ262275:ADN262275 ANF262275:ANJ262275 AXB262275:AXF262275 BGX262275:BHB262275 BQT262275:BQX262275 CAP262275:CAT262275 CKL262275:CKP262275 CUH262275:CUL262275 DED262275:DEH262275 DNZ262275:DOD262275 DXV262275:DXZ262275 EHR262275:EHV262275 ERN262275:ERR262275 FBJ262275:FBN262275 FLF262275:FLJ262275 FVB262275:FVF262275 GEX262275:GFB262275 GOT262275:GOX262275 GYP262275:GYT262275 HIL262275:HIP262275 HSH262275:HSL262275 ICD262275:ICH262275 ILZ262275:IMD262275 IVV262275:IVZ262275 JFR262275:JFV262275 JPN262275:JPR262275 JZJ262275:JZN262275 KJF262275:KJJ262275 KTB262275:KTF262275 LCX262275:LDB262275 LMT262275:LMX262275 LWP262275:LWT262275 MGL262275:MGP262275 MQH262275:MQL262275 NAD262275:NAH262275 NJZ262275:NKD262275 NTV262275:NTZ262275 ODR262275:ODV262275 ONN262275:ONR262275 OXJ262275:OXN262275 PHF262275:PHJ262275 PRB262275:PRF262275 QAX262275:QBB262275 QKT262275:QKX262275 QUP262275:QUT262275 REL262275:REP262275 ROH262275:ROL262275 RYD262275:RYH262275 SHZ262275:SID262275 SRV262275:SRZ262275 TBR262275:TBV262275 TLN262275:TLR262275 TVJ262275:TVN262275 UFF262275:UFJ262275 UPB262275:UPF262275 UYX262275:UZB262275 VIT262275:VIX262275 VSP262275:VST262275 WCL262275:WCP262275 WMH262275:WML262275 WWD262275:WWH262275 V327811:Z327811 JR327811:JV327811 TN327811:TR327811 ADJ327811:ADN327811 ANF327811:ANJ327811 AXB327811:AXF327811 BGX327811:BHB327811 BQT327811:BQX327811 CAP327811:CAT327811 CKL327811:CKP327811 CUH327811:CUL327811 DED327811:DEH327811 DNZ327811:DOD327811 DXV327811:DXZ327811 EHR327811:EHV327811 ERN327811:ERR327811 FBJ327811:FBN327811 FLF327811:FLJ327811 FVB327811:FVF327811 GEX327811:GFB327811 GOT327811:GOX327811 GYP327811:GYT327811 HIL327811:HIP327811 HSH327811:HSL327811 ICD327811:ICH327811 ILZ327811:IMD327811 IVV327811:IVZ327811 JFR327811:JFV327811 JPN327811:JPR327811 JZJ327811:JZN327811 KJF327811:KJJ327811 KTB327811:KTF327811 LCX327811:LDB327811 LMT327811:LMX327811 LWP327811:LWT327811 MGL327811:MGP327811 MQH327811:MQL327811 NAD327811:NAH327811 NJZ327811:NKD327811 NTV327811:NTZ327811 ODR327811:ODV327811 ONN327811:ONR327811 OXJ327811:OXN327811 PHF327811:PHJ327811 PRB327811:PRF327811 QAX327811:QBB327811 QKT327811:QKX327811 QUP327811:QUT327811 REL327811:REP327811 ROH327811:ROL327811 RYD327811:RYH327811 SHZ327811:SID327811 SRV327811:SRZ327811 TBR327811:TBV327811 TLN327811:TLR327811 TVJ327811:TVN327811 UFF327811:UFJ327811 UPB327811:UPF327811 UYX327811:UZB327811 VIT327811:VIX327811 VSP327811:VST327811 WCL327811:WCP327811 WMH327811:WML327811 WWD327811:WWH327811 V393347:Z393347 JR393347:JV393347 TN393347:TR393347 ADJ393347:ADN393347 ANF393347:ANJ393347 AXB393347:AXF393347 BGX393347:BHB393347 BQT393347:BQX393347 CAP393347:CAT393347 CKL393347:CKP393347 CUH393347:CUL393347 DED393347:DEH393347 DNZ393347:DOD393347 DXV393347:DXZ393347 EHR393347:EHV393347 ERN393347:ERR393347 FBJ393347:FBN393347 FLF393347:FLJ393347 FVB393347:FVF393347 GEX393347:GFB393347 GOT393347:GOX393347 GYP393347:GYT393347 HIL393347:HIP393347 HSH393347:HSL393347 ICD393347:ICH393347 ILZ393347:IMD393347 IVV393347:IVZ393347 JFR393347:JFV393347 JPN393347:JPR393347 JZJ393347:JZN393347 KJF393347:KJJ393347 KTB393347:KTF393347 LCX393347:LDB393347 LMT393347:LMX393347 LWP393347:LWT393347 MGL393347:MGP393347 MQH393347:MQL393347 NAD393347:NAH393347 NJZ393347:NKD393347 NTV393347:NTZ393347 ODR393347:ODV393347 ONN393347:ONR393347 OXJ393347:OXN393347 PHF393347:PHJ393347 PRB393347:PRF393347 QAX393347:QBB393347 QKT393347:QKX393347 QUP393347:QUT393347 REL393347:REP393347 ROH393347:ROL393347 RYD393347:RYH393347 SHZ393347:SID393347 SRV393347:SRZ393347 TBR393347:TBV393347 TLN393347:TLR393347 TVJ393347:TVN393347 UFF393347:UFJ393347 UPB393347:UPF393347 UYX393347:UZB393347 VIT393347:VIX393347 VSP393347:VST393347 WCL393347:WCP393347 WMH393347:WML393347 WWD393347:WWH393347 V458883:Z458883 JR458883:JV458883 TN458883:TR458883 ADJ458883:ADN458883 ANF458883:ANJ458883 AXB458883:AXF458883 BGX458883:BHB458883 BQT458883:BQX458883 CAP458883:CAT458883 CKL458883:CKP458883 CUH458883:CUL458883 DED458883:DEH458883 DNZ458883:DOD458883 DXV458883:DXZ458883 EHR458883:EHV458883 ERN458883:ERR458883 FBJ458883:FBN458883 FLF458883:FLJ458883 FVB458883:FVF458883 GEX458883:GFB458883 GOT458883:GOX458883 GYP458883:GYT458883 HIL458883:HIP458883 HSH458883:HSL458883 ICD458883:ICH458883 ILZ458883:IMD458883 IVV458883:IVZ458883 JFR458883:JFV458883 JPN458883:JPR458883 JZJ458883:JZN458883 KJF458883:KJJ458883 KTB458883:KTF458883 LCX458883:LDB458883 LMT458883:LMX458883 LWP458883:LWT458883 MGL458883:MGP458883 MQH458883:MQL458883 NAD458883:NAH458883 NJZ458883:NKD458883 NTV458883:NTZ458883 ODR458883:ODV458883 ONN458883:ONR458883 OXJ458883:OXN458883 PHF458883:PHJ458883 PRB458883:PRF458883 QAX458883:QBB458883 QKT458883:QKX458883 QUP458883:QUT458883 REL458883:REP458883 ROH458883:ROL458883 RYD458883:RYH458883 SHZ458883:SID458883 SRV458883:SRZ458883 TBR458883:TBV458883 TLN458883:TLR458883 TVJ458883:TVN458883 UFF458883:UFJ458883 UPB458883:UPF458883 UYX458883:UZB458883 VIT458883:VIX458883 VSP458883:VST458883 WCL458883:WCP458883 WMH458883:WML458883 WWD458883:WWH458883 V524419:Z524419 JR524419:JV524419 TN524419:TR524419 ADJ524419:ADN524419 ANF524419:ANJ524419 AXB524419:AXF524419 BGX524419:BHB524419 BQT524419:BQX524419 CAP524419:CAT524419 CKL524419:CKP524419 CUH524419:CUL524419 DED524419:DEH524419 DNZ524419:DOD524419 DXV524419:DXZ524419 EHR524419:EHV524419 ERN524419:ERR524419 FBJ524419:FBN524419 FLF524419:FLJ524419 FVB524419:FVF524419 GEX524419:GFB524419 GOT524419:GOX524419 GYP524419:GYT524419 HIL524419:HIP524419 HSH524419:HSL524419 ICD524419:ICH524419 ILZ524419:IMD524419 IVV524419:IVZ524419 JFR524419:JFV524419 JPN524419:JPR524419 JZJ524419:JZN524419 KJF524419:KJJ524419 KTB524419:KTF524419 LCX524419:LDB524419 LMT524419:LMX524419 LWP524419:LWT524419 MGL524419:MGP524419 MQH524419:MQL524419 NAD524419:NAH524419 NJZ524419:NKD524419 NTV524419:NTZ524419 ODR524419:ODV524419 ONN524419:ONR524419 OXJ524419:OXN524419 PHF524419:PHJ524419 PRB524419:PRF524419 QAX524419:QBB524419 QKT524419:QKX524419 QUP524419:QUT524419 REL524419:REP524419 ROH524419:ROL524419 RYD524419:RYH524419 SHZ524419:SID524419 SRV524419:SRZ524419 TBR524419:TBV524419 TLN524419:TLR524419 TVJ524419:TVN524419 UFF524419:UFJ524419 UPB524419:UPF524419 UYX524419:UZB524419 VIT524419:VIX524419 VSP524419:VST524419 WCL524419:WCP524419 WMH524419:WML524419 WWD524419:WWH524419 V589955:Z589955 JR589955:JV589955 TN589955:TR589955 ADJ589955:ADN589955 ANF589955:ANJ589955 AXB589955:AXF589955 BGX589955:BHB589955 BQT589955:BQX589955 CAP589955:CAT589955 CKL589955:CKP589955 CUH589955:CUL589955 DED589955:DEH589955 DNZ589955:DOD589955 DXV589955:DXZ589955 EHR589955:EHV589955 ERN589955:ERR589955 FBJ589955:FBN589955 FLF589955:FLJ589955 FVB589955:FVF589955 GEX589955:GFB589955 GOT589955:GOX589955 GYP589955:GYT589955 HIL589955:HIP589955 HSH589955:HSL589955 ICD589955:ICH589955 ILZ589955:IMD589955 IVV589955:IVZ589955 JFR589955:JFV589955 JPN589955:JPR589955 JZJ589955:JZN589955 KJF589955:KJJ589955 KTB589955:KTF589955 LCX589955:LDB589955 LMT589955:LMX589955 LWP589955:LWT589955 MGL589955:MGP589955 MQH589955:MQL589955 NAD589955:NAH589955 NJZ589955:NKD589955 NTV589955:NTZ589955 ODR589955:ODV589955 ONN589955:ONR589955 OXJ589955:OXN589955 PHF589955:PHJ589955 PRB589955:PRF589955 QAX589955:QBB589955 QKT589955:QKX589955 QUP589955:QUT589955 REL589955:REP589955 ROH589955:ROL589955 RYD589955:RYH589955 SHZ589955:SID589955 SRV589955:SRZ589955 TBR589955:TBV589955 TLN589955:TLR589955 TVJ589955:TVN589955 UFF589955:UFJ589955 UPB589955:UPF589955 UYX589955:UZB589955 VIT589955:VIX589955 VSP589955:VST589955 WCL589955:WCP589955 WMH589955:WML589955 WWD589955:WWH589955 V655491:Z655491 JR655491:JV655491 TN655491:TR655491 ADJ655491:ADN655491 ANF655491:ANJ655491 AXB655491:AXF655491 BGX655491:BHB655491 BQT655491:BQX655491 CAP655491:CAT655491 CKL655491:CKP655491 CUH655491:CUL655491 DED655491:DEH655491 DNZ655491:DOD655491 DXV655491:DXZ655491 EHR655491:EHV655491 ERN655491:ERR655491 FBJ655491:FBN655491 FLF655491:FLJ655491 FVB655491:FVF655491 GEX655491:GFB655491 GOT655491:GOX655491 GYP655491:GYT655491 HIL655491:HIP655491 HSH655491:HSL655491 ICD655491:ICH655491 ILZ655491:IMD655491 IVV655491:IVZ655491 JFR655491:JFV655491 JPN655491:JPR655491 JZJ655491:JZN655491 KJF655491:KJJ655491 KTB655491:KTF655491 LCX655491:LDB655491 LMT655491:LMX655491 LWP655491:LWT655491 MGL655491:MGP655491 MQH655491:MQL655491 NAD655491:NAH655491 NJZ655491:NKD655491 NTV655491:NTZ655491 ODR655491:ODV655491 ONN655491:ONR655491 OXJ655491:OXN655491 PHF655491:PHJ655491 PRB655491:PRF655491 QAX655491:QBB655491 QKT655491:QKX655491 QUP655491:QUT655491 REL655491:REP655491 ROH655491:ROL655491 RYD655491:RYH655491 SHZ655491:SID655491 SRV655491:SRZ655491 TBR655491:TBV655491 TLN655491:TLR655491 TVJ655491:TVN655491 UFF655491:UFJ655491 UPB655491:UPF655491 UYX655491:UZB655491 VIT655491:VIX655491 VSP655491:VST655491 WCL655491:WCP655491 WMH655491:WML655491 WWD655491:WWH655491 V721027:Z721027 JR721027:JV721027 TN721027:TR721027 ADJ721027:ADN721027 ANF721027:ANJ721027 AXB721027:AXF721027 BGX721027:BHB721027 BQT721027:BQX721027 CAP721027:CAT721027 CKL721027:CKP721027 CUH721027:CUL721027 DED721027:DEH721027 DNZ721027:DOD721027 DXV721027:DXZ721027 EHR721027:EHV721027 ERN721027:ERR721027 FBJ721027:FBN721027 FLF721027:FLJ721027 FVB721027:FVF721027 GEX721027:GFB721027 GOT721027:GOX721027 GYP721027:GYT721027 HIL721027:HIP721027 HSH721027:HSL721027 ICD721027:ICH721027 ILZ721027:IMD721027 IVV721027:IVZ721027 JFR721027:JFV721027 JPN721027:JPR721027 JZJ721027:JZN721027 KJF721027:KJJ721027 KTB721027:KTF721027 LCX721027:LDB721027 LMT721027:LMX721027 LWP721027:LWT721027 MGL721027:MGP721027 MQH721027:MQL721027 NAD721027:NAH721027 NJZ721027:NKD721027 NTV721027:NTZ721027 ODR721027:ODV721027 ONN721027:ONR721027 OXJ721027:OXN721027 PHF721027:PHJ721027 PRB721027:PRF721027 QAX721027:QBB721027 QKT721027:QKX721027 QUP721027:QUT721027 REL721027:REP721027 ROH721027:ROL721027 RYD721027:RYH721027 SHZ721027:SID721027 SRV721027:SRZ721027 TBR721027:TBV721027 TLN721027:TLR721027 TVJ721027:TVN721027 UFF721027:UFJ721027 UPB721027:UPF721027 UYX721027:UZB721027 VIT721027:VIX721027 VSP721027:VST721027 WCL721027:WCP721027 WMH721027:WML721027 WWD721027:WWH721027 V786563:Z786563 JR786563:JV786563 TN786563:TR786563 ADJ786563:ADN786563 ANF786563:ANJ786563 AXB786563:AXF786563 BGX786563:BHB786563 BQT786563:BQX786563 CAP786563:CAT786563 CKL786563:CKP786563 CUH786563:CUL786563 DED786563:DEH786563 DNZ786563:DOD786563 DXV786563:DXZ786563 EHR786563:EHV786563 ERN786563:ERR786563 FBJ786563:FBN786563 FLF786563:FLJ786563 FVB786563:FVF786563 GEX786563:GFB786563 GOT786563:GOX786563 GYP786563:GYT786563 HIL786563:HIP786563 HSH786563:HSL786563 ICD786563:ICH786563 ILZ786563:IMD786563 IVV786563:IVZ786563 JFR786563:JFV786563 JPN786563:JPR786563 JZJ786563:JZN786563 KJF786563:KJJ786563 KTB786563:KTF786563 LCX786563:LDB786563 LMT786563:LMX786563 LWP786563:LWT786563 MGL786563:MGP786563 MQH786563:MQL786563 NAD786563:NAH786563 NJZ786563:NKD786563 NTV786563:NTZ786563 ODR786563:ODV786563 ONN786563:ONR786563 OXJ786563:OXN786563 PHF786563:PHJ786563 PRB786563:PRF786563 QAX786563:QBB786563 QKT786563:QKX786563 QUP786563:QUT786563 REL786563:REP786563 ROH786563:ROL786563 RYD786563:RYH786563 SHZ786563:SID786563 SRV786563:SRZ786563 TBR786563:TBV786563 TLN786563:TLR786563 TVJ786563:TVN786563 UFF786563:UFJ786563 UPB786563:UPF786563 UYX786563:UZB786563 VIT786563:VIX786563 VSP786563:VST786563 WCL786563:WCP786563 WMH786563:WML786563 WWD786563:WWH786563 V852099:Z852099 JR852099:JV852099 TN852099:TR852099 ADJ852099:ADN852099 ANF852099:ANJ852099 AXB852099:AXF852099 BGX852099:BHB852099 BQT852099:BQX852099 CAP852099:CAT852099 CKL852099:CKP852099 CUH852099:CUL852099 DED852099:DEH852099 DNZ852099:DOD852099 DXV852099:DXZ852099 EHR852099:EHV852099 ERN852099:ERR852099 FBJ852099:FBN852099 FLF852099:FLJ852099 FVB852099:FVF852099 GEX852099:GFB852099 GOT852099:GOX852099 GYP852099:GYT852099 HIL852099:HIP852099 HSH852099:HSL852099 ICD852099:ICH852099 ILZ852099:IMD852099 IVV852099:IVZ852099 JFR852099:JFV852099 JPN852099:JPR852099 JZJ852099:JZN852099 KJF852099:KJJ852099 KTB852099:KTF852099 LCX852099:LDB852099 LMT852099:LMX852099 LWP852099:LWT852099 MGL852099:MGP852099 MQH852099:MQL852099 NAD852099:NAH852099 NJZ852099:NKD852099 NTV852099:NTZ852099 ODR852099:ODV852099 ONN852099:ONR852099 OXJ852099:OXN852099 PHF852099:PHJ852099 PRB852099:PRF852099 QAX852099:QBB852099 QKT852099:QKX852099 QUP852099:QUT852099 REL852099:REP852099 ROH852099:ROL852099 RYD852099:RYH852099 SHZ852099:SID852099 SRV852099:SRZ852099 TBR852099:TBV852099 TLN852099:TLR852099 TVJ852099:TVN852099 UFF852099:UFJ852099 UPB852099:UPF852099 UYX852099:UZB852099 VIT852099:VIX852099 VSP852099:VST852099 WCL852099:WCP852099 WMH852099:WML852099 WWD852099:WWH852099 V917635:Z917635 JR917635:JV917635 TN917635:TR917635 ADJ917635:ADN917635 ANF917635:ANJ917635 AXB917635:AXF917635 BGX917635:BHB917635 BQT917635:BQX917635 CAP917635:CAT917635 CKL917635:CKP917635 CUH917635:CUL917635 DED917635:DEH917635 DNZ917635:DOD917635 DXV917635:DXZ917635 EHR917635:EHV917635 ERN917635:ERR917635 FBJ917635:FBN917635 FLF917635:FLJ917635 FVB917635:FVF917635 GEX917635:GFB917635 GOT917635:GOX917635 GYP917635:GYT917635 HIL917635:HIP917635 HSH917635:HSL917635 ICD917635:ICH917635 ILZ917635:IMD917635 IVV917635:IVZ917635 JFR917635:JFV917635 JPN917635:JPR917635 JZJ917635:JZN917635 KJF917635:KJJ917635 KTB917635:KTF917635 LCX917635:LDB917635 LMT917635:LMX917635 LWP917635:LWT917635 MGL917635:MGP917635 MQH917635:MQL917635 NAD917635:NAH917635 NJZ917635:NKD917635 NTV917635:NTZ917635 ODR917635:ODV917635 ONN917635:ONR917635 OXJ917635:OXN917635 PHF917635:PHJ917635 PRB917635:PRF917635 QAX917635:QBB917635 QKT917635:QKX917635 QUP917635:QUT917635 REL917635:REP917635 ROH917635:ROL917635 RYD917635:RYH917635 SHZ917635:SID917635 SRV917635:SRZ917635 TBR917635:TBV917635 TLN917635:TLR917635 TVJ917635:TVN917635 UFF917635:UFJ917635 UPB917635:UPF917635 UYX917635:UZB917635 VIT917635:VIX917635 VSP917635:VST917635 WCL917635:WCP917635 WMH917635:WML917635 WWD917635:WWH917635 V983171:Z983171 JR983171:JV983171 TN983171:TR983171 ADJ983171:ADN983171 ANF983171:ANJ983171 AXB983171:AXF983171 BGX983171:BHB983171 BQT983171:BQX983171 CAP983171:CAT983171 CKL983171:CKP983171 CUH983171:CUL983171 DED983171:DEH983171 DNZ983171:DOD983171 DXV983171:DXZ983171 EHR983171:EHV983171 ERN983171:ERR983171 FBJ983171:FBN983171 FLF983171:FLJ983171 FVB983171:FVF983171 GEX983171:GFB983171 GOT983171:GOX983171 GYP983171:GYT983171 HIL983171:HIP983171 HSH983171:HSL983171 ICD983171:ICH983171 ILZ983171:IMD983171 IVV983171:IVZ983171 JFR983171:JFV983171 JPN983171:JPR983171 JZJ983171:JZN983171 KJF983171:KJJ983171 KTB983171:KTF983171 LCX983171:LDB983171 LMT983171:LMX983171 LWP983171:LWT983171 MGL983171:MGP983171 MQH983171:MQL983171 NAD983171:NAH983171 NJZ983171:NKD983171 NTV983171:NTZ983171 ODR983171:ODV983171 ONN983171:ONR983171 OXJ983171:OXN983171 PHF983171:PHJ983171 PRB983171:PRF983171 QAX983171:QBB983171 QKT983171:QKX983171 QUP983171:QUT983171 REL983171:REP983171 ROH983171:ROL983171 RYD983171:RYH983171 SHZ983171:SID983171 SRV983171:SRZ983171 TBR983171:TBV983171 TLN983171:TLR983171 TVJ983171:TVN983171 UFF983171:UFJ983171 UPB983171:UPF983171 UYX983171:UZB983171 VIT983171:VIX983171 VSP983171:VST983171 WCL983171:WCP983171 WMH983171:WML983171 WWD983171:WWH983171 AB106:AE107 JX106:KA107 TT106:TW107 ADP106:ADS107 ANL106:ANO107 AXH106:AXK107 BHD106:BHG107 BQZ106:BRC107 CAV106:CAY107 CKR106:CKU107 CUN106:CUQ107 DEJ106:DEM107 DOF106:DOI107 DYB106:DYE107 EHX106:EIA107 ERT106:ERW107 FBP106:FBS107 FLL106:FLO107 FVH106:FVK107 GFD106:GFG107 GOZ106:GPC107 GYV106:GYY107 HIR106:HIU107 HSN106:HSQ107 ICJ106:ICM107 IMF106:IMI107 IWB106:IWE107 JFX106:JGA107 JPT106:JPW107 JZP106:JZS107 KJL106:KJO107 KTH106:KTK107 LDD106:LDG107 LMZ106:LNC107 LWV106:LWY107 MGR106:MGU107 MQN106:MQQ107 NAJ106:NAM107 NKF106:NKI107 NUB106:NUE107 ODX106:OEA107 ONT106:ONW107 OXP106:OXS107 PHL106:PHO107 PRH106:PRK107 QBD106:QBG107 QKZ106:QLC107 QUV106:QUY107 RER106:REU107 RON106:ROQ107 RYJ106:RYM107 SIF106:SII107 SSB106:SSE107 TBX106:TCA107 TLT106:TLW107 TVP106:TVS107 UFL106:UFO107 UPH106:UPK107 UZD106:UZG107 VIZ106:VJC107 VSV106:VSY107 WCR106:WCU107 WMN106:WMQ107 WWJ106:WWM107 AB65642:AE65643 JX65642:KA65643 TT65642:TW65643 ADP65642:ADS65643 ANL65642:ANO65643 AXH65642:AXK65643 BHD65642:BHG65643 BQZ65642:BRC65643 CAV65642:CAY65643 CKR65642:CKU65643 CUN65642:CUQ65643 DEJ65642:DEM65643 DOF65642:DOI65643 DYB65642:DYE65643 EHX65642:EIA65643 ERT65642:ERW65643 FBP65642:FBS65643 FLL65642:FLO65643 FVH65642:FVK65643 GFD65642:GFG65643 GOZ65642:GPC65643 GYV65642:GYY65643 HIR65642:HIU65643 HSN65642:HSQ65643 ICJ65642:ICM65643 IMF65642:IMI65643 IWB65642:IWE65643 JFX65642:JGA65643 JPT65642:JPW65643 JZP65642:JZS65643 KJL65642:KJO65643 KTH65642:KTK65643 LDD65642:LDG65643 LMZ65642:LNC65643 LWV65642:LWY65643 MGR65642:MGU65643 MQN65642:MQQ65643 NAJ65642:NAM65643 NKF65642:NKI65643 NUB65642:NUE65643 ODX65642:OEA65643 ONT65642:ONW65643 OXP65642:OXS65643 PHL65642:PHO65643 PRH65642:PRK65643 QBD65642:QBG65643 QKZ65642:QLC65643 QUV65642:QUY65643 RER65642:REU65643 RON65642:ROQ65643 RYJ65642:RYM65643 SIF65642:SII65643 SSB65642:SSE65643 TBX65642:TCA65643 TLT65642:TLW65643 TVP65642:TVS65643 UFL65642:UFO65643 UPH65642:UPK65643 UZD65642:UZG65643 VIZ65642:VJC65643 VSV65642:VSY65643 WCR65642:WCU65643 WMN65642:WMQ65643 WWJ65642:WWM65643 AB131178:AE131179 JX131178:KA131179 TT131178:TW131179 ADP131178:ADS131179 ANL131178:ANO131179 AXH131178:AXK131179 BHD131178:BHG131179 BQZ131178:BRC131179 CAV131178:CAY131179 CKR131178:CKU131179 CUN131178:CUQ131179 DEJ131178:DEM131179 DOF131178:DOI131179 DYB131178:DYE131179 EHX131178:EIA131179 ERT131178:ERW131179 FBP131178:FBS131179 FLL131178:FLO131179 FVH131178:FVK131179 GFD131178:GFG131179 GOZ131178:GPC131179 GYV131178:GYY131179 HIR131178:HIU131179 HSN131178:HSQ131179 ICJ131178:ICM131179 IMF131178:IMI131179 IWB131178:IWE131179 JFX131178:JGA131179 JPT131178:JPW131179 JZP131178:JZS131179 KJL131178:KJO131179 KTH131178:KTK131179 LDD131178:LDG131179 LMZ131178:LNC131179 LWV131178:LWY131179 MGR131178:MGU131179 MQN131178:MQQ131179 NAJ131178:NAM131179 NKF131178:NKI131179 NUB131178:NUE131179 ODX131178:OEA131179 ONT131178:ONW131179 OXP131178:OXS131179 PHL131178:PHO131179 PRH131178:PRK131179 QBD131178:QBG131179 QKZ131178:QLC131179 QUV131178:QUY131179 RER131178:REU131179 RON131178:ROQ131179 RYJ131178:RYM131179 SIF131178:SII131179 SSB131178:SSE131179 TBX131178:TCA131179 TLT131178:TLW131179 TVP131178:TVS131179 UFL131178:UFO131179 UPH131178:UPK131179 UZD131178:UZG131179 VIZ131178:VJC131179 VSV131178:VSY131179 WCR131178:WCU131179 WMN131178:WMQ131179 WWJ131178:WWM131179 AB196714:AE196715 JX196714:KA196715 TT196714:TW196715 ADP196714:ADS196715 ANL196714:ANO196715 AXH196714:AXK196715 BHD196714:BHG196715 BQZ196714:BRC196715 CAV196714:CAY196715 CKR196714:CKU196715 CUN196714:CUQ196715 DEJ196714:DEM196715 DOF196714:DOI196715 DYB196714:DYE196715 EHX196714:EIA196715 ERT196714:ERW196715 FBP196714:FBS196715 FLL196714:FLO196715 FVH196714:FVK196715 GFD196714:GFG196715 GOZ196714:GPC196715 GYV196714:GYY196715 HIR196714:HIU196715 HSN196714:HSQ196715 ICJ196714:ICM196715 IMF196714:IMI196715 IWB196714:IWE196715 JFX196714:JGA196715 JPT196714:JPW196715 JZP196714:JZS196715 KJL196714:KJO196715 KTH196714:KTK196715 LDD196714:LDG196715 LMZ196714:LNC196715 LWV196714:LWY196715 MGR196714:MGU196715 MQN196714:MQQ196715 NAJ196714:NAM196715 NKF196714:NKI196715 NUB196714:NUE196715 ODX196714:OEA196715 ONT196714:ONW196715 OXP196714:OXS196715 PHL196714:PHO196715 PRH196714:PRK196715 QBD196714:QBG196715 QKZ196714:QLC196715 QUV196714:QUY196715 RER196714:REU196715 RON196714:ROQ196715 RYJ196714:RYM196715 SIF196714:SII196715 SSB196714:SSE196715 TBX196714:TCA196715 TLT196714:TLW196715 TVP196714:TVS196715 UFL196714:UFO196715 UPH196714:UPK196715 UZD196714:UZG196715 VIZ196714:VJC196715 VSV196714:VSY196715 WCR196714:WCU196715 WMN196714:WMQ196715 WWJ196714:WWM196715 AB262250:AE262251 JX262250:KA262251 TT262250:TW262251 ADP262250:ADS262251 ANL262250:ANO262251 AXH262250:AXK262251 BHD262250:BHG262251 BQZ262250:BRC262251 CAV262250:CAY262251 CKR262250:CKU262251 CUN262250:CUQ262251 DEJ262250:DEM262251 DOF262250:DOI262251 DYB262250:DYE262251 EHX262250:EIA262251 ERT262250:ERW262251 FBP262250:FBS262251 FLL262250:FLO262251 FVH262250:FVK262251 GFD262250:GFG262251 GOZ262250:GPC262251 GYV262250:GYY262251 HIR262250:HIU262251 HSN262250:HSQ262251 ICJ262250:ICM262251 IMF262250:IMI262251 IWB262250:IWE262251 JFX262250:JGA262251 JPT262250:JPW262251 JZP262250:JZS262251 KJL262250:KJO262251 KTH262250:KTK262251 LDD262250:LDG262251 LMZ262250:LNC262251 LWV262250:LWY262251 MGR262250:MGU262251 MQN262250:MQQ262251 NAJ262250:NAM262251 NKF262250:NKI262251 NUB262250:NUE262251 ODX262250:OEA262251 ONT262250:ONW262251 OXP262250:OXS262251 PHL262250:PHO262251 PRH262250:PRK262251 QBD262250:QBG262251 QKZ262250:QLC262251 QUV262250:QUY262251 RER262250:REU262251 RON262250:ROQ262251 RYJ262250:RYM262251 SIF262250:SII262251 SSB262250:SSE262251 TBX262250:TCA262251 TLT262250:TLW262251 TVP262250:TVS262251 UFL262250:UFO262251 UPH262250:UPK262251 UZD262250:UZG262251 VIZ262250:VJC262251 VSV262250:VSY262251 WCR262250:WCU262251 WMN262250:WMQ262251 WWJ262250:WWM262251 AB327786:AE327787 JX327786:KA327787 TT327786:TW327787 ADP327786:ADS327787 ANL327786:ANO327787 AXH327786:AXK327787 BHD327786:BHG327787 BQZ327786:BRC327787 CAV327786:CAY327787 CKR327786:CKU327787 CUN327786:CUQ327787 DEJ327786:DEM327787 DOF327786:DOI327787 DYB327786:DYE327787 EHX327786:EIA327787 ERT327786:ERW327787 FBP327786:FBS327787 FLL327786:FLO327787 FVH327786:FVK327787 GFD327786:GFG327787 GOZ327786:GPC327787 GYV327786:GYY327787 HIR327786:HIU327787 HSN327786:HSQ327787 ICJ327786:ICM327787 IMF327786:IMI327787 IWB327786:IWE327787 JFX327786:JGA327787 JPT327786:JPW327787 JZP327786:JZS327787 KJL327786:KJO327787 KTH327786:KTK327787 LDD327786:LDG327787 LMZ327786:LNC327787 LWV327786:LWY327787 MGR327786:MGU327787 MQN327786:MQQ327787 NAJ327786:NAM327787 NKF327786:NKI327787 NUB327786:NUE327787 ODX327786:OEA327787 ONT327786:ONW327787 OXP327786:OXS327787 PHL327786:PHO327787 PRH327786:PRK327787 QBD327786:QBG327787 QKZ327786:QLC327787 QUV327786:QUY327787 RER327786:REU327787 RON327786:ROQ327787 RYJ327786:RYM327787 SIF327786:SII327787 SSB327786:SSE327787 TBX327786:TCA327787 TLT327786:TLW327787 TVP327786:TVS327787 UFL327786:UFO327787 UPH327786:UPK327787 UZD327786:UZG327787 VIZ327786:VJC327787 VSV327786:VSY327787 WCR327786:WCU327787 WMN327786:WMQ327787 WWJ327786:WWM327787 AB393322:AE393323 JX393322:KA393323 TT393322:TW393323 ADP393322:ADS393323 ANL393322:ANO393323 AXH393322:AXK393323 BHD393322:BHG393323 BQZ393322:BRC393323 CAV393322:CAY393323 CKR393322:CKU393323 CUN393322:CUQ393323 DEJ393322:DEM393323 DOF393322:DOI393323 DYB393322:DYE393323 EHX393322:EIA393323 ERT393322:ERW393323 FBP393322:FBS393323 FLL393322:FLO393323 FVH393322:FVK393323 GFD393322:GFG393323 GOZ393322:GPC393323 GYV393322:GYY393323 HIR393322:HIU393323 HSN393322:HSQ393323 ICJ393322:ICM393323 IMF393322:IMI393323 IWB393322:IWE393323 JFX393322:JGA393323 JPT393322:JPW393323 JZP393322:JZS393323 KJL393322:KJO393323 KTH393322:KTK393323 LDD393322:LDG393323 LMZ393322:LNC393323 LWV393322:LWY393323 MGR393322:MGU393323 MQN393322:MQQ393323 NAJ393322:NAM393323 NKF393322:NKI393323 NUB393322:NUE393323 ODX393322:OEA393323 ONT393322:ONW393323 OXP393322:OXS393323 PHL393322:PHO393323 PRH393322:PRK393323 QBD393322:QBG393323 QKZ393322:QLC393323 QUV393322:QUY393323 RER393322:REU393323 RON393322:ROQ393323 RYJ393322:RYM393323 SIF393322:SII393323 SSB393322:SSE393323 TBX393322:TCA393323 TLT393322:TLW393323 TVP393322:TVS393323 UFL393322:UFO393323 UPH393322:UPK393323 UZD393322:UZG393323 VIZ393322:VJC393323 VSV393322:VSY393323 WCR393322:WCU393323 WMN393322:WMQ393323 WWJ393322:WWM393323 AB458858:AE458859 JX458858:KA458859 TT458858:TW458859 ADP458858:ADS458859 ANL458858:ANO458859 AXH458858:AXK458859 BHD458858:BHG458859 BQZ458858:BRC458859 CAV458858:CAY458859 CKR458858:CKU458859 CUN458858:CUQ458859 DEJ458858:DEM458859 DOF458858:DOI458859 DYB458858:DYE458859 EHX458858:EIA458859 ERT458858:ERW458859 FBP458858:FBS458859 FLL458858:FLO458859 FVH458858:FVK458859 GFD458858:GFG458859 GOZ458858:GPC458859 GYV458858:GYY458859 HIR458858:HIU458859 HSN458858:HSQ458859 ICJ458858:ICM458859 IMF458858:IMI458859 IWB458858:IWE458859 JFX458858:JGA458859 JPT458858:JPW458859 JZP458858:JZS458859 KJL458858:KJO458859 KTH458858:KTK458859 LDD458858:LDG458859 LMZ458858:LNC458859 LWV458858:LWY458859 MGR458858:MGU458859 MQN458858:MQQ458859 NAJ458858:NAM458859 NKF458858:NKI458859 NUB458858:NUE458859 ODX458858:OEA458859 ONT458858:ONW458859 OXP458858:OXS458859 PHL458858:PHO458859 PRH458858:PRK458859 QBD458858:QBG458859 QKZ458858:QLC458859 QUV458858:QUY458859 RER458858:REU458859 RON458858:ROQ458859 RYJ458858:RYM458859 SIF458858:SII458859 SSB458858:SSE458859 TBX458858:TCA458859 TLT458858:TLW458859 TVP458858:TVS458859 UFL458858:UFO458859 UPH458858:UPK458859 UZD458858:UZG458859 VIZ458858:VJC458859 VSV458858:VSY458859 WCR458858:WCU458859 WMN458858:WMQ458859 WWJ458858:WWM458859 AB524394:AE524395 JX524394:KA524395 TT524394:TW524395 ADP524394:ADS524395 ANL524394:ANO524395 AXH524394:AXK524395 BHD524394:BHG524395 BQZ524394:BRC524395 CAV524394:CAY524395 CKR524394:CKU524395 CUN524394:CUQ524395 DEJ524394:DEM524395 DOF524394:DOI524395 DYB524394:DYE524395 EHX524394:EIA524395 ERT524394:ERW524395 FBP524394:FBS524395 FLL524394:FLO524395 FVH524394:FVK524395 GFD524394:GFG524395 GOZ524394:GPC524395 GYV524394:GYY524395 HIR524394:HIU524395 HSN524394:HSQ524395 ICJ524394:ICM524395 IMF524394:IMI524395 IWB524394:IWE524395 JFX524394:JGA524395 JPT524394:JPW524395 JZP524394:JZS524395 KJL524394:KJO524395 KTH524394:KTK524395 LDD524394:LDG524395 LMZ524394:LNC524395 LWV524394:LWY524395 MGR524394:MGU524395 MQN524394:MQQ524395 NAJ524394:NAM524395 NKF524394:NKI524395 NUB524394:NUE524395 ODX524394:OEA524395 ONT524394:ONW524395 OXP524394:OXS524395 PHL524394:PHO524395 PRH524394:PRK524395 QBD524394:QBG524395 QKZ524394:QLC524395 QUV524394:QUY524395 RER524394:REU524395 RON524394:ROQ524395 RYJ524394:RYM524395 SIF524394:SII524395 SSB524394:SSE524395 TBX524394:TCA524395 TLT524394:TLW524395 TVP524394:TVS524395 UFL524394:UFO524395 UPH524394:UPK524395 UZD524394:UZG524395 VIZ524394:VJC524395 VSV524394:VSY524395 WCR524394:WCU524395 WMN524394:WMQ524395 WWJ524394:WWM524395 AB589930:AE589931 JX589930:KA589931 TT589930:TW589931 ADP589930:ADS589931 ANL589930:ANO589931 AXH589930:AXK589931 BHD589930:BHG589931 BQZ589930:BRC589931 CAV589930:CAY589931 CKR589930:CKU589931 CUN589930:CUQ589931 DEJ589930:DEM589931 DOF589930:DOI589931 DYB589930:DYE589931 EHX589930:EIA589931 ERT589930:ERW589931 FBP589930:FBS589931 FLL589930:FLO589931 FVH589930:FVK589931 GFD589930:GFG589931 GOZ589930:GPC589931 GYV589930:GYY589931 HIR589930:HIU589931 HSN589930:HSQ589931 ICJ589930:ICM589931 IMF589930:IMI589931 IWB589930:IWE589931 JFX589930:JGA589931 JPT589930:JPW589931 JZP589930:JZS589931 KJL589930:KJO589931 KTH589930:KTK589931 LDD589930:LDG589931 LMZ589930:LNC589931 LWV589930:LWY589931 MGR589930:MGU589931 MQN589930:MQQ589931 NAJ589930:NAM589931 NKF589930:NKI589931 NUB589930:NUE589931 ODX589930:OEA589931 ONT589930:ONW589931 OXP589930:OXS589931 PHL589930:PHO589931 PRH589930:PRK589931 QBD589930:QBG589931 QKZ589930:QLC589931 QUV589930:QUY589931 RER589930:REU589931 RON589930:ROQ589931 RYJ589930:RYM589931 SIF589930:SII589931 SSB589930:SSE589931 TBX589930:TCA589931 TLT589930:TLW589931 TVP589930:TVS589931 UFL589930:UFO589931 UPH589930:UPK589931 UZD589930:UZG589931 VIZ589930:VJC589931 VSV589930:VSY589931 WCR589930:WCU589931 WMN589930:WMQ589931 WWJ589930:WWM589931 AB655466:AE655467 JX655466:KA655467 TT655466:TW655467 ADP655466:ADS655467 ANL655466:ANO655467 AXH655466:AXK655467 BHD655466:BHG655467 BQZ655466:BRC655467 CAV655466:CAY655467 CKR655466:CKU655467 CUN655466:CUQ655467 DEJ655466:DEM655467 DOF655466:DOI655467 DYB655466:DYE655467 EHX655466:EIA655467 ERT655466:ERW655467 FBP655466:FBS655467 FLL655466:FLO655467 FVH655466:FVK655467 GFD655466:GFG655467 GOZ655466:GPC655467 GYV655466:GYY655467 HIR655466:HIU655467 HSN655466:HSQ655467 ICJ655466:ICM655467 IMF655466:IMI655467 IWB655466:IWE655467 JFX655466:JGA655467 JPT655466:JPW655467 JZP655466:JZS655467 KJL655466:KJO655467 KTH655466:KTK655467 LDD655466:LDG655467 LMZ655466:LNC655467 LWV655466:LWY655467 MGR655466:MGU655467 MQN655466:MQQ655467 NAJ655466:NAM655467 NKF655466:NKI655467 NUB655466:NUE655467 ODX655466:OEA655467 ONT655466:ONW655467 OXP655466:OXS655467 PHL655466:PHO655467 PRH655466:PRK655467 QBD655466:QBG655467 QKZ655466:QLC655467 QUV655466:QUY655467 RER655466:REU655467 RON655466:ROQ655467 RYJ655466:RYM655467 SIF655466:SII655467 SSB655466:SSE655467 TBX655466:TCA655467 TLT655466:TLW655467 TVP655466:TVS655467 UFL655466:UFO655467 UPH655466:UPK655467 UZD655466:UZG655467 VIZ655466:VJC655467 VSV655466:VSY655467 WCR655466:WCU655467 WMN655466:WMQ655467 WWJ655466:WWM655467 AB721002:AE721003 JX721002:KA721003 TT721002:TW721003 ADP721002:ADS721003 ANL721002:ANO721003 AXH721002:AXK721003 BHD721002:BHG721003 BQZ721002:BRC721003 CAV721002:CAY721003 CKR721002:CKU721003 CUN721002:CUQ721003 DEJ721002:DEM721003 DOF721002:DOI721003 DYB721002:DYE721003 EHX721002:EIA721003 ERT721002:ERW721003 FBP721002:FBS721003 FLL721002:FLO721003 FVH721002:FVK721003 GFD721002:GFG721003 GOZ721002:GPC721003 GYV721002:GYY721003 HIR721002:HIU721003 HSN721002:HSQ721003 ICJ721002:ICM721003 IMF721002:IMI721003 IWB721002:IWE721003 JFX721002:JGA721003 JPT721002:JPW721003 JZP721002:JZS721003 KJL721002:KJO721003 KTH721002:KTK721003 LDD721002:LDG721003 LMZ721002:LNC721003 LWV721002:LWY721003 MGR721002:MGU721003 MQN721002:MQQ721003 NAJ721002:NAM721003 NKF721002:NKI721003 NUB721002:NUE721003 ODX721002:OEA721003 ONT721002:ONW721003 OXP721002:OXS721003 PHL721002:PHO721003 PRH721002:PRK721003 QBD721002:QBG721003 QKZ721002:QLC721003 QUV721002:QUY721003 RER721002:REU721003 RON721002:ROQ721003 RYJ721002:RYM721003 SIF721002:SII721003 SSB721002:SSE721003 TBX721002:TCA721003 TLT721002:TLW721003 TVP721002:TVS721003 UFL721002:UFO721003 UPH721002:UPK721003 UZD721002:UZG721003 VIZ721002:VJC721003 VSV721002:VSY721003 WCR721002:WCU721003 WMN721002:WMQ721003 WWJ721002:WWM721003 AB786538:AE786539 JX786538:KA786539 TT786538:TW786539 ADP786538:ADS786539 ANL786538:ANO786539 AXH786538:AXK786539 BHD786538:BHG786539 BQZ786538:BRC786539 CAV786538:CAY786539 CKR786538:CKU786539 CUN786538:CUQ786539 DEJ786538:DEM786539 DOF786538:DOI786539 DYB786538:DYE786539 EHX786538:EIA786539 ERT786538:ERW786539 FBP786538:FBS786539 FLL786538:FLO786539 FVH786538:FVK786539 GFD786538:GFG786539 GOZ786538:GPC786539 GYV786538:GYY786539 HIR786538:HIU786539 HSN786538:HSQ786539 ICJ786538:ICM786539 IMF786538:IMI786539 IWB786538:IWE786539 JFX786538:JGA786539 JPT786538:JPW786539 JZP786538:JZS786539 KJL786538:KJO786539 KTH786538:KTK786539 LDD786538:LDG786539 LMZ786538:LNC786539 LWV786538:LWY786539 MGR786538:MGU786539 MQN786538:MQQ786539 NAJ786538:NAM786539 NKF786538:NKI786539 NUB786538:NUE786539 ODX786538:OEA786539 ONT786538:ONW786539 OXP786538:OXS786539 PHL786538:PHO786539 PRH786538:PRK786539 QBD786538:QBG786539 QKZ786538:QLC786539 QUV786538:QUY786539 RER786538:REU786539 RON786538:ROQ786539 RYJ786538:RYM786539 SIF786538:SII786539 SSB786538:SSE786539 TBX786538:TCA786539 TLT786538:TLW786539 TVP786538:TVS786539 UFL786538:UFO786539 UPH786538:UPK786539 UZD786538:UZG786539 VIZ786538:VJC786539 VSV786538:VSY786539 WCR786538:WCU786539 WMN786538:WMQ786539 WWJ786538:WWM786539 AB852074:AE852075 JX852074:KA852075 TT852074:TW852075 ADP852074:ADS852075 ANL852074:ANO852075 AXH852074:AXK852075 BHD852074:BHG852075 BQZ852074:BRC852075 CAV852074:CAY852075 CKR852074:CKU852075 CUN852074:CUQ852075 DEJ852074:DEM852075 DOF852074:DOI852075 DYB852074:DYE852075 EHX852074:EIA852075 ERT852074:ERW852075 FBP852074:FBS852075 FLL852074:FLO852075 FVH852074:FVK852075 GFD852074:GFG852075 GOZ852074:GPC852075 GYV852074:GYY852075 HIR852074:HIU852075 HSN852074:HSQ852075 ICJ852074:ICM852075 IMF852074:IMI852075 IWB852074:IWE852075 JFX852074:JGA852075 JPT852074:JPW852075 JZP852074:JZS852075 KJL852074:KJO852075 KTH852074:KTK852075 LDD852074:LDG852075 LMZ852074:LNC852075 LWV852074:LWY852075 MGR852074:MGU852075 MQN852074:MQQ852075 NAJ852074:NAM852075 NKF852074:NKI852075 NUB852074:NUE852075 ODX852074:OEA852075 ONT852074:ONW852075 OXP852074:OXS852075 PHL852074:PHO852075 PRH852074:PRK852075 QBD852074:QBG852075 QKZ852074:QLC852075 QUV852074:QUY852075 RER852074:REU852075 RON852074:ROQ852075 RYJ852074:RYM852075 SIF852074:SII852075 SSB852074:SSE852075 TBX852074:TCA852075 TLT852074:TLW852075 TVP852074:TVS852075 UFL852074:UFO852075 UPH852074:UPK852075 UZD852074:UZG852075 VIZ852074:VJC852075 VSV852074:VSY852075 WCR852074:WCU852075 WMN852074:WMQ852075 WWJ852074:WWM852075 AB917610:AE917611 JX917610:KA917611 TT917610:TW917611 ADP917610:ADS917611 ANL917610:ANO917611 AXH917610:AXK917611 BHD917610:BHG917611 BQZ917610:BRC917611 CAV917610:CAY917611 CKR917610:CKU917611 CUN917610:CUQ917611 DEJ917610:DEM917611 DOF917610:DOI917611 DYB917610:DYE917611 EHX917610:EIA917611 ERT917610:ERW917611 FBP917610:FBS917611 FLL917610:FLO917611 FVH917610:FVK917611 GFD917610:GFG917611 GOZ917610:GPC917611 GYV917610:GYY917611 HIR917610:HIU917611 HSN917610:HSQ917611 ICJ917610:ICM917611 IMF917610:IMI917611 IWB917610:IWE917611 JFX917610:JGA917611 JPT917610:JPW917611 JZP917610:JZS917611 KJL917610:KJO917611 KTH917610:KTK917611 LDD917610:LDG917611 LMZ917610:LNC917611 LWV917610:LWY917611 MGR917610:MGU917611 MQN917610:MQQ917611 NAJ917610:NAM917611 NKF917610:NKI917611 NUB917610:NUE917611 ODX917610:OEA917611 ONT917610:ONW917611 OXP917610:OXS917611 PHL917610:PHO917611 PRH917610:PRK917611 QBD917610:QBG917611 QKZ917610:QLC917611 QUV917610:QUY917611 RER917610:REU917611 RON917610:ROQ917611 RYJ917610:RYM917611 SIF917610:SII917611 SSB917610:SSE917611 TBX917610:TCA917611 TLT917610:TLW917611 TVP917610:TVS917611 UFL917610:UFO917611 UPH917610:UPK917611 UZD917610:UZG917611 VIZ917610:VJC917611 VSV917610:VSY917611 WCR917610:WCU917611 WMN917610:WMQ917611 WWJ917610:WWM917611 AB983146:AE983147 JX983146:KA983147 TT983146:TW983147 ADP983146:ADS983147 ANL983146:ANO983147 AXH983146:AXK983147 BHD983146:BHG983147 BQZ983146:BRC983147 CAV983146:CAY983147 CKR983146:CKU983147 CUN983146:CUQ983147 DEJ983146:DEM983147 DOF983146:DOI983147 DYB983146:DYE983147 EHX983146:EIA983147 ERT983146:ERW983147 FBP983146:FBS983147 FLL983146:FLO983147 FVH983146:FVK983147 GFD983146:GFG983147 GOZ983146:GPC983147 GYV983146:GYY983147 HIR983146:HIU983147 HSN983146:HSQ983147 ICJ983146:ICM983147 IMF983146:IMI983147 IWB983146:IWE983147 JFX983146:JGA983147 JPT983146:JPW983147 JZP983146:JZS983147 KJL983146:KJO983147 KTH983146:KTK983147 LDD983146:LDG983147 LMZ983146:LNC983147 LWV983146:LWY983147 MGR983146:MGU983147 MQN983146:MQQ983147 NAJ983146:NAM983147 NKF983146:NKI983147 NUB983146:NUE983147 ODX983146:OEA983147 ONT983146:ONW983147 OXP983146:OXS983147 PHL983146:PHO983147 PRH983146:PRK983147 QBD983146:QBG983147 QKZ983146:QLC983147 QUV983146:QUY983147 RER983146:REU983147 RON983146:ROQ983147 RYJ983146:RYM983147 SIF983146:SII983147 SSB983146:SSE983147 TBX983146:TCA983147 TLT983146:TLW983147 TVP983146:TVS983147 UFL983146:UFO983147 UPH983146:UPK983147 UZD983146:UZG983147 VIZ983146:VJC983147 VSV983146:VSY983147 WCR983146:WCU983147 WMN983146:WMQ983147 WWJ983146:WWM983147 P158:Q192 JL158:JM192 TH158:TI192 ADD158:ADE192 AMZ158:ANA192 AWV158:AWW192 BGR158:BGS192 BQN158:BQO192 CAJ158:CAK192 CKF158:CKG192 CUB158:CUC192 DDX158:DDY192 DNT158:DNU192 DXP158:DXQ192 EHL158:EHM192 ERH158:ERI192 FBD158:FBE192 FKZ158:FLA192 FUV158:FUW192 GER158:GES192 GON158:GOO192 GYJ158:GYK192 HIF158:HIG192 HSB158:HSC192 IBX158:IBY192 ILT158:ILU192 IVP158:IVQ192 JFL158:JFM192 JPH158:JPI192 JZD158:JZE192 KIZ158:KJA192 KSV158:KSW192 LCR158:LCS192 LMN158:LMO192 LWJ158:LWK192 MGF158:MGG192 MQB158:MQC192 MZX158:MZY192 NJT158:NJU192 NTP158:NTQ192 ODL158:ODM192 ONH158:ONI192 OXD158:OXE192 PGZ158:PHA192 PQV158:PQW192 QAR158:QAS192 QKN158:QKO192 QUJ158:QUK192 REF158:REG192 ROB158:ROC192 RXX158:RXY192 SHT158:SHU192 SRP158:SRQ192 TBL158:TBM192 TLH158:TLI192 TVD158:TVE192 UEZ158:UFA192 UOV158:UOW192 UYR158:UYS192 VIN158:VIO192 VSJ158:VSK192 WCF158:WCG192 WMB158:WMC192 WVX158:WVY192 P65694:Q65728 JL65694:JM65728 TH65694:TI65728 ADD65694:ADE65728 AMZ65694:ANA65728 AWV65694:AWW65728 BGR65694:BGS65728 BQN65694:BQO65728 CAJ65694:CAK65728 CKF65694:CKG65728 CUB65694:CUC65728 DDX65694:DDY65728 DNT65694:DNU65728 DXP65694:DXQ65728 EHL65694:EHM65728 ERH65694:ERI65728 FBD65694:FBE65728 FKZ65694:FLA65728 FUV65694:FUW65728 GER65694:GES65728 GON65694:GOO65728 GYJ65694:GYK65728 HIF65694:HIG65728 HSB65694:HSC65728 IBX65694:IBY65728 ILT65694:ILU65728 IVP65694:IVQ65728 JFL65694:JFM65728 JPH65694:JPI65728 JZD65694:JZE65728 KIZ65694:KJA65728 KSV65694:KSW65728 LCR65694:LCS65728 LMN65694:LMO65728 LWJ65694:LWK65728 MGF65694:MGG65728 MQB65694:MQC65728 MZX65694:MZY65728 NJT65694:NJU65728 NTP65694:NTQ65728 ODL65694:ODM65728 ONH65694:ONI65728 OXD65694:OXE65728 PGZ65694:PHA65728 PQV65694:PQW65728 QAR65694:QAS65728 QKN65694:QKO65728 QUJ65694:QUK65728 REF65694:REG65728 ROB65694:ROC65728 RXX65694:RXY65728 SHT65694:SHU65728 SRP65694:SRQ65728 TBL65694:TBM65728 TLH65694:TLI65728 TVD65694:TVE65728 UEZ65694:UFA65728 UOV65694:UOW65728 UYR65694:UYS65728 VIN65694:VIO65728 VSJ65694:VSK65728 WCF65694:WCG65728 WMB65694:WMC65728 WVX65694:WVY65728 P131230:Q131264 JL131230:JM131264 TH131230:TI131264 ADD131230:ADE131264 AMZ131230:ANA131264 AWV131230:AWW131264 BGR131230:BGS131264 BQN131230:BQO131264 CAJ131230:CAK131264 CKF131230:CKG131264 CUB131230:CUC131264 DDX131230:DDY131264 DNT131230:DNU131264 DXP131230:DXQ131264 EHL131230:EHM131264 ERH131230:ERI131264 FBD131230:FBE131264 FKZ131230:FLA131264 FUV131230:FUW131264 GER131230:GES131264 GON131230:GOO131264 GYJ131230:GYK131264 HIF131230:HIG131264 HSB131230:HSC131264 IBX131230:IBY131264 ILT131230:ILU131264 IVP131230:IVQ131264 JFL131230:JFM131264 JPH131230:JPI131264 JZD131230:JZE131264 KIZ131230:KJA131264 KSV131230:KSW131264 LCR131230:LCS131264 LMN131230:LMO131264 LWJ131230:LWK131264 MGF131230:MGG131264 MQB131230:MQC131264 MZX131230:MZY131264 NJT131230:NJU131264 NTP131230:NTQ131264 ODL131230:ODM131264 ONH131230:ONI131264 OXD131230:OXE131264 PGZ131230:PHA131264 PQV131230:PQW131264 QAR131230:QAS131264 QKN131230:QKO131264 QUJ131230:QUK131264 REF131230:REG131264 ROB131230:ROC131264 RXX131230:RXY131264 SHT131230:SHU131264 SRP131230:SRQ131264 TBL131230:TBM131264 TLH131230:TLI131264 TVD131230:TVE131264 UEZ131230:UFA131264 UOV131230:UOW131264 UYR131230:UYS131264 VIN131230:VIO131264 VSJ131230:VSK131264 WCF131230:WCG131264 WMB131230:WMC131264 WVX131230:WVY131264 P196766:Q196800 JL196766:JM196800 TH196766:TI196800 ADD196766:ADE196800 AMZ196766:ANA196800 AWV196766:AWW196800 BGR196766:BGS196800 BQN196766:BQO196800 CAJ196766:CAK196800 CKF196766:CKG196800 CUB196766:CUC196800 DDX196766:DDY196800 DNT196766:DNU196800 DXP196766:DXQ196800 EHL196766:EHM196800 ERH196766:ERI196800 FBD196766:FBE196800 FKZ196766:FLA196800 FUV196766:FUW196800 GER196766:GES196800 GON196766:GOO196800 GYJ196766:GYK196800 HIF196766:HIG196800 HSB196766:HSC196800 IBX196766:IBY196800 ILT196766:ILU196800 IVP196766:IVQ196800 JFL196766:JFM196800 JPH196766:JPI196800 JZD196766:JZE196800 KIZ196766:KJA196800 KSV196766:KSW196800 LCR196766:LCS196800 LMN196766:LMO196800 LWJ196766:LWK196800 MGF196766:MGG196800 MQB196766:MQC196800 MZX196766:MZY196800 NJT196766:NJU196800 NTP196766:NTQ196800 ODL196766:ODM196800 ONH196766:ONI196800 OXD196766:OXE196800 PGZ196766:PHA196800 PQV196766:PQW196800 QAR196766:QAS196800 QKN196766:QKO196800 QUJ196766:QUK196800 REF196766:REG196800 ROB196766:ROC196800 RXX196766:RXY196800 SHT196766:SHU196800 SRP196766:SRQ196800 TBL196766:TBM196800 TLH196766:TLI196800 TVD196766:TVE196800 UEZ196766:UFA196800 UOV196766:UOW196800 UYR196766:UYS196800 VIN196766:VIO196800 VSJ196766:VSK196800 WCF196766:WCG196800 WMB196766:WMC196800 WVX196766:WVY196800 P262302:Q262336 JL262302:JM262336 TH262302:TI262336 ADD262302:ADE262336 AMZ262302:ANA262336 AWV262302:AWW262336 BGR262302:BGS262336 BQN262302:BQO262336 CAJ262302:CAK262336 CKF262302:CKG262336 CUB262302:CUC262336 DDX262302:DDY262336 DNT262302:DNU262336 DXP262302:DXQ262336 EHL262302:EHM262336 ERH262302:ERI262336 FBD262302:FBE262336 FKZ262302:FLA262336 FUV262302:FUW262336 GER262302:GES262336 GON262302:GOO262336 GYJ262302:GYK262336 HIF262302:HIG262336 HSB262302:HSC262336 IBX262302:IBY262336 ILT262302:ILU262336 IVP262302:IVQ262336 JFL262302:JFM262336 JPH262302:JPI262336 JZD262302:JZE262336 KIZ262302:KJA262336 KSV262302:KSW262336 LCR262302:LCS262336 LMN262302:LMO262336 LWJ262302:LWK262336 MGF262302:MGG262336 MQB262302:MQC262336 MZX262302:MZY262336 NJT262302:NJU262336 NTP262302:NTQ262336 ODL262302:ODM262336 ONH262302:ONI262336 OXD262302:OXE262336 PGZ262302:PHA262336 PQV262302:PQW262336 QAR262302:QAS262336 QKN262302:QKO262336 QUJ262302:QUK262336 REF262302:REG262336 ROB262302:ROC262336 RXX262302:RXY262336 SHT262302:SHU262336 SRP262302:SRQ262336 TBL262302:TBM262336 TLH262302:TLI262336 TVD262302:TVE262336 UEZ262302:UFA262336 UOV262302:UOW262336 UYR262302:UYS262336 VIN262302:VIO262336 VSJ262302:VSK262336 WCF262302:WCG262336 WMB262302:WMC262336 WVX262302:WVY262336 P327838:Q327872 JL327838:JM327872 TH327838:TI327872 ADD327838:ADE327872 AMZ327838:ANA327872 AWV327838:AWW327872 BGR327838:BGS327872 BQN327838:BQO327872 CAJ327838:CAK327872 CKF327838:CKG327872 CUB327838:CUC327872 DDX327838:DDY327872 DNT327838:DNU327872 DXP327838:DXQ327872 EHL327838:EHM327872 ERH327838:ERI327872 FBD327838:FBE327872 FKZ327838:FLA327872 FUV327838:FUW327872 GER327838:GES327872 GON327838:GOO327872 GYJ327838:GYK327872 HIF327838:HIG327872 HSB327838:HSC327872 IBX327838:IBY327872 ILT327838:ILU327872 IVP327838:IVQ327872 JFL327838:JFM327872 JPH327838:JPI327872 JZD327838:JZE327872 KIZ327838:KJA327872 KSV327838:KSW327872 LCR327838:LCS327872 LMN327838:LMO327872 LWJ327838:LWK327872 MGF327838:MGG327872 MQB327838:MQC327872 MZX327838:MZY327872 NJT327838:NJU327872 NTP327838:NTQ327872 ODL327838:ODM327872 ONH327838:ONI327872 OXD327838:OXE327872 PGZ327838:PHA327872 PQV327838:PQW327872 QAR327838:QAS327872 QKN327838:QKO327872 QUJ327838:QUK327872 REF327838:REG327872 ROB327838:ROC327872 RXX327838:RXY327872 SHT327838:SHU327872 SRP327838:SRQ327872 TBL327838:TBM327872 TLH327838:TLI327872 TVD327838:TVE327872 UEZ327838:UFA327872 UOV327838:UOW327872 UYR327838:UYS327872 VIN327838:VIO327872 VSJ327838:VSK327872 WCF327838:WCG327872 WMB327838:WMC327872 WVX327838:WVY327872 P393374:Q393408 JL393374:JM393408 TH393374:TI393408 ADD393374:ADE393408 AMZ393374:ANA393408 AWV393374:AWW393408 BGR393374:BGS393408 BQN393374:BQO393408 CAJ393374:CAK393408 CKF393374:CKG393408 CUB393374:CUC393408 DDX393374:DDY393408 DNT393374:DNU393408 DXP393374:DXQ393408 EHL393374:EHM393408 ERH393374:ERI393408 FBD393374:FBE393408 FKZ393374:FLA393408 FUV393374:FUW393408 GER393374:GES393408 GON393374:GOO393408 GYJ393374:GYK393408 HIF393374:HIG393408 HSB393374:HSC393408 IBX393374:IBY393408 ILT393374:ILU393408 IVP393374:IVQ393408 JFL393374:JFM393408 JPH393374:JPI393408 JZD393374:JZE393408 KIZ393374:KJA393408 KSV393374:KSW393408 LCR393374:LCS393408 LMN393374:LMO393408 LWJ393374:LWK393408 MGF393374:MGG393408 MQB393374:MQC393408 MZX393374:MZY393408 NJT393374:NJU393408 NTP393374:NTQ393408 ODL393374:ODM393408 ONH393374:ONI393408 OXD393374:OXE393408 PGZ393374:PHA393408 PQV393374:PQW393408 QAR393374:QAS393408 QKN393374:QKO393408 QUJ393374:QUK393408 REF393374:REG393408 ROB393374:ROC393408 RXX393374:RXY393408 SHT393374:SHU393408 SRP393374:SRQ393408 TBL393374:TBM393408 TLH393374:TLI393408 TVD393374:TVE393408 UEZ393374:UFA393408 UOV393374:UOW393408 UYR393374:UYS393408 VIN393374:VIO393408 VSJ393374:VSK393408 WCF393374:WCG393408 WMB393374:WMC393408 WVX393374:WVY393408 P458910:Q458944 JL458910:JM458944 TH458910:TI458944 ADD458910:ADE458944 AMZ458910:ANA458944 AWV458910:AWW458944 BGR458910:BGS458944 BQN458910:BQO458944 CAJ458910:CAK458944 CKF458910:CKG458944 CUB458910:CUC458944 DDX458910:DDY458944 DNT458910:DNU458944 DXP458910:DXQ458944 EHL458910:EHM458944 ERH458910:ERI458944 FBD458910:FBE458944 FKZ458910:FLA458944 FUV458910:FUW458944 GER458910:GES458944 GON458910:GOO458944 GYJ458910:GYK458944 HIF458910:HIG458944 HSB458910:HSC458944 IBX458910:IBY458944 ILT458910:ILU458944 IVP458910:IVQ458944 JFL458910:JFM458944 JPH458910:JPI458944 JZD458910:JZE458944 KIZ458910:KJA458944 KSV458910:KSW458944 LCR458910:LCS458944 LMN458910:LMO458944 LWJ458910:LWK458944 MGF458910:MGG458944 MQB458910:MQC458944 MZX458910:MZY458944 NJT458910:NJU458944 NTP458910:NTQ458944 ODL458910:ODM458944 ONH458910:ONI458944 OXD458910:OXE458944 PGZ458910:PHA458944 PQV458910:PQW458944 QAR458910:QAS458944 QKN458910:QKO458944 QUJ458910:QUK458944 REF458910:REG458944 ROB458910:ROC458944 RXX458910:RXY458944 SHT458910:SHU458944 SRP458910:SRQ458944 TBL458910:TBM458944 TLH458910:TLI458944 TVD458910:TVE458944 UEZ458910:UFA458944 UOV458910:UOW458944 UYR458910:UYS458944 VIN458910:VIO458944 VSJ458910:VSK458944 WCF458910:WCG458944 WMB458910:WMC458944 WVX458910:WVY458944 P524446:Q524480 JL524446:JM524480 TH524446:TI524480 ADD524446:ADE524480 AMZ524446:ANA524480 AWV524446:AWW524480 BGR524446:BGS524480 BQN524446:BQO524480 CAJ524446:CAK524480 CKF524446:CKG524480 CUB524446:CUC524480 DDX524446:DDY524480 DNT524446:DNU524480 DXP524446:DXQ524480 EHL524446:EHM524480 ERH524446:ERI524480 FBD524446:FBE524480 FKZ524446:FLA524480 FUV524446:FUW524480 GER524446:GES524480 GON524446:GOO524480 GYJ524446:GYK524480 HIF524446:HIG524480 HSB524446:HSC524480 IBX524446:IBY524480 ILT524446:ILU524480 IVP524446:IVQ524480 JFL524446:JFM524480 JPH524446:JPI524480 JZD524446:JZE524480 KIZ524446:KJA524480 KSV524446:KSW524480 LCR524446:LCS524480 LMN524446:LMO524480 LWJ524446:LWK524480 MGF524446:MGG524480 MQB524446:MQC524480 MZX524446:MZY524480 NJT524446:NJU524480 NTP524446:NTQ524480 ODL524446:ODM524480 ONH524446:ONI524480 OXD524446:OXE524480 PGZ524446:PHA524480 PQV524446:PQW524480 QAR524446:QAS524480 QKN524446:QKO524480 QUJ524446:QUK524480 REF524446:REG524480 ROB524446:ROC524480 RXX524446:RXY524480 SHT524446:SHU524480 SRP524446:SRQ524480 TBL524446:TBM524480 TLH524446:TLI524480 TVD524446:TVE524480 UEZ524446:UFA524480 UOV524446:UOW524480 UYR524446:UYS524480 VIN524446:VIO524480 VSJ524446:VSK524480 WCF524446:WCG524480 WMB524446:WMC524480 WVX524446:WVY524480 P589982:Q590016 JL589982:JM590016 TH589982:TI590016 ADD589982:ADE590016 AMZ589982:ANA590016 AWV589982:AWW590016 BGR589982:BGS590016 BQN589982:BQO590016 CAJ589982:CAK590016 CKF589982:CKG590016 CUB589982:CUC590016 DDX589982:DDY590016 DNT589982:DNU590016 DXP589982:DXQ590016 EHL589982:EHM590016 ERH589982:ERI590016 FBD589982:FBE590016 FKZ589982:FLA590016 FUV589982:FUW590016 GER589982:GES590016 GON589982:GOO590016 GYJ589982:GYK590016 HIF589982:HIG590016 HSB589982:HSC590016 IBX589982:IBY590016 ILT589982:ILU590016 IVP589982:IVQ590016 JFL589982:JFM590016 JPH589982:JPI590016 JZD589982:JZE590016 KIZ589982:KJA590016 KSV589982:KSW590016 LCR589982:LCS590016 LMN589982:LMO590016 LWJ589982:LWK590016 MGF589982:MGG590016 MQB589982:MQC590016 MZX589982:MZY590016 NJT589982:NJU590016 NTP589982:NTQ590016 ODL589982:ODM590016 ONH589982:ONI590016 OXD589982:OXE590016 PGZ589982:PHA590016 PQV589982:PQW590016 QAR589982:QAS590016 QKN589982:QKO590016 QUJ589982:QUK590016 REF589982:REG590016 ROB589982:ROC590016 RXX589982:RXY590016 SHT589982:SHU590016 SRP589982:SRQ590016 TBL589982:TBM590016 TLH589982:TLI590016 TVD589982:TVE590016 UEZ589982:UFA590016 UOV589982:UOW590016 UYR589982:UYS590016 VIN589982:VIO590016 VSJ589982:VSK590016 WCF589982:WCG590016 WMB589982:WMC590016 WVX589982:WVY590016 P655518:Q655552 JL655518:JM655552 TH655518:TI655552 ADD655518:ADE655552 AMZ655518:ANA655552 AWV655518:AWW655552 BGR655518:BGS655552 BQN655518:BQO655552 CAJ655518:CAK655552 CKF655518:CKG655552 CUB655518:CUC655552 DDX655518:DDY655552 DNT655518:DNU655552 DXP655518:DXQ655552 EHL655518:EHM655552 ERH655518:ERI655552 FBD655518:FBE655552 FKZ655518:FLA655552 FUV655518:FUW655552 GER655518:GES655552 GON655518:GOO655552 GYJ655518:GYK655552 HIF655518:HIG655552 HSB655518:HSC655552 IBX655518:IBY655552 ILT655518:ILU655552 IVP655518:IVQ655552 JFL655518:JFM655552 JPH655518:JPI655552 JZD655518:JZE655552 KIZ655518:KJA655552 KSV655518:KSW655552 LCR655518:LCS655552 LMN655518:LMO655552 LWJ655518:LWK655552 MGF655518:MGG655552 MQB655518:MQC655552 MZX655518:MZY655552 NJT655518:NJU655552 NTP655518:NTQ655552 ODL655518:ODM655552 ONH655518:ONI655552 OXD655518:OXE655552 PGZ655518:PHA655552 PQV655518:PQW655552 QAR655518:QAS655552 QKN655518:QKO655552 QUJ655518:QUK655552 REF655518:REG655552 ROB655518:ROC655552 RXX655518:RXY655552 SHT655518:SHU655552 SRP655518:SRQ655552 TBL655518:TBM655552 TLH655518:TLI655552 TVD655518:TVE655552 UEZ655518:UFA655552 UOV655518:UOW655552 UYR655518:UYS655552 VIN655518:VIO655552 VSJ655518:VSK655552 WCF655518:WCG655552 WMB655518:WMC655552 WVX655518:WVY655552 P721054:Q721088 JL721054:JM721088 TH721054:TI721088 ADD721054:ADE721088 AMZ721054:ANA721088 AWV721054:AWW721088 BGR721054:BGS721088 BQN721054:BQO721088 CAJ721054:CAK721088 CKF721054:CKG721088 CUB721054:CUC721088 DDX721054:DDY721088 DNT721054:DNU721088 DXP721054:DXQ721088 EHL721054:EHM721088 ERH721054:ERI721088 FBD721054:FBE721088 FKZ721054:FLA721088 FUV721054:FUW721088 GER721054:GES721088 GON721054:GOO721088 GYJ721054:GYK721088 HIF721054:HIG721088 HSB721054:HSC721088 IBX721054:IBY721088 ILT721054:ILU721088 IVP721054:IVQ721088 JFL721054:JFM721088 JPH721054:JPI721088 JZD721054:JZE721088 KIZ721054:KJA721088 KSV721054:KSW721088 LCR721054:LCS721088 LMN721054:LMO721088 LWJ721054:LWK721088 MGF721054:MGG721088 MQB721054:MQC721088 MZX721054:MZY721088 NJT721054:NJU721088 NTP721054:NTQ721088 ODL721054:ODM721088 ONH721054:ONI721088 OXD721054:OXE721088 PGZ721054:PHA721088 PQV721054:PQW721088 QAR721054:QAS721088 QKN721054:QKO721088 QUJ721054:QUK721088 REF721054:REG721088 ROB721054:ROC721088 RXX721054:RXY721088 SHT721054:SHU721088 SRP721054:SRQ721088 TBL721054:TBM721088 TLH721054:TLI721088 TVD721054:TVE721088 UEZ721054:UFA721088 UOV721054:UOW721088 UYR721054:UYS721088 VIN721054:VIO721088 VSJ721054:VSK721088 WCF721054:WCG721088 WMB721054:WMC721088 WVX721054:WVY721088 P786590:Q786624 JL786590:JM786624 TH786590:TI786624 ADD786590:ADE786624 AMZ786590:ANA786624 AWV786590:AWW786624 BGR786590:BGS786624 BQN786590:BQO786624 CAJ786590:CAK786624 CKF786590:CKG786624 CUB786590:CUC786624 DDX786590:DDY786624 DNT786590:DNU786624 DXP786590:DXQ786624 EHL786590:EHM786624 ERH786590:ERI786624 FBD786590:FBE786624 FKZ786590:FLA786624 FUV786590:FUW786624 GER786590:GES786624 GON786590:GOO786624 GYJ786590:GYK786624 HIF786590:HIG786624 HSB786590:HSC786624 IBX786590:IBY786624 ILT786590:ILU786624 IVP786590:IVQ786624 JFL786590:JFM786624 JPH786590:JPI786624 JZD786590:JZE786624 KIZ786590:KJA786624 KSV786590:KSW786624 LCR786590:LCS786624 LMN786590:LMO786624 LWJ786590:LWK786624 MGF786590:MGG786624 MQB786590:MQC786624 MZX786590:MZY786624 NJT786590:NJU786624 NTP786590:NTQ786624 ODL786590:ODM786624 ONH786590:ONI786624 OXD786590:OXE786624 PGZ786590:PHA786624 PQV786590:PQW786624 QAR786590:QAS786624 QKN786590:QKO786624 QUJ786590:QUK786624 REF786590:REG786624 ROB786590:ROC786624 RXX786590:RXY786624 SHT786590:SHU786624 SRP786590:SRQ786624 TBL786590:TBM786624 TLH786590:TLI786624 TVD786590:TVE786624 UEZ786590:UFA786624 UOV786590:UOW786624 UYR786590:UYS786624 VIN786590:VIO786624 VSJ786590:VSK786624 WCF786590:WCG786624 WMB786590:WMC786624 WVX786590:WVY786624 P852126:Q852160 JL852126:JM852160 TH852126:TI852160 ADD852126:ADE852160 AMZ852126:ANA852160 AWV852126:AWW852160 BGR852126:BGS852160 BQN852126:BQO852160 CAJ852126:CAK852160 CKF852126:CKG852160 CUB852126:CUC852160 DDX852126:DDY852160 DNT852126:DNU852160 DXP852126:DXQ852160 EHL852126:EHM852160 ERH852126:ERI852160 FBD852126:FBE852160 FKZ852126:FLA852160 FUV852126:FUW852160 GER852126:GES852160 GON852126:GOO852160 GYJ852126:GYK852160 HIF852126:HIG852160 HSB852126:HSC852160 IBX852126:IBY852160 ILT852126:ILU852160 IVP852126:IVQ852160 JFL852126:JFM852160 JPH852126:JPI852160 JZD852126:JZE852160 KIZ852126:KJA852160 KSV852126:KSW852160 LCR852126:LCS852160 LMN852126:LMO852160 LWJ852126:LWK852160 MGF852126:MGG852160 MQB852126:MQC852160 MZX852126:MZY852160 NJT852126:NJU852160 NTP852126:NTQ852160 ODL852126:ODM852160 ONH852126:ONI852160 OXD852126:OXE852160 PGZ852126:PHA852160 PQV852126:PQW852160 QAR852126:QAS852160 QKN852126:QKO852160 QUJ852126:QUK852160 REF852126:REG852160 ROB852126:ROC852160 RXX852126:RXY852160 SHT852126:SHU852160 SRP852126:SRQ852160 TBL852126:TBM852160 TLH852126:TLI852160 TVD852126:TVE852160 UEZ852126:UFA852160 UOV852126:UOW852160 UYR852126:UYS852160 VIN852126:VIO852160 VSJ852126:VSK852160 WCF852126:WCG852160 WMB852126:WMC852160 WVX852126:WVY852160 P917662:Q917696 JL917662:JM917696 TH917662:TI917696 ADD917662:ADE917696 AMZ917662:ANA917696 AWV917662:AWW917696 BGR917662:BGS917696 BQN917662:BQO917696 CAJ917662:CAK917696 CKF917662:CKG917696 CUB917662:CUC917696 DDX917662:DDY917696 DNT917662:DNU917696 DXP917662:DXQ917696 EHL917662:EHM917696 ERH917662:ERI917696 FBD917662:FBE917696 FKZ917662:FLA917696 FUV917662:FUW917696 GER917662:GES917696 GON917662:GOO917696 GYJ917662:GYK917696 HIF917662:HIG917696 HSB917662:HSC917696 IBX917662:IBY917696 ILT917662:ILU917696 IVP917662:IVQ917696 JFL917662:JFM917696 JPH917662:JPI917696 JZD917662:JZE917696 KIZ917662:KJA917696 KSV917662:KSW917696 LCR917662:LCS917696 LMN917662:LMO917696 LWJ917662:LWK917696 MGF917662:MGG917696 MQB917662:MQC917696 MZX917662:MZY917696 NJT917662:NJU917696 NTP917662:NTQ917696 ODL917662:ODM917696 ONH917662:ONI917696 OXD917662:OXE917696 PGZ917662:PHA917696 PQV917662:PQW917696 QAR917662:QAS917696 QKN917662:QKO917696 QUJ917662:QUK917696 REF917662:REG917696 ROB917662:ROC917696 RXX917662:RXY917696 SHT917662:SHU917696 SRP917662:SRQ917696 TBL917662:TBM917696 TLH917662:TLI917696 TVD917662:TVE917696 UEZ917662:UFA917696 UOV917662:UOW917696 UYR917662:UYS917696 VIN917662:VIO917696 VSJ917662:VSK917696 WCF917662:WCG917696 WMB917662:WMC917696 WVX917662:WVY917696 P983198:Q983232 JL983198:JM983232 TH983198:TI983232 ADD983198:ADE983232 AMZ983198:ANA983232 AWV983198:AWW983232 BGR983198:BGS983232 BQN983198:BQO983232 CAJ983198:CAK983232 CKF983198:CKG983232 CUB983198:CUC983232 DDX983198:DDY983232 DNT983198:DNU983232 DXP983198:DXQ983232 EHL983198:EHM983232 ERH983198:ERI983232 FBD983198:FBE983232 FKZ983198:FLA983232 FUV983198:FUW983232 GER983198:GES983232 GON983198:GOO983232 GYJ983198:GYK983232 HIF983198:HIG983232 HSB983198:HSC983232 IBX983198:IBY983232 ILT983198:ILU983232 IVP983198:IVQ983232 JFL983198:JFM983232 JPH983198:JPI983232 JZD983198:JZE983232 KIZ983198:KJA983232 KSV983198:KSW983232 LCR983198:LCS983232 LMN983198:LMO983232 LWJ983198:LWK983232 MGF983198:MGG983232 MQB983198:MQC983232 MZX983198:MZY983232 NJT983198:NJU983232 NTP983198:NTQ983232 ODL983198:ODM983232 ONH983198:ONI983232 OXD983198:OXE983232 PGZ983198:PHA983232 PQV983198:PQW983232 QAR983198:QAS983232 QKN983198:QKO983232 QUJ983198:QUK983232 REF983198:REG983232 ROB983198:ROC983232 RXX983198:RXY983232 SHT983198:SHU983232 SRP983198:SRQ983232 TBL983198:TBM983232 TLH983198:TLI983232 TVD983198:TVE983232 UEZ983198:UFA983232 UOV983198:UOW983232 UYR983198:UYS983232 VIN983198:VIO983232 VSJ983198:VSK983232 WCF983198:WCG983232 WMB983198:WMC983232 WVX983198:WVY983232 K158:L161 JG158:JH161 TC158:TD161 ACY158:ACZ161 AMU158:AMV161 AWQ158:AWR161 BGM158:BGN161 BQI158:BQJ161 CAE158:CAF161 CKA158:CKB161 CTW158:CTX161 DDS158:DDT161 DNO158:DNP161 DXK158:DXL161 EHG158:EHH161 ERC158:ERD161 FAY158:FAZ161 FKU158:FKV161 FUQ158:FUR161 GEM158:GEN161 GOI158:GOJ161 GYE158:GYF161 HIA158:HIB161 HRW158:HRX161 IBS158:IBT161 ILO158:ILP161 IVK158:IVL161 JFG158:JFH161 JPC158:JPD161 JYY158:JYZ161 KIU158:KIV161 KSQ158:KSR161 LCM158:LCN161 LMI158:LMJ161 LWE158:LWF161 MGA158:MGB161 MPW158:MPX161 MZS158:MZT161 NJO158:NJP161 NTK158:NTL161 ODG158:ODH161 ONC158:OND161 OWY158:OWZ161 PGU158:PGV161 PQQ158:PQR161 QAM158:QAN161 QKI158:QKJ161 QUE158:QUF161 REA158:REB161 RNW158:RNX161 RXS158:RXT161 SHO158:SHP161 SRK158:SRL161 TBG158:TBH161 TLC158:TLD161 TUY158:TUZ161 UEU158:UEV161 UOQ158:UOR161 UYM158:UYN161 VII158:VIJ161 VSE158:VSF161 WCA158:WCB161 WLW158:WLX161 WVS158:WVT161 K65694:L65697 JG65694:JH65697 TC65694:TD65697 ACY65694:ACZ65697 AMU65694:AMV65697 AWQ65694:AWR65697 BGM65694:BGN65697 BQI65694:BQJ65697 CAE65694:CAF65697 CKA65694:CKB65697 CTW65694:CTX65697 DDS65694:DDT65697 DNO65694:DNP65697 DXK65694:DXL65697 EHG65694:EHH65697 ERC65694:ERD65697 FAY65694:FAZ65697 FKU65694:FKV65697 FUQ65694:FUR65697 GEM65694:GEN65697 GOI65694:GOJ65697 GYE65694:GYF65697 HIA65694:HIB65697 HRW65694:HRX65697 IBS65694:IBT65697 ILO65694:ILP65697 IVK65694:IVL65697 JFG65694:JFH65697 JPC65694:JPD65697 JYY65694:JYZ65697 KIU65694:KIV65697 KSQ65694:KSR65697 LCM65694:LCN65697 LMI65694:LMJ65697 LWE65694:LWF65697 MGA65694:MGB65697 MPW65694:MPX65697 MZS65694:MZT65697 NJO65694:NJP65697 NTK65694:NTL65697 ODG65694:ODH65697 ONC65694:OND65697 OWY65694:OWZ65697 PGU65694:PGV65697 PQQ65694:PQR65697 QAM65694:QAN65697 QKI65694:QKJ65697 QUE65694:QUF65697 REA65694:REB65697 RNW65694:RNX65697 RXS65694:RXT65697 SHO65694:SHP65697 SRK65694:SRL65697 TBG65694:TBH65697 TLC65694:TLD65697 TUY65694:TUZ65697 UEU65694:UEV65697 UOQ65694:UOR65697 UYM65694:UYN65697 VII65694:VIJ65697 VSE65694:VSF65697 WCA65694:WCB65697 WLW65694:WLX65697 WVS65694:WVT65697 K131230:L131233 JG131230:JH131233 TC131230:TD131233 ACY131230:ACZ131233 AMU131230:AMV131233 AWQ131230:AWR131233 BGM131230:BGN131233 BQI131230:BQJ131233 CAE131230:CAF131233 CKA131230:CKB131233 CTW131230:CTX131233 DDS131230:DDT131233 DNO131230:DNP131233 DXK131230:DXL131233 EHG131230:EHH131233 ERC131230:ERD131233 FAY131230:FAZ131233 FKU131230:FKV131233 FUQ131230:FUR131233 GEM131230:GEN131233 GOI131230:GOJ131233 GYE131230:GYF131233 HIA131230:HIB131233 HRW131230:HRX131233 IBS131230:IBT131233 ILO131230:ILP131233 IVK131230:IVL131233 JFG131230:JFH131233 JPC131230:JPD131233 JYY131230:JYZ131233 KIU131230:KIV131233 KSQ131230:KSR131233 LCM131230:LCN131233 LMI131230:LMJ131233 LWE131230:LWF131233 MGA131230:MGB131233 MPW131230:MPX131233 MZS131230:MZT131233 NJO131230:NJP131233 NTK131230:NTL131233 ODG131230:ODH131233 ONC131230:OND131233 OWY131230:OWZ131233 PGU131230:PGV131233 PQQ131230:PQR131233 QAM131230:QAN131233 QKI131230:QKJ131233 QUE131230:QUF131233 REA131230:REB131233 RNW131230:RNX131233 RXS131230:RXT131233 SHO131230:SHP131233 SRK131230:SRL131233 TBG131230:TBH131233 TLC131230:TLD131233 TUY131230:TUZ131233 UEU131230:UEV131233 UOQ131230:UOR131233 UYM131230:UYN131233 VII131230:VIJ131233 VSE131230:VSF131233 WCA131230:WCB131233 WLW131230:WLX131233 WVS131230:WVT131233 K196766:L196769 JG196766:JH196769 TC196766:TD196769 ACY196766:ACZ196769 AMU196766:AMV196769 AWQ196766:AWR196769 BGM196766:BGN196769 BQI196766:BQJ196769 CAE196766:CAF196769 CKA196766:CKB196769 CTW196766:CTX196769 DDS196766:DDT196769 DNO196766:DNP196769 DXK196766:DXL196769 EHG196766:EHH196769 ERC196766:ERD196769 FAY196766:FAZ196769 FKU196766:FKV196769 FUQ196766:FUR196769 GEM196766:GEN196769 GOI196766:GOJ196769 GYE196766:GYF196769 HIA196766:HIB196769 HRW196766:HRX196769 IBS196766:IBT196769 ILO196766:ILP196769 IVK196766:IVL196769 JFG196766:JFH196769 JPC196766:JPD196769 JYY196766:JYZ196769 KIU196766:KIV196769 KSQ196766:KSR196769 LCM196766:LCN196769 LMI196766:LMJ196769 LWE196766:LWF196769 MGA196766:MGB196769 MPW196766:MPX196769 MZS196766:MZT196769 NJO196766:NJP196769 NTK196766:NTL196769 ODG196766:ODH196769 ONC196766:OND196769 OWY196766:OWZ196769 PGU196766:PGV196769 PQQ196766:PQR196769 QAM196766:QAN196769 QKI196766:QKJ196769 QUE196766:QUF196769 REA196766:REB196769 RNW196766:RNX196769 RXS196766:RXT196769 SHO196766:SHP196769 SRK196766:SRL196769 TBG196766:TBH196769 TLC196766:TLD196769 TUY196766:TUZ196769 UEU196766:UEV196769 UOQ196766:UOR196769 UYM196766:UYN196769 VII196766:VIJ196769 VSE196766:VSF196769 WCA196766:WCB196769 WLW196766:WLX196769 WVS196766:WVT196769 K262302:L262305 JG262302:JH262305 TC262302:TD262305 ACY262302:ACZ262305 AMU262302:AMV262305 AWQ262302:AWR262305 BGM262302:BGN262305 BQI262302:BQJ262305 CAE262302:CAF262305 CKA262302:CKB262305 CTW262302:CTX262305 DDS262302:DDT262305 DNO262302:DNP262305 DXK262302:DXL262305 EHG262302:EHH262305 ERC262302:ERD262305 FAY262302:FAZ262305 FKU262302:FKV262305 FUQ262302:FUR262305 GEM262302:GEN262305 GOI262302:GOJ262305 GYE262302:GYF262305 HIA262302:HIB262305 HRW262302:HRX262305 IBS262302:IBT262305 ILO262302:ILP262305 IVK262302:IVL262305 JFG262302:JFH262305 JPC262302:JPD262305 JYY262302:JYZ262305 KIU262302:KIV262305 KSQ262302:KSR262305 LCM262302:LCN262305 LMI262302:LMJ262305 LWE262302:LWF262305 MGA262302:MGB262305 MPW262302:MPX262305 MZS262302:MZT262305 NJO262302:NJP262305 NTK262302:NTL262305 ODG262302:ODH262305 ONC262302:OND262305 OWY262302:OWZ262305 PGU262302:PGV262305 PQQ262302:PQR262305 QAM262302:QAN262305 QKI262302:QKJ262305 QUE262302:QUF262305 REA262302:REB262305 RNW262302:RNX262305 RXS262302:RXT262305 SHO262302:SHP262305 SRK262302:SRL262305 TBG262302:TBH262305 TLC262302:TLD262305 TUY262302:TUZ262305 UEU262302:UEV262305 UOQ262302:UOR262305 UYM262302:UYN262305 VII262302:VIJ262305 VSE262302:VSF262305 WCA262302:WCB262305 WLW262302:WLX262305 WVS262302:WVT262305 K327838:L327841 JG327838:JH327841 TC327838:TD327841 ACY327838:ACZ327841 AMU327838:AMV327841 AWQ327838:AWR327841 BGM327838:BGN327841 BQI327838:BQJ327841 CAE327838:CAF327841 CKA327838:CKB327841 CTW327838:CTX327841 DDS327838:DDT327841 DNO327838:DNP327841 DXK327838:DXL327841 EHG327838:EHH327841 ERC327838:ERD327841 FAY327838:FAZ327841 FKU327838:FKV327841 FUQ327838:FUR327841 GEM327838:GEN327841 GOI327838:GOJ327841 GYE327838:GYF327841 HIA327838:HIB327841 HRW327838:HRX327841 IBS327838:IBT327841 ILO327838:ILP327841 IVK327838:IVL327841 JFG327838:JFH327841 JPC327838:JPD327841 JYY327838:JYZ327841 KIU327838:KIV327841 KSQ327838:KSR327841 LCM327838:LCN327841 LMI327838:LMJ327841 LWE327838:LWF327841 MGA327838:MGB327841 MPW327838:MPX327841 MZS327838:MZT327841 NJO327838:NJP327841 NTK327838:NTL327841 ODG327838:ODH327841 ONC327838:OND327841 OWY327838:OWZ327841 PGU327838:PGV327841 PQQ327838:PQR327841 QAM327838:QAN327841 QKI327838:QKJ327841 QUE327838:QUF327841 REA327838:REB327841 RNW327838:RNX327841 RXS327838:RXT327841 SHO327838:SHP327841 SRK327838:SRL327841 TBG327838:TBH327841 TLC327838:TLD327841 TUY327838:TUZ327841 UEU327838:UEV327841 UOQ327838:UOR327841 UYM327838:UYN327841 VII327838:VIJ327841 VSE327838:VSF327841 WCA327838:WCB327841 WLW327838:WLX327841 WVS327838:WVT327841 K393374:L393377 JG393374:JH393377 TC393374:TD393377 ACY393374:ACZ393377 AMU393374:AMV393377 AWQ393374:AWR393377 BGM393374:BGN393377 BQI393374:BQJ393377 CAE393374:CAF393377 CKA393374:CKB393377 CTW393374:CTX393377 DDS393374:DDT393377 DNO393374:DNP393377 DXK393374:DXL393377 EHG393374:EHH393377 ERC393374:ERD393377 FAY393374:FAZ393377 FKU393374:FKV393377 FUQ393374:FUR393377 GEM393374:GEN393377 GOI393374:GOJ393377 GYE393374:GYF393377 HIA393374:HIB393377 HRW393374:HRX393377 IBS393374:IBT393377 ILO393374:ILP393377 IVK393374:IVL393377 JFG393374:JFH393377 JPC393374:JPD393377 JYY393374:JYZ393377 KIU393374:KIV393377 KSQ393374:KSR393377 LCM393374:LCN393377 LMI393374:LMJ393377 LWE393374:LWF393377 MGA393374:MGB393377 MPW393374:MPX393377 MZS393374:MZT393377 NJO393374:NJP393377 NTK393374:NTL393377 ODG393374:ODH393377 ONC393374:OND393377 OWY393374:OWZ393377 PGU393374:PGV393377 PQQ393374:PQR393377 QAM393374:QAN393377 QKI393374:QKJ393377 QUE393374:QUF393377 REA393374:REB393377 RNW393374:RNX393377 RXS393374:RXT393377 SHO393374:SHP393377 SRK393374:SRL393377 TBG393374:TBH393377 TLC393374:TLD393377 TUY393374:TUZ393377 UEU393374:UEV393377 UOQ393374:UOR393377 UYM393374:UYN393377 VII393374:VIJ393377 VSE393374:VSF393377 WCA393374:WCB393377 WLW393374:WLX393377 WVS393374:WVT393377 K458910:L458913 JG458910:JH458913 TC458910:TD458913 ACY458910:ACZ458913 AMU458910:AMV458913 AWQ458910:AWR458913 BGM458910:BGN458913 BQI458910:BQJ458913 CAE458910:CAF458913 CKA458910:CKB458913 CTW458910:CTX458913 DDS458910:DDT458913 DNO458910:DNP458913 DXK458910:DXL458913 EHG458910:EHH458913 ERC458910:ERD458913 FAY458910:FAZ458913 FKU458910:FKV458913 FUQ458910:FUR458913 GEM458910:GEN458913 GOI458910:GOJ458913 GYE458910:GYF458913 HIA458910:HIB458913 HRW458910:HRX458913 IBS458910:IBT458913 ILO458910:ILP458913 IVK458910:IVL458913 JFG458910:JFH458913 JPC458910:JPD458913 JYY458910:JYZ458913 KIU458910:KIV458913 KSQ458910:KSR458913 LCM458910:LCN458913 LMI458910:LMJ458913 LWE458910:LWF458913 MGA458910:MGB458913 MPW458910:MPX458913 MZS458910:MZT458913 NJO458910:NJP458913 NTK458910:NTL458913 ODG458910:ODH458913 ONC458910:OND458913 OWY458910:OWZ458913 PGU458910:PGV458913 PQQ458910:PQR458913 QAM458910:QAN458913 QKI458910:QKJ458913 QUE458910:QUF458913 REA458910:REB458913 RNW458910:RNX458913 RXS458910:RXT458913 SHO458910:SHP458913 SRK458910:SRL458913 TBG458910:TBH458913 TLC458910:TLD458913 TUY458910:TUZ458913 UEU458910:UEV458913 UOQ458910:UOR458913 UYM458910:UYN458913 VII458910:VIJ458913 VSE458910:VSF458913 WCA458910:WCB458913 WLW458910:WLX458913 WVS458910:WVT458913 K524446:L524449 JG524446:JH524449 TC524446:TD524449 ACY524446:ACZ524449 AMU524446:AMV524449 AWQ524446:AWR524449 BGM524446:BGN524449 BQI524446:BQJ524449 CAE524446:CAF524449 CKA524446:CKB524449 CTW524446:CTX524449 DDS524446:DDT524449 DNO524446:DNP524449 DXK524446:DXL524449 EHG524446:EHH524449 ERC524446:ERD524449 FAY524446:FAZ524449 FKU524446:FKV524449 FUQ524446:FUR524449 GEM524446:GEN524449 GOI524446:GOJ524449 GYE524446:GYF524449 HIA524446:HIB524449 HRW524446:HRX524449 IBS524446:IBT524449 ILO524446:ILP524449 IVK524446:IVL524449 JFG524446:JFH524449 JPC524446:JPD524449 JYY524446:JYZ524449 KIU524446:KIV524449 KSQ524446:KSR524449 LCM524446:LCN524449 LMI524446:LMJ524449 LWE524446:LWF524449 MGA524446:MGB524449 MPW524446:MPX524449 MZS524446:MZT524449 NJO524446:NJP524449 NTK524446:NTL524449 ODG524446:ODH524449 ONC524446:OND524449 OWY524446:OWZ524449 PGU524446:PGV524449 PQQ524446:PQR524449 QAM524446:QAN524449 QKI524446:QKJ524449 QUE524446:QUF524449 REA524446:REB524449 RNW524446:RNX524449 RXS524446:RXT524449 SHO524446:SHP524449 SRK524446:SRL524449 TBG524446:TBH524449 TLC524446:TLD524449 TUY524446:TUZ524449 UEU524446:UEV524449 UOQ524446:UOR524449 UYM524446:UYN524449 VII524446:VIJ524449 VSE524446:VSF524449 WCA524446:WCB524449 WLW524446:WLX524449 WVS524446:WVT524449 K589982:L589985 JG589982:JH589985 TC589982:TD589985 ACY589982:ACZ589985 AMU589982:AMV589985 AWQ589982:AWR589985 BGM589982:BGN589985 BQI589982:BQJ589985 CAE589982:CAF589985 CKA589982:CKB589985 CTW589982:CTX589985 DDS589982:DDT589985 DNO589982:DNP589985 DXK589982:DXL589985 EHG589982:EHH589985 ERC589982:ERD589985 FAY589982:FAZ589985 FKU589982:FKV589985 FUQ589982:FUR589985 GEM589982:GEN589985 GOI589982:GOJ589985 GYE589982:GYF589985 HIA589982:HIB589985 HRW589982:HRX589985 IBS589982:IBT589985 ILO589982:ILP589985 IVK589982:IVL589985 JFG589982:JFH589985 JPC589982:JPD589985 JYY589982:JYZ589985 KIU589982:KIV589985 KSQ589982:KSR589985 LCM589982:LCN589985 LMI589982:LMJ589985 LWE589982:LWF589985 MGA589982:MGB589985 MPW589982:MPX589985 MZS589982:MZT589985 NJO589982:NJP589985 NTK589982:NTL589985 ODG589982:ODH589985 ONC589982:OND589985 OWY589982:OWZ589985 PGU589982:PGV589985 PQQ589982:PQR589985 QAM589982:QAN589985 QKI589982:QKJ589985 QUE589982:QUF589985 REA589982:REB589985 RNW589982:RNX589985 RXS589982:RXT589985 SHO589982:SHP589985 SRK589982:SRL589985 TBG589982:TBH589985 TLC589982:TLD589985 TUY589982:TUZ589985 UEU589982:UEV589985 UOQ589982:UOR589985 UYM589982:UYN589985 VII589982:VIJ589985 VSE589982:VSF589985 WCA589982:WCB589985 WLW589982:WLX589985 WVS589982:WVT589985 K655518:L655521 JG655518:JH655521 TC655518:TD655521 ACY655518:ACZ655521 AMU655518:AMV655521 AWQ655518:AWR655521 BGM655518:BGN655521 BQI655518:BQJ655521 CAE655518:CAF655521 CKA655518:CKB655521 CTW655518:CTX655521 DDS655518:DDT655521 DNO655518:DNP655521 DXK655518:DXL655521 EHG655518:EHH655521 ERC655518:ERD655521 FAY655518:FAZ655521 FKU655518:FKV655521 FUQ655518:FUR655521 GEM655518:GEN655521 GOI655518:GOJ655521 GYE655518:GYF655521 HIA655518:HIB655521 HRW655518:HRX655521 IBS655518:IBT655521 ILO655518:ILP655521 IVK655518:IVL655521 JFG655518:JFH655521 JPC655518:JPD655521 JYY655518:JYZ655521 KIU655518:KIV655521 KSQ655518:KSR655521 LCM655518:LCN655521 LMI655518:LMJ655521 LWE655518:LWF655521 MGA655518:MGB655521 MPW655518:MPX655521 MZS655518:MZT655521 NJO655518:NJP655521 NTK655518:NTL655521 ODG655518:ODH655521 ONC655518:OND655521 OWY655518:OWZ655521 PGU655518:PGV655521 PQQ655518:PQR655521 QAM655518:QAN655521 QKI655518:QKJ655521 QUE655518:QUF655521 REA655518:REB655521 RNW655518:RNX655521 RXS655518:RXT655521 SHO655518:SHP655521 SRK655518:SRL655521 TBG655518:TBH655521 TLC655518:TLD655521 TUY655518:TUZ655521 UEU655518:UEV655521 UOQ655518:UOR655521 UYM655518:UYN655521 VII655518:VIJ655521 VSE655518:VSF655521 WCA655518:WCB655521 WLW655518:WLX655521 WVS655518:WVT655521 K721054:L721057 JG721054:JH721057 TC721054:TD721057 ACY721054:ACZ721057 AMU721054:AMV721057 AWQ721054:AWR721057 BGM721054:BGN721057 BQI721054:BQJ721057 CAE721054:CAF721057 CKA721054:CKB721057 CTW721054:CTX721057 DDS721054:DDT721057 DNO721054:DNP721057 DXK721054:DXL721057 EHG721054:EHH721057 ERC721054:ERD721057 FAY721054:FAZ721057 FKU721054:FKV721057 FUQ721054:FUR721057 GEM721054:GEN721057 GOI721054:GOJ721057 GYE721054:GYF721057 HIA721054:HIB721057 HRW721054:HRX721057 IBS721054:IBT721057 ILO721054:ILP721057 IVK721054:IVL721057 JFG721054:JFH721057 JPC721054:JPD721057 JYY721054:JYZ721057 KIU721054:KIV721057 KSQ721054:KSR721057 LCM721054:LCN721057 LMI721054:LMJ721057 LWE721054:LWF721057 MGA721054:MGB721057 MPW721054:MPX721057 MZS721054:MZT721057 NJO721054:NJP721057 NTK721054:NTL721057 ODG721054:ODH721057 ONC721054:OND721057 OWY721054:OWZ721057 PGU721054:PGV721057 PQQ721054:PQR721057 QAM721054:QAN721057 QKI721054:QKJ721057 QUE721054:QUF721057 REA721054:REB721057 RNW721054:RNX721057 RXS721054:RXT721057 SHO721054:SHP721057 SRK721054:SRL721057 TBG721054:TBH721057 TLC721054:TLD721057 TUY721054:TUZ721057 UEU721054:UEV721057 UOQ721054:UOR721057 UYM721054:UYN721057 VII721054:VIJ721057 VSE721054:VSF721057 WCA721054:WCB721057 WLW721054:WLX721057 WVS721054:WVT721057 K786590:L786593 JG786590:JH786593 TC786590:TD786593 ACY786590:ACZ786593 AMU786590:AMV786593 AWQ786590:AWR786593 BGM786590:BGN786593 BQI786590:BQJ786593 CAE786590:CAF786593 CKA786590:CKB786593 CTW786590:CTX786593 DDS786590:DDT786593 DNO786590:DNP786593 DXK786590:DXL786593 EHG786590:EHH786593 ERC786590:ERD786593 FAY786590:FAZ786593 FKU786590:FKV786593 FUQ786590:FUR786593 GEM786590:GEN786593 GOI786590:GOJ786593 GYE786590:GYF786593 HIA786590:HIB786593 HRW786590:HRX786593 IBS786590:IBT786593 ILO786590:ILP786593 IVK786590:IVL786593 JFG786590:JFH786593 JPC786590:JPD786593 JYY786590:JYZ786593 KIU786590:KIV786593 KSQ786590:KSR786593 LCM786590:LCN786593 LMI786590:LMJ786593 LWE786590:LWF786593 MGA786590:MGB786593 MPW786590:MPX786593 MZS786590:MZT786593 NJO786590:NJP786593 NTK786590:NTL786593 ODG786590:ODH786593 ONC786590:OND786593 OWY786590:OWZ786593 PGU786590:PGV786593 PQQ786590:PQR786593 QAM786590:QAN786593 QKI786590:QKJ786593 QUE786590:QUF786593 REA786590:REB786593 RNW786590:RNX786593 RXS786590:RXT786593 SHO786590:SHP786593 SRK786590:SRL786593 TBG786590:TBH786593 TLC786590:TLD786593 TUY786590:TUZ786593 UEU786590:UEV786593 UOQ786590:UOR786593 UYM786590:UYN786593 VII786590:VIJ786593 VSE786590:VSF786593 WCA786590:WCB786593 WLW786590:WLX786593 WVS786590:WVT786593 K852126:L852129 JG852126:JH852129 TC852126:TD852129 ACY852126:ACZ852129 AMU852126:AMV852129 AWQ852126:AWR852129 BGM852126:BGN852129 BQI852126:BQJ852129 CAE852126:CAF852129 CKA852126:CKB852129 CTW852126:CTX852129 DDS852126:DDT852129 DNO852126:DNP852129 DXK852126:DXL852129 EHG852126:EHH852129 ERC852126:ERD852129 FAY852126:FAZ852129 FKU852126:FKV852129 FUQ852126:FUR852129 GEM852126:GEN852129 GOI852126:GOJ852129 GYE852126:GYF852129 HIA852126:HIB852129 HRW852126:HRX852129 IBS852126:IBT852129 ILO852126:ILP852129 IVK852126:IVL852129 JFG852126:JFH852129 JPC852126:JPD852129 JYY852126:JYZ852129 KIU852126:KIV852129 KSQ852126:KSR852129 LCM852126:LCN852129 LMI852126:LMJ852129 LWE852126:LWF852129 MGA852126:MGB852129 MPW852126:MPX852129 MZS852126:MZT852129 NJO852126:NJP852129 NTK852126:NTL852129 ODG852126:ODH852129 ONC852126:OND852129 OWY852126:OWZ852129 PGU852126:PGV852129 PQQ852126:PQR852129 QAM852126:QAN852129 QKI852126:QKJ852129 QUE852126:QUF852129 REA852126:REB852129 RNW852126:RNX852129 RXS852126:RXT852129 SHO852126:SHP852129 SRK852126:SRL852129 TBG852126:TBH852129 TLC852126:TLD852129 TUY852126:TUZ852129 UEU852126:UEV852129 UOQ852126:UOR852129 UYM852126:UYN852129 VII852126:VIJ852129 VSE852126:VSF852129 WCA852126:WCB852129 WLW852126:WLX852129 WVS852126:WVT852129 K917662:L917665 JG917662:JH917665 TC917662:TD917665 ACY917662:ACZ917665 AMU917662:AMV917665 AWQ917662:AWR917665 BGM917662:BGN917665 BQI917662:BQJ917665 CAE917662:CAF917665 CKA917662:CKB917665 CTW917662:CTX917665 DDS917662:DDT917665 DNO917662:DNP917665 DXK917662:DXL917665 EHG917662:EHH917665 ERC917662:ERD917665 FAY917662:FAZ917665 FKU917662:FKV917665 FUQ917662:FUR917665 GEM917662:GEN917665 GOI917662:GOJ917665 GYE917662:GYF917665 HIA917662:HIB917665 HRW917662:HRX917665 IBS917662:IBT917665 ILO917662:ILP917665 IVK917662:IVL917665 JFG917662:JFH917665 JPC917662:JPD917665 JYY917662:JYZ917665 KIU917662:KIV917665 KSQ917662:KSR917665 LCM917662:LCN917665 LMI917662:LMJ917665 LWE917662:LWF917665 MGA917662:MGB917665 MPW917662:MPX917665 MZS917662:MZT917665 NJO917662:NJP917665 NTK917662:NTL917665 ODG917662:ODH917665 ONC917662:OND917665 OWY917662:OWZ917665 PGU917662:PGV917665 PQQ917662:PQR917665 QAM917662:QAN917665 QKI917662:QKJ917665 QUE917662:QUF917665 REA917662:REB917665 RNW917662:RNX917665 RXS917662:RXT917665 SHO917662:SHP917665 SRK917662:SRL917665 TBG917662:TBH917665 TLC917662:TLD917665 TUY917662:TUZ917665 UEU917662:UEV917665 UOQ917662:UOR917665 UYM917662:UYN917665 VII917662:VIJ917665 VSE917662:VSF917665 WCA917662:WCB917665 WLW917662:WLX917665 WVS917662:WVT917665 K983198:L983201 JG983198:JH983201 TC983198:TD983201 ACY983198:ACZ983201 AMU983198:AMV983201 AWQ983198:AWR983201 BGM983198:BGN983201 BQI983198:BQJ983201 CAE983198:CAF983201 CKA983198:CKB983201 CTW983198:CTX983201 DDS983198:DDT983201 DNO983198:DNP983201 DXK983198:DXL983201 EHG983198:EHH983201 ERC983198:ERD983201 FAY983198:FAZ983201 FKU983198:FKV983201 FUQ983198:FUR983201 GEM983198:GEN983201 GOI983198:GOJ983201 GYE983198:GYF983201 HIA983198:HIB983201 HRW983198:HRX983201 IBS983198:IBT983201 ILO983198:ILP983201 IVK983198:IVL983201 JFG983198:JFH983201 JPC983198:JPD983201 JYY983198:JYZ983201 KIU983198:KIV983201 KSQ983198:KSR983201 LCM983198:LCN983201 LMI983198:LMJ983201 LWE983198:LWF983201 MGA983198:MGB983201 MPW983198:MPX983201 MZS983198:MZT983201 NJO983198:NJP983201 NTK983198:NTL983201 ODG983198:ODH983201 ONC983198:OND983201 OWY983198:OWZ983201 PGU983198:PGV983201 PQQ983198:PQR983201 QAM983198:QAN983201 QKI983198:QKJ983201 QUE983198:QUF983201 REA983198:REB983201 RNW983198:RNX983201 RXS983198:RXT983201 SHO983198:SHP983201 SRK983198:SRL983201 TBG983198:TBH983201 TLC983198:TLD983201 TUY983198:TUZ983201 UEU983198:UEV983201 UOQ983198:UOR983201 UYM983198:UYN983201 VII983198:VIJ983201 VSE983198:VSF983201 WCA983198:WCB983201 WLW983198:WLX983201 WVS983198:WVT983201 V158:AE192 JR158:KA192 TN158:TW192 ADJ158:ADS192 ANF158:ANO192 AXB158:AXK192 BGX158:BHG192 BQT158:BRC192 CAP158:CAY192 CKL158:CKU192 CUH158:CUQ192 DED158:DEM192 DNZ158:DOI192 DXV158:DYE192 EHR158:EIA192 ERN158:ERW192 FBJ158:FBS192 FLF158:FLO192 FVB158:FVK192 GEX158:GFG192 GOT158:GPC192 GYP158:GYY192 HIL158:HIU192 HSH158:HSQ192 ICD158:ICM192 ILZ158:IMI192 IVV158:IWE192 JFR158:JGA192 JPN158:JPW192 JZJ158:JZS192 KJF158:KJO192 KTB158:KTK192 LCX158:LDG192 LMT158:LNC192 LWP158:LWY192 MGL158:MGU192 MQH158:MQQ192 NAD158:NAM192 NJZ158:NKI192 NTV158:NUE192 ODR158:OEA192 ONN158:ONW192 OXJ158:OXS192 PHF158:PHO192 PRB158:PRK192 QAX158:QBG192 QKT158:QLC192 QUP158:QUY192 REL158:REU192 ROH158:ROQ192 RYD158:RYM192 SHZ158:SII192 SRV158:SSE192 TBR158:TCA192 TLN158:TLW192 TVJ158:TVS192 UFF158:UFO192 UPB158:UPK192 UYX158:UZG192 VIT158:VJC192 VSP158:VSY192 WCL158:WCU192 WMH158:WMQ192 WWD158:WWM192 V65694:AE65728 JR65694:KA65728 TN65694:TW65728 ADJ65694:ADS65728 ANF65694:ANO65728 AXB65694:AXK65728 BGX65694:BHG65728 BQT65694:BRC65728 CAP65694:CAY65728 CKL65694:CKU65728 CUH65694:CUQ65728 DED65694:DEM65728 DNZ65694:DOI65728 DXV65694:DYE65728 EHR65694:EIA65728 ERN65694:ERW65728 FBJ65694:FBS65728 FLF65694:FLO65728 FVB65694:FVK65728 GEX65694:GFG65728 GOT65694:GPC65728 GYP65694:GYY65728 HIL65694:HIU65728 HSH65694:HSQ65728 ICD65694:ICM65728 ILZ65694:IMI65728 IVV65694:IWE65728 JFR65694:JGA65728 JPN65694:JPW65728 JZJ65694:JZS65728 KJF65694:KJO65728 KTB65694:KTK65728 LCX65694:LDG65728 LMT65694:LNC65728 LWP65694:LWY65728 MGL65694:MGU65728 MQH65694:MQQ65728 NAD65694:NAM65728 NJZ65694:NKI65728 NTV65694:NUE65728 ODR65694:OEA65728 ONN65694:ONW65728 OXJ65694:OXS65728 PHF65694:PHO65728 PRB65694:PRK65728 QAX65694:QBG65728 QKT65694:QLC65728 QUP65694:QUY65728 REL65694:REU65728 ROH65694:ROQ65728 RYD65694:RYM65728 SHZ65694:SII65728 SRV65694:SSE65728 TBR65694:TCA65728 TLN65694:TLW65728 TVJ65694:TVS65728 UFF65694:UFO65728 UPB65694:UPK65728 UYX65694:UZG65728 VIT65694:VJC65728 VSP65694:VSY65728 WCL65694:WCU65728 WMH65694:WMQ65728 WWD65694:WWM65728 V131230:AE131264 JR131230:KA131264 TN131230:TW131264 ADJ131230:ADS131264 ANF131230:ANO131264 AXB131230:AXK131264 BGX131230:BHG131264 BQT131230:BRC131264 CAP131230:CAY131264 CKL131230:CKU131264 CUH131230:CUQ131264 DED131230:DEM131264 DNZ131230:DOI131264 DXV131230:DYE131264 EHR131230:EIA131264 ERN131230:ERW131264 FBJ131230:FBS131264 FLF131230:FLO131264 FVB131230:FVK131264 GEX131230:GFG131264 GOT131230:GPC131264 GYP131230:GYY131264 HIL131230:HIU131264 HSH131230:HSQ131264 ICD131230:ICM131264 ILZ131230:IMI131264 IVV131230:IWE131264 JFR131230:JGA131264 JPN131230:JPW131264 JZJ131230:JZS131264 KJF131230:KJO131264 KTB131230:KTK131264 LCX131230:LDG131264 LMT131230:LNC131264 LWP131230:LWY131264 MGL131230:MGU131264 MQH131230:MQQ131264 NAD131230:NAM131264 NJZ131230:NKI131264 NTV131230:NUE131264 ODR131230:OEA131264 ONN131230:ONW131264 OXJ131230:OXS131264 PHF131230:PHO131264 PRB131230:PRK131264 QAX131230:QBG131264 QKT131230:QLC131264 QUP131230:QUY131264 REL131230:REU131264 ROH131230:ROQ131264 RYD131230:RYM131264 SHZ131230:SII131264 SRV131230:SSE131264 TBR131230:TCA131264 TLN131230:TLW131264 TVJ131230:TVS131264 UFF131230:UFO131264 UPB131230:UPK131264 UYX131230:UZG131264 VIT131230:VJC131264 VSP131230:VSY131264 WCL131230:WCU131264 WMH131230:WMQ131264 WWD131230:WWM131264 V196766:AE196800 JR196766:KA196800 TN196766:TW196800 ADJ196766:ADS196800 ANF196766:ANO196800 AXB196766:AXK196800 BGX196766:BHG196800 BQT196766:BRC196800 CAP196766:CAY196800 CKL196766:CKU196800 CUH196766:CUQ196800 DED196766:DEM196800 DNZ196766:DOI196800 DXV196766:DYE196800 EHR196766:EIA196800 ERN196766:ERW196800 FBJ196766:FBS196800 FLF196766:FLO196800 FVB196766:FVK196800 GEX196766:GFG196800 GOT196766:GPC196800 GYP196766:GYY196800 HIL196766:HIU196800 HSH196766:HSQ196800 ICD196766:ICM196800 ILZ196766:IMI196800 IVV196766:IWE196800 JFR196766:JGA196800 JPN196766:JPW196800 JZJ196766:JZS196800 KJF196766:KJO196800 KTB196766:KTK196800 LCX196766:LDG196800 LMT196766:LNC196800 LWP196766:LWY196800 MGL196766:MGU196800 MQH196766:MQQ196800 NAD196766:NAM196800 NJZ196766:NKI196800 NTV196766:NUE196800 ODR196766:OEA196800 ONN196766:ONW196800 OXJ196766:OXS196800 PHF196766:PHO196800 PRB196766:PRK196800 QAX196766:QBG196800 QKT196766:QLC196800 QUP196766:QUY196800 REL196766:REU196800 ROH196766:ROQ196800 RYD196766:RYM196800 SHZ196766:SII196800 SRV196766:SSE196800 TBR196766:TCA196800 TLN196766:TLW196800 TVJ196766:TVS196800 UFF196766:UFO196800 UPB196766:UPK196800 UYX196766:UZG196800 VIT196766:VJC196800 VSP196766:VSY196800 WCL196766:WCU196800 WMH196766:WMQ196800 WWD196766:WWM196800 V262302:AE262336 JR262302:KA262336 TN262302:TW262336 ADJ262302:ADS262336 ANF262302:ANO262336 AXB262302:AXK262336 BGX262302:BHG262336 BQT262302:BRC262336 CAP262302:CAY262336 CKL262302:CKU262336 CUH262302:CUQ262336 DED262302:DEM262336 DNZ262302:DOI262336 DXV262302:DYE262336 EHR262302:EIA262336 ERN262302:ERW262336 FBJ262302:FBS262336 FLF262302:FLO262336 FVB262302:FVK262336 GEX262302:GFG262336 GOT262302:GPC262336 GYP262302:GYY262336 HIL262302:HIU262336 HSH262302:HSQ262336 ICD262302:ICM262336 ILZ262302:IMI262336 IVV262302:IWE262336 JFR262302:JGA262336 JPN262302:JPW262336 JZJ262302:JZS262336 KJF262302:KJO262336 KTB262302:KTK262336 LCX262302:LDG262336 LMT262302:LNC262336 LWP262302:LWY262336 MGL262302:MGU262336 MQH262302:MQQ262336 NAD262302:NAM262336 NJZ262302:NKI262336 NTV262302:NUE262336 ODR262302:OEA262336 ONN262302:ONW262336 OXJ262302:OXS262336 PHF262302:PHO262336 PRB262302:PRK262336 QAX262302:QBG262336 QKT262302:QLC262336 QUP262302:QUY262336 REL262302:REU262336 ROH262302:ROQ262336 RYD262302:RYM262336 SHZ262302:SII262336 SRV262302:SSE262336 TBR262302:TCA262336 TLN262302:TLW262336 TVJ262302:TVS262336 UFF262302:UFO262336 UPB262302:UPK262336 UYX262302:UZG262336 VIT262302:VJC262336 VSP262302:VSY262336 WCL262302:WCU262336 WMH262302:WMQ262336 WWD262302:WWM262336 V327838:AE327872 JR327838:KA327872 TN327838:TW327872 ADJ327838:ADS327872 ANF327838:ANO327872 AXB327838:AXK327872 BGX327838:BHG327872 BQT327838:BRC327872 CAP327838:CAY327872 CKL327838:CKU327872 CUH327838:CUQ327872 DED327838:DEM327872 DNZ327838:DOI327872 DXV327838:DYE327872 EHR327838:EIA327872 ERN327838:ERW327872 FBJ327838:FBS327872 FLF327838:FLO327872 FVB327838:FVK327872 GEX327838:GFG327872 GOT327838:GPC327872 GYP327838:GYY327872 HIL327838:HIU327872 HSH327838:HSQ327872 ICD327838:ICM327872 ILZ327838:IMI327872 IVV327838:IWE327872 JFR327838:JGA327872 JPN327838:JPW327872 JZJ327838:JZS327872 KJF327838:KJO327872 KTB327838:KTK327872 LCX327838:LDG327872 LMT327838:LNC327872 LWP327838:LWY327872 MGL327838:MGU327872 MQH327838:MQQ327872 NAD327838:NAM327872 NJZ327838:NKI327872 NTV327838:NUE327872 ODR327838:OEA327872 ONN327838:ONW327872 OXJ327838:OXS327872 PHF327838:PHO327872 PRB327838:PRK327872 QAX327838:QBG327872 QKT327838:QLC327872 QUP327838:QUY327872 REL327838:REU327872 ROH327838:ROQ327872 RYD327838:RYM327872 SHZ327838:SII327872 SRV327838:SSE327872 TBR327838:TCA327872 TLN327838:TLW327872 TVJ327838:TVS327872 UFF327838:UFO327872 UPB327838:UPK327872 UYX327838:UZG327872 VIT327838:VJC327872 VSP327838:VSY327872 WCL327838:WCU327872 WMH327838:WMQ327872 WWD327838:WWM327872 V393374:AE393408 JR393374:KA393408 TN393374:TW393408 ADJ393374:ADS393408 ANF393374:ANO393408 AXB393374:AXK393408 BGX393374:BHG393408 BQT393374:BRC393408 CAP393374:CAY393408 CKL393374:CKU393408 CUH393374:CUQ393408 DED393374:DEM393408 DNZ393374:DOI393408 DXV393374:DYE393408 EHR393374:EIA393408 ERN393374:ERW393408 FBJ393374:FBS393408 FLF393374:FLO393408 FVB393374:FVK393408 GEX393374:GFG393408 GOT393374:GPC393408 GYP393374:GYY393408 HIL393374:HIU393408 HSH393374:HSQ393408 ICD393374:ICM393408 ILZ393374:IMI393408 IVV393374:IWE393408 JFR393374:JGA393408 JPN393374:JPW393408 JZJ393374:JZS393408 KJF393374:KJO393408 KTB393374:KTK393408 LCX393374:LDG393408 LMT393374:LNC393408 LWP393374:LWY393408 MGL393374:MGU393408 MQH393374:MQQ393408 NAD393374:NAM393408 NJZ393374:NKI393408 NTV393374:NUE393408 ODR393374:OEA393408 ONN393374:ONW393408 OXJ393374:OXS393408 PHF393374:PHO393408 PRB393374:PRK393408 QAX393374:QBG393408 QKT393374:QLC393408 QUP393374:QUY393408 REL393374:REU393408 ROH393374:ROQ393408 RYD393374:RYM393408 SHZ393374:SII393408 SRV393374:SSE393408 TBR393374:TCA393408 TLN393374:TLW393408 TVJ393374:TVS393408 UFF393374:UFO393408 UPB393374:UPK393408 UYX393374:UZG393408 VIT393374:VJC393408 VSP393374:VSY393408 WCL393374:WCU393408 WMH393374:WMQ393408 WWD393374:WWM393408 V458910:AE458944 JR458910:KA458944 TN458910:TW458944 ADJ458910:ADS458944 ANF458910:ANO458944 AXB458910:AXK458944 BGX458910:BHG458944 BQT458910:BRC458944 CAP458910:CAY458944 CKL458910:CKU458944 CUH458910:CUQ458944 DED458910:DEM458944 DNZ458910:DOI458944 DXV458910:DYE458944 EHR458910:EIA458944 ERN458910:ERW458944 FBJ458910:FBS458944 FLF458910:FLO458944 FVB458910:FVK458944 GEX458910:GFG458944 GOT458910:GPC458944 GYP458910:GYY458944 HIL458910:HIU458944 HSH458910:HSQ458944 ICD458910:ICM458944 ILZ458910:IMI458944 IVV458910:IWE458944 JFR458910:JGA458944 JPN458910:JPW458944 JZJ458910:JZS458944 KJF458910:KJO458944 KTB458910:KTK458944 LCX458910:LDG458944 LMT458910:LNC458944 LWP458910:LWY458944 MGL458910:MGU458944 MQH458910:MQQ458944 NAD458910:NAM458944 NJZ458910:NKI458944 NTV458910:NUE458944 ODR458910:OEA458944 ONN458910:ONW458944 OXJ458910:OXS458944 PHF458910:PHO458944 PRB458910:PRK458944 QAX458910:QBG458944 QKT458910:QLC458944 QUP458910:QUY458944 REL458910:REU458944 ROH458910:ROQ458944 RYD458910:RYM458944 SHZ458910:SII458944 SRV458910:SSE458944 TBR458910:TCA458944 TLN458910:TLW458944 TVJ458910:TVS458944 UFF458910:UFO458944 UPB458910:UPK458944 UYX458910:UZG458944 VIT458910:VJC458944 VSP458910:VSY458944 WCL458910:WCU458944 WMH458910:WMQ458944 WWD458910:WWM458944 V524446:AE524480 JR524446:KA524480 TN524446:TW524480 ADJ524446:ADS524480 ANF524446:ANO524480 AXB524446:AXK524480 BGX524446:BHG524480 BQT524446:BRC524480 CAP524446:CAY524480 CKL524446:CKU524480 CUH524446:CUQ524480 DED524446:DEM524480 DNZ524446:DOI524480 DXV524446:DYE524480 EHR524446:EIA524480 ERN524446:ERW524480 FBJ524446:FBS524480 FLF524446:FLO524480 FVB524446:FVK524480 GEX524446:GFG524480 GOT524446:GPC524480 GYP524446:GYY524480 HIL524446:HIU524480 HSH524446:HSQ524480 ICD524446:ICM524480 ILZ524446:IMI524480 IVV524446:IWE524480 JFR524446:JGA524480 JPN524446:JPW524480 JZJ524446:JZS524480 KJF524446:KJO524480 KTB524446:KTK524480 LCX524446:LDG524480 LMT524446:LNC524480 LWP524446:LWY524480 MGL524446:MGU524480 MQH524446:MQQ524480 NAD524446:NAM524480 NJZ524446:NKI524480 NTV524446:NUE524480 ODR524446:OEA524480 ONN524446:ONW524480 OXJ524446:OXS524480 PHF524446:PHO524480 PRB524446:PRK524480 QAX524446:QBG524480 QKT524446:QLC524480 QUP524446:QUY524480 REL524446:REU524480 ROH524446:ROQ524480 RYD524446:RYM524480 SHZ524446:SII524480 SRV524446:SSE524480 TBR524446:TCA524480 TLN524446:TLW524480 TVJ524446:TVS524480 UFF524446:UFO524480 UPB524446:UPK524480 UYX524446:UZG524480 VIT524446:VJC524480 VSP524446:VSY524480 WCL524446:WCU524480 WMH524446:WMQ524480 WWD524446:WWM524480 V589982:AE590016 JR589982:KA590016 TN589982:TW590016 ADJ589982:ADS590016 ANF589982:ANO590016 AXB589982:AXK590016 BGX589982:BHG590016 BQT589982:BRC590016 CAP589982:CAY590016 CKL589982:CKU590016 CUH589982:CUQ590016 DED589982:DEM590016 DNZ589982:DOI590016 DXV589982:DYE590016 EHR589982:EIA590016 ERN589982:ERW590016 FBJ589982:FBS590016 FLF589982:FLO590016 FVB589982:FVK590016 GEX589982:GFG590016 GOT589982:GPC590016 GYP589982:GYY590016 HIL589982:HIU590016 HSH589982:HSQ590016 ICD589982:ICM590016 ILZ589982:IMI590016 IVV589982:IWE590016 JFR589982:JGA590016 JPN589982:JPW590016 JZJ589982:JZS590016 KJF589982:KJO590016 KTB589982:KTK590016 LCX589982:LDG590016 LMT589982:LNC590016 LWP589982:LWY590016 MGL589982:MGU590016 MQH589982:MQQ590016 NAD589982:NAM590016 NJZ589982:NKI590016 NTV589982:NUE590016 ODR589982:OEA590016 ONN589982:ONW590016 OXJ589982:OXS590016 PHF589982:PHO590016 PRB589982:PRK590016 QAX589982:QBG590016 QKT589982:QLC590016 QUP589982:QUY590016 REL589982:REU590016 ROH589982:ROQ590016 RYD589982:RYM590016 SHZ589982:SII590016 SRV589982:SSE590016 TBR589982:TCA590016 TLN589982:TLW590016 TVJ589982:TVS590016 UFF589982:UFO590016 UPB589982:UPK590016 UYX589982:UZG590016 VIT589982:VJC590016 VSP589982:VSY590016 WCL589982:WCU590016 WMH589982:WMQ590016 WWD589982:WWM590016 V655518:AE655552 JR655518:KA655552 TN655518:TW655552 ADJ655518:ADS655552 ANF655518:ANO655552 AXB655518:AXK655552 BGX655518:BHG655552 BQT655518:BRC655552 CAP655518:CAY655552 CKL655518:CKU655552 CUH655518:CUQ655552 DED655518:DEM655552 DNZ655518:DOI655552 DXV655518:DYE655552 EHR655518:EIA655552 ERN655518:ERW655552 FBJ655518:FBS655552 FLF655518:FLO655552 FVB655518:FVK655552 GEX655518:GFG655552 GOT655518:GPC655552 GYP655518:GYY655552 HIL655518:HIU655552 HSH655518:HSQ655552 ICD655518:ICM655552 ILZ655518:IMI655552 IVV655518:IWE655552 JFR655518:JGA655552 JPN655518:JPW655552 JZJ655518:JZS655552 KJF655518:KJO655552 KTB655518:KTK655552 LCX655518:LDG655552 LMT655518:LNC655552 LWP655518:LWY655552 MGL655518:MGU655552 MQH655518:MQQ655552 NAD655518:NAM655552 NJZ655518:NKI655552 NTV655518:NUE655552 ODR655518:OEA655552 ONN655518:ONW655552 OXJ655518:OXS655552 PHF655518:PHO655552 PRB655518:PRK655552 QAX655518:QBG655552 QKT655518:QLC655552 QUP655518:QUY655552 REL655518:REU655552 ROH655518:ROQ655552 RYD655518:RYM655552 SHZ655518:SII655552 SRV655518:SSE655552 TBR655518:TCA655552 TLN655518:TLW655552 TVJ655518:TVS655552 UFF655518:UFO655552 UPB655518:UPK655552 UYX655518:UZG655552 VIT655518:VJC655552 VSP655518:VSY655552 WCL655518:WCU655552 WMH655518:WMQ655552 WWD655518:WWM655552 V721054:AE721088 JR721054:KA721088 TN721054:TW721088 ADJ721054:ADS721088 ANF721054:ANO721088 AXB721054:AXK721088 BGX721054:BHG721088 BQT721054:BRC721088 CAP721054:CAY721088 CKL721054:CKU721088 CUH721054:CUQ721088 DED721054:DEM721088 DNZ721054:DOI721088 DXV721054:DYE721088 EHR721054:EIA721088 ERN721054:ERW721088 FBJ721054:FBS721088 FLF721054:FLO721088 FVB721054:FVK721088 GEX721054:GFG721088 GOT721054:GPC721088 GYP721054:GYY721088 HIL721054:HIU721088 HSH721054:HSQ721088 ICD721054:ICM721088 ILZ721054:IMI721088 IVV721054:IWE721088 JFR721054:JGA721088 JPN721054:JPW721088 JZJ721054:JZS721088 KJF721054:KJO721088 KTB721054:KTK721088 LCX721054:LDG721088 LMT721054:LNC721088 LWP721054:LWY721088 MGL721054:MGU721088 MQH721054:MQQ721088 NAD721054:NAM721088 NJZ721054:NKI721088 NTV721054:NUE721088 ODR721054:OEA721088 ONN721054:ONW721088 OXJ721054:OXS721088 PHF721054:PHO721088 PRB721054:PRK721088 QAX721054:QBG721088 QKT721054:QLC721088 QUP721054:QUY721088 REL721054:REU721088 ROH721054:ROQ721088 RYD721054:RYM721088 SHZ721054:SII721088 SRV721054:SSE721088 TBR721054:TCA721088 TLN721054:TLW721088 TVJ721054:TVS721088 UFF721054:UFO721088 UPB721054:UPK721088 UYX721054:UZG721088 VIT721054:VJC721088 VSP721054:VSY721088 WCL721054:WCU721088 WMH721054:WMQ721088 WWD721054:WWM721088 V786590:AE786624 JR786590:KA786624 TN786590:TW786624 ADJ786590:ADS786624 ANF786590:ANO786624 AXB786590:AXK786624 BGX786590:BHG786624 BQT786590:BRC786624 CAP786590:CAY786624 CKL786590:CKU786624 CUH786590:CUQ786624 DED786590:DEM786624 DNZ786590:DOI786624 DXV786590:DYE786624 EHR786590:EIA786624 ERN786590:ERW786624 FBJ786590:FBS786624 FLF786590:FLO786624 FVB786590:FVK786624 GEX786590:GFG786624 GOT786590:GPC786624 GYP786590:GYY786624 HIL786590:HIU786624 HSH786590:HSQ786624 ICD786590:ICM786624 ILZ786590:IMI786624 IVV786590:IWE786624 JFR786590:JGA786624 JPN786590:JPW786624 JZJ786590:JZS786624 KJF786590:KJO786624 KTB786590:KTK786624 LCX786590:LDG786624 LMT786590:LNC786624 LWP786590:LWY786624 MGL786590:MGU786624 MQH786590:MQQ786624 NAD786590:NAM786624 NJZ786590:NKI786624 NTV786590:NUE786624 ODR786590:OEA786624 ONN786590:ONW786624 OXJ786590:OXS786624 PHF786590:PHO786624 PRB786590:PRK786624 QAX786590:QBG786624 QKT786590:QLC786624 QUP786590:QUY786624 REL786590:REU786624 ROH786590:ROQ786624 RYD786590:RYM786624 SHZ786590:SII786624 SRV786590:SSE786624 TBR786590:TCA786624 TLN786590:TLW786624 TVJ786590:TVS786624 UFF786590:UFO786624 UPB786590:UPK786624 UYX786590:UZG786624 VIT786590:VJC786624 VSP786590:VSY786624 WCL786590:WCU786624 WMH786590:WMQ786624 WWD786590:WWM786624 V852126:AE852160 JR852126:KA852160 TN852126:TW852160 ADJ852126:ADS852160 ANF852126:ANO852160 AXB852126:AXK852160 BGX852126:BHG852160 BQT852126:BRC852160 CAP852126:CAY852160 CKL852126:CKU852160 CUH852126:CUQ852160 DED852126:DEM852160 DNZ852126:DOI852160 DXV852126:DYE852160 EHR852126:EIA852160 ERN852126:ERW852160 FBJ852126:FBS852160 FLF852126:FLO852160 FVB852126:FVK852160 GEX852126:GFG852160 GOT852126:GPC852160 GYP852126:GYY852160 HIL852126:HIU852160 HSH852126:HSQ852160 ICD852126:ICM852160 ILZ852126:IMI852160 IVV852126:IWE852160 JFR852126:JGA852160 JPN852126:JPW852160 JZJ852126:JZS852160 KJF852126:KJO852160 KTB852126:KTK852160 LCX852126:LDG852160 LMT852126:LNC852160 LWP852126:LWY852160 MGL852126:MGU852160 MQH852126:MQQ852160 NAD852126:NAM852160 NJZ852126:NKI852160 NTV852126:NUE852160 ODR852126:OEA852160 ONN852126:ONW852160 OXJ852126:OXS852160 PHF852126:PHO852160 PRB852126:PRK852160 QAX852126:QBG852160 QKT852126:QLC852160 QUP852126:QUY852160 REL852126:REU852160 ROH852126:ROQ852160 RYD852126:RYM852160 SHZ852126:SII852160 SRV852126:SSE852160 TBR852126:TCA852160 TLN852126:TLW852160 TVJ852126:TVS852160 UFF852126:UFO852160 UPB852126:UPK852160 UYX852126:UZG852160 VIT852126:VJC852160 VSP852126:VSY852160 WCL852126:WCU852160 WMH852126:WMQ852160 WWD852126:WWM852160 V917662:AE917696 JR917662:KA917696 TN917662:TW917696 ADJ917662:ADS917696 ANF917662:ANO917696 AXB917662:AXK917696 BGX917662:BHG917696 BQT917662:BRC917696 CAP917662:CAY917696 CKL917662:CKU917696 CUH917662:CUQ917696 DED917662:DEM917696 DNZ917662:DOI917696 DXV917662:DYE917696 EHR917662:EIA917696 ERN917662:ERW917696 FBJ917662:FBS917696 FLF917662:FLO917696 FVB917662:FVK917696 GEX917662:GFG917696 GOT917662:GPC917696 GYP917662:GYY917696 HIL917662:HIU917696 HSH917662:HSQ917696 ICD917662:ICM917696 ILZ917662:IMI917696 IVV917662:IWE917696 JFR917662:JGA917696 JPN917662:JPW917696 JZJ917662:JZS917696 KJF917662:KJO917696 KTB917662:KTK917696 LCX917662:LDG917696 LMT917662:LNC917696 LWP917662:LWY917696 MGL917662:MGU917696 MQH917662:MQQ917696 NAD917662:NAM917696 NJZ917662:NKI917696 NTV917662:NUE917696 ODR917662:OEA917696 ONN917662:ONW917696 OXJ917662:OXS917696 PHF917662:PHO917696 PRB917662:PRK917696 QAX917662:QBG917696 QKT917662:QLC917696 QUP917662:QUY917696 REL917662:REU917696 ROH917662:ROQ917696 RYD917662:RYM917696 SHZ917662:SII917696 SRV917662:SSE917696 TBR917662:TCA917696 TLN917662:TLW917696 TVJ917662:TVS917696 UFF917662:UFO917696 UPB917662:UPK917696 UYX917662:UZG917696 VIT917662:VJC917696 VSP917662:VSY917696 WCL917662:WCU917696 WMH917662:WMQ917696 WWD917662:WWM917696 V983198:AE983232 JR983198:KA983232 TN983198:TW983232 ADJ983198:ADS983232 ANF983198:ANO983232 AXB983198:AXK983232 BGX983198:BHG983232 BQT983198:BRC983232 CAP983198:CAY983232 CKL983198:CKU983232 CUH983198:CUQ983232 DED983198:DEM983232 DNZ983198:DOI983232 DXV983198:DYE983232 EHR983198:EIA983232 ERN983198:ERW983232 FBJ983198:FBS983232 FLF983198:FLO983232 FVB983198:FVK983232 GEX983198:GFG983232 GOT983198:GPC983232 GYP983198:GYY983232 HIL983198:HIU983232 HSH983198:HSQ983232 ICD983198:ICM983232 ILZ983198:IMI983232 IVV983198:IWE983232 JFR983198:JGA983232 JPN983198:JPW983232 JZJ983198:JZS983232 KJF983198:KJO983232 KTB983198:KTK983232 LCX983198:LDG983232 LMT983198:LNC983232 LWP983198:LWY983232 MGL983198:MGU983232 MQH983198:MQQ983232 NAD983198:NAM983232 NJZ983198:NKI983232 NTV983198:NUE983232 ODR983198:OEA983232 ONN983198:ONW983232 OXJ983198:OXS983232 PHF983198:PHO983232 PRB983198:PRK983232 QAX983198:QBG983232 QKT983198:QLC983232 QUP983198:QUY983232 REL983198:REU983232 ROH983198:ROQ983232 RYD983198:RYM983232 SHZ983198:SII983232 SRV983198:SSE983232 TBR983198:TCA983232 TLN983198:TLW983232 TVJ983198:TVS983232 UFF983198:UFO983232 UPB983198:UPK983232 UYX983198:UZG983232 VIT983198:VJC983232 VSP983198:VSY983232 WCL983198:WCU983232 WMH983198:WMQ983232 WWD983198:WWM983232 P150 JL150 TH150 ADD150 AMZ150 AWV150 BGR150 BQN150 CAJ150 CKF150 CUB150 DDX150 DNT150 DXP150 EHL150 ERH150 FBD150 FKZ150 FUV150 GER150 GON150 GYJ150 HIF150 HSB150 IBX150 ILT150 IVP150 JFL150 JPH150 JZD150 KIZ150 KSV150 LCR150 LMN150 LWJ150 MGF150 MQB150 MZX150 NJT150 NTP150 ODL150 ONH150 OXD150 PGZ150 PQV150 QAR150 QKN150 QUJ150 REF150 ROB150 RXX150 SHT150 SRP150 TBL150 TLH150 TVD150 UEZ150 UOV150 UYR150 VIN150 VSJ150 WCF150 WMB150 WVX150 P65686 JL65686 TH65686 ADD65686 AMZ65686 AWV65686 BGR65686 BQN65686 CAJ65686 CKF65686 CUB65686 DDX65686 DNT65686 DXP65686 EHL65686 ERH65686 FBD65686 FKZ65686 FUV65686 GER65686 GON65686 GYJ65686 HIF65686 HSB65686 IBX65686 ILT65686 IVP65686 JFL65686 JPH65686 JZD65686 KIZ65686 KSV65686 LCR65686 LMN65686 LWJ65686 MGF65686 MQB65686 MZX65686 NJT65686 NTP65686 ODL65686 ONH65686 OXD65686 PGZ65686 PQV65686 QAR65686 QKN65686 QUJ65686 REF65686 ROB65686 RXX65686 SHT65686 SRP65686 TBL65686 TLH65686 TVD65686 UEZ65686 UOV65686 UYR65686 VIN65686 VSJ65686 WCF65686 WMB65686 WVX65686 P131222 JL131222 TH131222 ADD131222 AMZ131222 AWV131222 BGR131222 BQN131222 CAJ131222 CKF131222 CUB131222 DDX131222 DNT131222 DXP131222 EHL131222 ERH131222 FBD131222 FKZ131222 FUV131222 GER131222 GON131222 GYJ131222 HIF131222 HSB131222 IBX131222 ILT131222 IVP131222 JFL131222 JPH131222 JZD131222 KIZ131222 KSV131222 LCR131222 LMN131222 LWJ131222 MGF131222 MQB131222 MZX131222 NJT131222 NTP131222 ODL131222 ONH131222 OXD131222 PGZ131222 PQV131222 QAR131222 QKN131222 QUJ131222 REF131222 ROB131222 RXX131222 SHT131222 SRP131222 TBL131222 TLH131222 TVD131222 UEZ131222 UOV131222 UYR131222 VIN131222 VSJ131222 WCF131222 WMB131222 WVX131222 P196758 JL196758 TH196758 ADD196758 AMZ196758 AWV196758 BGR196758 BQN196758 CAJ196758 CKF196758 CUB196758 DDX196758 DNT196758 DXP196758 EHL196758 ERH196758 FBD196758 FKZ196758 FUV196758 GER196758 GON196758 GYJ196758 HIF196758 HSB196758 IBX196758 ILT196758 IVP196758 JFL196758 JPH196758 JZD196758 KIZ196758 KSV196758 LCR196758 LMN196758 LWJ196758 MGF196758 MQB196758 MZX196758 NJT196758 NTP196758 ODL196758 ONH196758 OXD196758 PGZ196758 PQV196758 QAR196758 QKN196758 QUJ196758 REF196758 ROB196758 RXX196758 SHT196758 SRP196758 TBL196758 TLH196758 TVD196758 UEZ196758 UOV196758 UYR196758 VIN196758 VSJ196758 WCF196758 WMB196758 WVX196758 P262294 JL262294 TH262294 ADD262294 AMZ262294 AWV262294 BGR262294 BQN262294 CAJ262294 CKF262294 CUB262294 DDX262294 DNT262294 DXP262294 EHL262294 ERH262294 FBD262294 FKZ262294 FUV262294 GER262294 GON262294 GYJ262294 HIF262294 HSB262294 IBX262294 ILT262294 IVP262294 JFL262294 JPH262294 JZD262294 KIZ262294 KSV262294 LCR262294 LMN262294 LWJ262294 MGF262294 MQB262294 MZX262294 NJT262294 NTP262294 ODL262294 ONH262294 OXD262294 PGZ262294 PQV262294 QAR262294 QKN262294 QUJ262294 REF262294 ROB262294 RXX262294 SHT262294 SRP262294 TBL262294 TLH262294 TVD262294 UEZ262294 UOV262294 UYR262294 VIN262294 VSJ262294 WCF262294 WMB262294 WVX262294 P327830 JL327830 TH327830 ADD327830 AMZ327830 AWV327830 BGR327830 BQN327830 CAJ327830 CKF327830 CUB327830 DDX327830 DNT327830 DXP327830 EHL327830 ERH327830 FBD327830 FKZ327830 FUV327830 GER327830 GON327830 GYJ327830 HIF327830 HSB327830 IBX327830 ILT327830 IVP327830 JFL327830 JPH327830 JZD327830 KIZ327830 KSV327830 LCR327830 LMN327830 LWJ327830 MGF327830 MQB327830 MZX327830 NJT327830 NTP327830 ODL327830 ONH327830 OXD327830 PGZ327830 PQV327830 QAR327830 QKN327830 QUJ327830 REF327830 ROB327830 RXX327830 SHT327830 SRP327830 TBL327830 TLH327830 TVD327830 UEZ327830 UOV327830 UYR327830 VIN327830 VSJ327830 WCF327830 WMB327830 WVX327830 P393366 JL393366 TH393366 ADD393366 AMZ393366 AWV393366 BGR393366 BQN393366 CAJ393366 CKF393366 CUB393366 DDX393366 DNT393366 DXP393366 EHL393366 ERH393366 FBD393366 FKZ393366 FUV393366 GER393366 GON393366 GYJ393366 HIF393366 HSB393366 IBX393366 ILT393366 IVP393366 JFL393366 JPH393366 JZD393366 KIZ393366 KSV393366 LCR393366 LMN393366 LWJ393366 MGF393366 MQB393366 MZX393366 NJT393366 NTP393366 ODL393366 ONH393366 OXD393366 PGZ393366 PQV393366 QAR393366 QKN393366 QUJ393366 REF393366 ROB393366 RXX393366 SHT393366 SRP393366 TBL393366 TLH393366 TVD393366 UEZ393366 UOV393366 UYR393366 VIN393366 VSJ393366 WCF393366 WMB393366 WVX393366 P458902 JL458902 TH458902 ADD458902 AMZ458902 AWV458902 BGR458902 BQN458902 CAJ458902 CKF458902 CUB458902 DDX458902 DNT458902 DXP458902 EHL458902 ERH458902 FBD458902 FKZ458902 FUV458902 GER458902 GON458902 GYJ458902 HIF458902 HSB458902 IBX458902 ILT458902 IVP458902 JFL458902 JPH458902 JZD458902 KIZ458902 KSV458902 LCR458902 LMN458902 LWJ458902 MGF458902 MQB458902 MZX458902 NJT458902 NTP458902 ODL458902 ONH458902 OXD458902 PGZ458902 PQV458902 QAR458902 QKN458902 QUJ458902 REF458902 ROB458902 RXX458902 SHT458902 SRP458902 TBL458902 TLH458902 TVD458902 UEZ458902 UOV458902 UYR458902 VIN458902 VSJ458902 WCF458902 WMB458902 WVX458902 P524438 JL524438 TH524438 ADD524438 AMZ524438 AWV524438 BGR524438 BQN524438 CAJ524438 CKF524438 CUB524438 DDX524438 DNT524438 DXP524438 EHL524438 ERH524438 FBD524438 FKZ524438 FUV524438 GER524438 GON524438 GYJ524438 HIF524438 HSB524438 IBX524438 ILT524438 IVP524438 JFL524438 JPH524438 JZD524438 KIZ524438 KSV524438 LCR524438 LMN524438 LWJ524438 MGF524438 MQB524438 MZX524438 NJT524438 NTP524438 ODL524438 ONH524438 OXD524438 PGZ524438 PQV524438 QAR524438 QKN524438 QUJ524438 REF524438 ROB524438 RXX524438 SHT524438 SRP524438 TBL524438 TLH524438 TVD524438 UEZ524438 UOV524438 UYR524438 VIN524438 VSJ524438 WCF524438 WMB524438 WVX524438 P589974 JL589974 TH589974 ADD589974 AMZ589974 AWV589974 BGR589974 BQN589974 CAJ589974 CKF589974 CUB589974 DDX589974 DNT589974 DXP589974 EHL589974 ERH589974 FBD589974 FKZ589974 FUV589974 GER589974 GON589974 GYJ589974 HIF589974 HSB589974 IBX589974 ILT589974 IVP589974 JFL589974 JPH589974 JZD589974 KIZ589974 KSV589974 LCR589974 LMN589974 LWJ589974 MGF589974 MQB589974 MZX589974 NJT589974 NTP589974 ODL589974 ONH589974 OXD589974 PGZ589974 PQV589974 QAR589974 QKN589974 QUJ589974 REF589974 ROB589974 RXX589974 SHT589974 SRP589974 TBL589974 TLH589974 TVD589974 UEZ589974 UOV589974 UYR589974 VIN589974 VSJ589974 WCF589974 WMB589974 WVX589974 P655510 JL655510 TH655510 ADD655510 AMZ655510 AWV655510 BGR655510 BQN655510 CAJ655510 CKF655510 CUB655510 DDX655510 DNT655510 DXP655510 EHL655510 ERH655510 FBD655510 FKZ655510 FUV655510 GER655510 GON655510 GYJ655510 HIF655510 HSB655510 IBX655510 ILT655510 IVP655510 JFL655510 JPH655510 JZD655510 KIZ655510 KSV655510 LCR655510 LMN655510 LWJ655510 MGF655510 MQB655510 MZX655510 NJT655510 NTP655510 ODL655510 ONH655510 OXD655510 PGZ655510 PQV655510 QAR655510 QKN655510 QUJ655510 REF655510 ROB655510 RXX655510 SHT655510 SRP655510 TBL655510 TLH655510 TVD655510 UEZ655510 UOV655510 UYR655510 VIN655510 VSJ655510 WCF655510 WMB655510 WVX655510 P721046 JL721046 TH721046 ADD721046 AMZ721046 AWV721046 BGR721046 BQN721046 CAJ721046 CKF721046 CUB721046 DDX721046 DNT721046 DXP721046 EHL721046 ERH721046 FBD721046 FKZ721046 FUV721046 GER721046 GON721046 GYJ721046 HIF721046 HSB721046 IBX721046 ILT721046 IVP721046 JFL721046 JPH721046 JZD721046 KIZ721046 KSV721046 LCR721046 LMN721046 LWJ721046 MGF721046 MQB721046 MZX721046 NJT721046 NTP721046 ODL721046 ONH721046 OXD721046 PGZ721046 PQV721046 QAR721046 QKN721046 QUJ721046 REF721046 ROB721046 RXX721046 SHT721046 SRP721046 TBL721046 TLH721046 TVD721046 UEZ721046 UOV721046 UYR721046 VIN721046 VSJ721046 WCF721046 WMB721046 WVX721046 P786582 JL786582 TH786582 ADD786582 AMZ786582 AWV786582 BGR786582 BQN786582 CAJ786582 CKF786582 CUB786582 DDX786582 DNT786582 DXP786582 EHL786582 ERH786582 FBD786582 FKZ786582 FUV786582 GER786582 GON786582 GYJ786582 HIF786582 HSB786582 IBX786582 ILT786582 IVP786582 JFL786582 JPH786582 JZD786582 KIZ786582 KSV786582 LCR786582 LMN786582 LWJ786582 MGF786582 MQB786582 MZX786582 NJT786582 NTP786582 ODL786582 ONH786582 OXD786582 PGZ786582 PQV786582 QAR786582 QKN786582 QUJ786582 REF786582 ROB786582 RXX786582 SHT786582 SRP786582 TBL786582 TLH786582 TVD786582 UEZ786582 UOV786582 UYR786582 VIN786582 VSJ786582 WCF786582 WMB786582 WVX786582 P852118 JL852118 TH852118 ADD852118 AMZ852118 AWV852118 BGR852118 BQN852118 CAJ852118 CKF852118 CUB852118 DDX852118 DNT852118 DXP852118 EHL852118 ERH852118 FBD852118 FKZ852118 FUV852118 GER852118 GON852118 GYJ852118 HIF852118 HSB852118 IBX852118 ILT852118 IVP852118 JFL852118 JPH852118 JZD852118 KIZ852118 KSV852118 LCR852118 LMN852118 LWJ852118 MGF852118 MQB852118 MZX852118 NJT852118 NTP852118 ODL852118 ONH852118 OXD852118 PGZ852118 PQV852118 QAR852118 QKN852118 QUJ852118 REF852118 ROB852118 RXX852118 SHT852118 SRP852118 TBL852118 TLH852118 TVD852118 UEZ852118 UOV852118 UYR852118 VIN852118 VSJ852118 WCF852118 WMB852118 WVX852118 P917654 JL917654 TH917654 ADD917654 AMZ917654 AWV917654 BGR917654 BQN917654 CAJ917654 CKF917654 CUB917654 DDX917654 DNT917654 DXP917654 EHL917654 ERH917654 FBD917654 FKZ917654 FUV917654 GER917654 GON917654 GYJ917654 HIF917654 HSB917654 IBX917654 ILT917654 IVP917654 JFL917654 JPH917654 JZD917654 KIZ917654 KSV917654 LCR917654 LMN917654 LWJ917654 MGF917654 MQB917654 MZX917654 NJT917654 NTP917654 ODL917654 ONH917654 OXD917654 PGZ917654 PQV917654 QAR917654 QKN917654 QUJ917654 REF917654 ROB917654 RXX917654 SHT917654 SRP917654 TBL917654 TLH917654 TVD917654 UEZ917654 UOV917654 UYR917654 VIN917654 VSJ917654 WCF917654 WMB917654 WVX917654 P983190 JL983190 TH983190 ADD983190 AMZ983190 AWV983190 BGR983190 BQN983190 CAJ983190 CKF983190 CUB983190 DDX983190 DNT983190 DXP983190 EHL983190 ERH983190 FBD983190 FKZ983190 FUV983190 GER983190 GON983190 GYJ983190 HIF983190 HSB983190 IBX983190 ILT983190 IVP983190 JFL983190 JPH983190 JZD983190 KIZ983190 KSV983190 LCR983190 LMN983190 LWJ983190 MGF983190 MQB983190 MZX983190 NJT983190 NTP983190 ODL983190 ONH983190 OXD983190 PGZ983190 PQV983190 QAR983190 QKN983190 QUJ983190 REF983190 ROB983190 RXX983190 SHT983190 SRP983190 TBL983190 TLH983190 TVD983190 UEZ983190 UOV983190 UYR983190 VIN983190 VSJ983190 WCF983190 WMB983190 WVX983190 V107:AE130 JR107:KA130 TN107:TW130 ADJ107:ADS130 ANF107:ANO130 AXB107:AXK130 BGX107:BHG130 BQT107:BRC130 CAP107:CAY130 CKL107:CKU130 CUH107:CUQ130 DED107:DEM130 DNZ107:DOI130 DXV107:DYE130 EHR107:EIA130 ERN107:ERW130 FBJ107:FBS130 FLF107:FLO130 FVB107:FVK130 GEX107:GFG130 GOT107:GPC130 GYP107:GYY130 HIL107:HIU130 HSH107:HSQ130 ICD107:ICM130 ILZ107:IMI130 IVV107:IWE130 JFR107:JGA130 JPN107:JPW130 JZJ107:JZS130 KJF107:KJO130 KTB107:KTK130 LCX107:LDG130 LMT107:LNC130 LWP107:LWY130 MGL107:MGU130 MQH107:MQQ130 NAD107:NAM130 NJZ107:NKI130 NTV107:NUE130 ODR107:OEA130 ONN107:ONW130 OXJ107:OXS130 PHF107:PHO130 PRB107:PRK130 QAX107:QBG130 QKT107:QLC130 QUP107:QUY130 REL107:REU130 ROH107:ROQ130 RYD107:RYM130 SHZ107:SII130 SRV107:SSE130 TBR107:TCA130 TLN107:TLW130 TVJ107:TVS130 UFF107:UFO130 UPB107:UPK130 UYX107:UZG130 VIT107:VJC130 VSP107:VSY130 WCL107:WCU130 WMH107:WMQ130 WWD107:WWM130 V65643:AE65666 JR65643:KA65666 TN65643:TW65666 ADJ65643:ADS65666 ANF65643:ANO65666 AXB65643:AXK65666 BGX65643:BHG65666 BQT65643:BRC65666 CAP65643:CAY65666 CKL65643:CKU65666 CUH65643:CUQ65666 DED65643:DEM65666 DNZ65643:DOI65666 DXV65643:DYE65666 EHR65643:EIA65666 ERN65643:ERW65666 FBJ65643:FBS65666 FLF65643:FLO65666 FVB65643:FVK65666 GEX65643:GFG65666 GOT65643:GPC65666 GYP65643:GYY65666 HIL65643:HIU65666 HSH65643:HSQ65666 ICD65643:ICM65666 ILZ65643:IMI65666 IVV65643:IWE65666 JFR65643:JGA65666 JPN65643:JPW65666 JZJ65643:JZS65666 KJF65643:KJO65666 KTB65643:KTK65666 LCX65643:LDG65666 LMT65643:LNC65666 LWP65643:LWY65666 MGL65643:MGU65666 MQH65643:MQQ65666 NAD65643:NAM65666 NJZ65643:NKI65666 NTV65643:NUE65666 ODR65643:OEA65666 ONN65643:ONW65666 OXJ65643:OXS65666 PHF65643:PHO65666 PRB65643:PRK65666 QAX65643:QBG65666 QKT65643:QLC65666 QUP65643:QUY65666 REL65643:REU65666 ROH65643:ROQ65666 RYD65643:RYM65666 SHZ65643:SII65666 SRV65643:SSE65666 TBR65643:TCA65666 TLN65643:TLW65666 TVJ65643:TVS65666 UFF65643:UFO65666 UPB65643:UPK65666 UYX65643:UZG65666 VIT65643:VJC65666 VSP65643:VSY65666 WCL65643:WCU65666 WMH65643:WMQ65666 WWD65643:WWM65666 V131179:AE131202 JR131179:KA131202 TN131179:TW131202 ADJ131179:ADS131202 ANF131179:ANO131202 AXB131179:AXK131202 BGX131179:BHG131202 BQT131179:BRC131202 CAP131179:CAY131202 CKL131179:CKU131202 CUH131179:CUQ131202 DED131179:DEM131202 DNZ131179:DOI131202 DXV131179:DYE131202 EHR131179:EIA131202 ERN131179:ERW131202 FBJ131179:FBS131202 FLF131179:FLO131202 FVB131179:FVK131202 GEX131179:GFG131202 GOT131179:GPC131202 GYP131179:GYY131202 HIL131179:HIU131202 HSH131179:HSQ131202 ICD131179:ICM131202 ILZ131179:IMI131202 IVV131179:IWE131202 JFR131179:JGA131202 JPN131179:JPW131202 JZJ131179:JZS131202 KJF131179:KJO131202 KTB131179:KTK131202 LCX131179:LDG131202 LMT131179:LNC131202 LWP131179:LWY131202 MGL131179:MGU131202 MQH131179:MQQ131202 NAD131179:NAM131202 NJZ131179:NKI131202 NTV131179:NUE131202 ODR131179:OEA131202 ONN131179:ONW131202 OXJ131179:OXS131202 PHF131179:PHO131202 PRB131179:PRK131202 QAX131179:QBG131202 QKT131179:QLC131202 QUP131179:QUY131202 REL131179:REU131202 ROH131179:ROQ131202 RYD131179:RYM131202 SHZ131179:SII131202 SRV131179:SSE131202 TBR131179:TCA131202 TLN131179:TLW131202 TVJ131179:TVS131202 UFF131179:UFO131202 UPB131179:UPK131202 UYX131179:UZG131202 VIT131179:VJC131202 VSP131179:VSY131202 WCL131179:WCU131202 WMH131179:WMQ131202 WWD131179:WWM131202 V196715:AE196738 JR196715:KA196738 TN196715:TW196738 ADJ196715:ADS196738 ANF196715:ANO196738 AXB196715:AXK196738 BGX196715:BHG196738 BQT196715:BRC196738 CAP196715:CAY196738 CKL196715:CKU196738 CUH196715:CUQ196738 DED196715:DEM196738 DNZ196715:DOI196738 DXV196715:DYE196738 EHR196715:EIA196738 ERN196715:ERW196738 FBJ196715:FBS196738 FLF196715:FLO196738 FVB196715:FVK196738 GEX196715:GFG196738 GOT196715:GPC196738 GYP196715:GYY196738 HIL196715:HIU196738 HSH196715:HSQ196738 ICD196715:ICM196738 ILZ196715:IMI196738 IVV196715:IWE196738 JFR196715:JGA196738 JPN196715:JPW196738 JZJ196715:JZS196738 KJF196715:KJO196738 KTB196715:KTK196738 LCX196715:LDG196738 LMT196715:LNC196738 LWP196715:LWY196738 MGL196715:MGU196738 MQH196715:MQQ196738 NAD196715:NAM196738 NJZ196715:NKI196738 NTV196715:NUE196738 ODR196715:OEA196738 ONN196715:ONW196738 OXJ196715:OXS196738 PHF196715:PHO196738 PRB196715:PRK196738 QAX196715:QBG196738 QKT196715:QLC196738 QUP196715:QUY196738 REL196715:REU196738 ROH196715:ROQ196738 RYD196715:RYM196738 SHZ196715:SII196738 SRV196715:SSE196738 TBR196715:TCA196738 TLN196715:TLW196738 TVJ196715:TVS196738 UFF196715:UFO196738 UPB196715:UPK196738 UYX196715:UZG196738 VIT196715:VJC196738 VSP196715:VSY196738 WCL196715:WCU196738 WMH196715:WMQ196738 WWD196715:WWM196738 V262251:AE262274 JR262251:KA262274 TN262251:TW262274 ADJ262251:ADS262274 ANF262251:ANO262274 AXB262251:AXK262274 BGX262251:BHG262274 BQT262251:BRC262274 CAP262251:CAY262274 CKL262251:CKU262274 CUH262251:CUQ262274 DED262251:DEM262274 DNZ262251:DOI262274 DXV262251:DYE262274 EHR262251:EIA262274 ERN262251:ERW262274 FBJ262251:FBS262274 FLF262251:FLO262274 FVB262251:FVK262274 GEX262251:GFG262274 GOT262251:GPC262274 GYP262251:GYY262274 HIL262251:HIU262274 HSH262251:HSQ262274 ICD262251:ICM262274 ILZ262251:IMI262274 IVV262251:IWE262274 JFR262251:JGA262274 JPN262251:JPW262274 JZJ262251:JZS262274 KJF262251:KJO262274 KTB262251:KTK262274 LCX262251:LDG262274 LMT262251:LNC262274 LWP262251:LWY262274 MGL262251:MGU262274 MQH262251:MQQ262274 NAD262251:NAM262274 NJZ262251:NKI262274 NTV262251:NUE262274 ODR262251:OEA262274 ONN262251:ONW262274 OXJ262251:OXS262274 PHF262251:PHO262274 PRB262251:PRK262274 QAX262251:QBG262274 QKT262251:QLC262274 QUP262251:QUY262274 REL262251:REU262274 ROH262251:ROQ262274 RYD262251:RYM262274 SHZ262251:SII262274 SRV262251:SSE262274 TBR262251:TCA262274 TLN262251:TLW262274 TVJ262251:TVS262274 UFF262251:UFO262274 UPB262251:UPK262274 UYX262251:UZG262274 VIT262251:VJC262274 VSP262251:VSY262274 WCL262251:WCU262274 WMH262251:WMQ262274 WWD262251:WWM262274 V327787:AE327810 JR327787:KA327810 TN327787:TW327810 ADJ327787:ADS327810 ANF327787:ANO327810 AXB327787:AXK327810 BGX327787:BHG327810 BQT327787:BRC327810 CAP327787:CAY327810 CKL327787:CKU327810 CUH327787:CUQ327810 DED327787:DEM327810 DNZ327787:DOI327810 DXV327787:DYE327810 EHR327787:EIA327810 ERN327787:ERW327810 FBJ327787:FBS327810 FLF327787:FLO327810 FVB327787:FVK327810 GEX327787:GFG327810 GOT327787:GPC327810 GYP327787:GYY327810 HIL327787:HIU327810 HSH327787:HSQ327810 ICD327787:ICM327810 ILZ327787:IMI327810 IVV327787:IWE327810 JFR327787:JGA327810 JPN327787:JPW327810 JZJ327787:JZS327810 KJF327787:KJO327810 KTB327787:KTK327810 LCX327787:LDG327810 LMT327787:LNC327810 LWP327787:LWY327810 MGL327787:MGU327810 MQH327787:MQQ327810 NAD327787:NAM327810 NJZ327787:NKI327810 NTV327787:NUE327810 ODR327787:OEA327810 ONN327787:ONW327810 OXJ327787:OXS327810 PHF327787:PHO327810 PRB327787:PRK327810 QAX327787:QBG327810 QKT327787:QLC327810 QUP327787:QUY327810 REL327787:REU327810 ROH327787:ROQ327810 RYD327787:RYM327810 SHZ327787:SII327810 SRV327787:SSE327810 TBR327787:TCA327810 TLN327787:TLW327810 TVJ327787:TVS327810 UFF327787:UFO327810 UPB327787:UPK327810 UYX327787:UZG327810 VIT327787:VJC327810 VSP327787:VSY327810 WCL327787:WCU327810 WMH327787:WMQ327810 WWD327787:WWM327810 V393323:AE393346 JR393323:KA393346 TN393323:TW393346 ADJ393323:ADS393346 ANF393323:ANO393346 AXB393323:AXK393346 BGX393323:BHG393346 BQT393323:BRC393346 CAP393323:CAY393346 CKL393323:CKU393346 CUH393323:CUQ393346 DED393323:DEM393346 DNZ393323:DOI393346 DXV393323:DYE393346 EHR393323:EIA393346 ERN393323:ERW393346 FBJ393323:FBS393346 FLF393323:FLO393346 FVB393323:FVK393346 GEX393323:GFG393346 GOT393323:GPC393346 GYP393323:GYY393346 HIL393323:HIU393346 HSH393323:HSQ393346 ICD393323:ICM393346 ILZ393323:IMI393346 IVV393323:IWE393346 JFR393323:JGA393346 JPN393323:JPW393346 JZJ393323:JZS393346 KJF393323:KJO393346 KTB393323:KTK393346 LCX393323:LDG393346 LMT393323:LNC393346 LWP393323:LWY393346 MGL393323:MGU393346 MQH393323:MQQ393346 NAD393323:NAM393346 NJZ393323:NKI393346 NTV393323:NUE393346 ODR393323:OEA393346 ONN393323:ONW393346 OXJ393323:OXS393346 PHF393323:PHO393346 PRB393323:PRK393346 QAX393323:QBG393346 QKT393323:QLC393346 QUP393323:QUY393346 REL393323:REU393346 ROH393323:ROQ393346 RYD393323:RYM393346 SHZ393323:SII393346 SRV393323:SSE393346 TBR393323:TCA393346 TLN393323:TLW393346 TVJ393323:TVS393346 UFF393323:UFO393346 UPB393323:UPK393346 UYX393323:UZG393346 VIT393323:VJC393346 VSP393323:VSY393346 WCL393323:WCU393346 WMH393323:WMQ393346 WWD393323:WWM393346 V458859:AE458882 JR458859:KA458882 TN458859:TW458882 ADJ458859:ADS458882 ANF458859:ANO458882 AXB458859:AXK458882 BGX458859:BHG458882 BQT458859:BRC458882 CAP458859:CAY458882 CKL458859:CKU458882 CUH458859:CUQ458882 DED458859:DEM458882 DNZ458859:DOI458882 DXV458859:DYE458882 EHR458859:EIA458882 ERN458859:ERW458882 FBJ458859:FBS458882 FLF458859:FLO458882 FVB458859:FVK458882 GEX458859:GFG458882 GOT458859:GPC458882 GYP458859:GYY458882 HIL458859:HIU458882 HSH458859:HSQ458882 ICD458859:ICM458882 ILZ458859:IMI458882 IVV458859:IWE458882 JFR458859:JGA458882 JPN458859:JPW458882 JZJ458859:JZS458882 KJF458859:KJO458882 KTB458859:KTK458882 LCX458859:LDG458882 LMT458859:LNC458882 LWP458859:LWY458882 MGL458859:MGU458882 MQH458859:MQQ458882 NAD458859:NAM458882 NJZ458859:NKI458882 NTV458859:NUE458882 ODR458859:OEA458882 ONN458859:ONW458882 OXJ458859:OXS458882 PHF458859:PHO458882 PRB458859:PRK458882 QAX458859:QBG458882 QKT458859:QLC458882 QUP458859:QUY458882 REL458859:REU458882 ROH458859:ROQ458882 RYD458859:RYM458882 SHZ458859:SII458882 SRV458859:SSE458882 TBR458859:TCA458882 TLN458859:TLW458882 TVJ458859:TVS458882 UFF458859:UFO458882 UPB458859:UPK458882 UYX458859:UZG458882 VIT458859:VJC458882 VSP458859:VSY458882 WCL458859:WCU458882 WMH458859:WMQ458882 WWD458859:WWM458882 V524395:AE524418 JR524395:KA524418 TN524395:TW524418 ADJ524395:ADS524418 ANF524395:ANO524418 AXB524395:AXK524418 BGX524395:BHG524418 BQT524395:BRC524418 CAP524395:CAY524418 CKL524395:CKU524418 CUH524395:CUQ524418 DED524395:DEM524418 DNZ524395:DOI524418 DXV524395:DYE524418 EHR524395:EIA524418 ERN524395:ERW524418 FBJ524395:FBS524418 FLF524395:FLO524418 FVB524395:FVK524418 GEX524395:GFG524418 GOT524395:GPC524418 GYP524395:GYY524418 HIL524395:HIU524418 HSH524395:HSQ524418 ICD524395:ICM524418 ILZ524395:IMI524418 IVV524395:IWE524418 JFR524395:JGA524418 JPN524395:JPW524418 JZJ524395:JZS524418 KJF524395:KJO524418 KTB524395:KTK524418 LCX524395:LDG524418 LMT524395:LNC524418 LWP524395:LWY524418 MGL524395:MGU524418 MQH524395:MQQ524418 NAD524395:NAM524418 NJZ524395:NKI524418 NTV524395:NUE524418 ODR524395:OEA524418 ONN524395:ONW524418 OXJ524395:OXS524418 PHF524395:PHO524418 PRB524395:PRK524418 QAX524395:QBG524418 QKT524395:QLC524418 QUP524395:QUY524418 REL524395:REU524418 ROH524395:ROQ524418 RYD524395:RYM524418 SHZ524395:SII524418 SRV524395:SSE524418 TBR524395:TCA524418 TLN524395:TLW524418 TVJ524395:TVS524418 UFF524395:UFO524418 UPB524395:UPK524418 UYX524395:UZG524418 VIT524395:VJC524418 VSP524395:VSY524418 WCL524395:WCU524418 WMH524395:WMQ524418 WWD524395:WWM524418 V589931:AE589954 JR589931:KA589954 TN589931:TW589954 ADJ589931:ADS589954 ANF589931:ANO589954 AXB589931:AXK589954 BGX589931:BHG589954 BQT589931:BRC589954 CAP589931:CAY589954 CKL589931:CKU589954 CUH589931:CUQ589954 DED589931:DEM589954 DNZ589931:DOI589954 DXV589931:DYE589954 EHR589931:EIA589954 ERN589931:ERW589954 FBJ589931:FBS589954 FLF589931:FLO589954 FVB589931:FVK589954 GEX589931:GFG589954 GOT589931:GPC589954 GYP589931:GYY589954 HIL589931:HIU589954 HSH589931:HSQ589954 ICD589931:ICM589954 ILZ589931:IMI589954 IVV589931:IWE589954 JFR589931:JGA589954 JPN589931:JPW589954 JZJ589931:JZS589954 KJF589931:KJO589954 KTB589931:KTK589954 LCX589931:LDG589954 LMT589931:LNC589954 LWP589931:LWY589954 MGL589931:MGU589954 MQH589931:MQQ589954 NAD589931:NAM589954 NJZ589931:NKI589954 NTV589931:NUE589954 ODR589931:OEA589954 ONN589931:ONW589954 OXJ589931:OXS589954 PHF589931:PHO589954 PRB589931:PRK589954 QAX589931:QBG589954 QKT589931:QLC589954 QUP589931:QUY589954 REL589931:REU589954 ROH589931:ROQ589954 RYD589931:RYM589954 SHZ589931:SII589954 SRV589931:SSE589954 TBR589931:TCA589954 TLN589931:TLW589954 TVJ589931:TVS589954 UFF589931:UFO589954 UPB589931:UPK589954 UYX589931:UZG589954 VIT589931:VJC589954 VSP589931:VSY589954 WCL589931:WCU589954 WMH589931:WMQ589954 WWD589931:WWM589954 V655467:AE655490 JR655467:KA655490 TN655467:TW655490 ADJ655467:ADS655490 ANF655467:ANO655490 AXB655467:AXK655490 BGX655467:BHG655490 BQT655467:BRC655490 CAP655467:CAY655490 CKL655467:CKU655490 CUH655467:CUQ655490 DED655467:DEM655490 DNZ655467:DOI655490 DXV655467:DYE655490 EHR655467:EIA655490 ERN655467:ERW655490 FBJ655467:FBS655490 FLF655467:FLO655490 FVB655467:FVK655490 GEX655467:GFG655490 GOT655467:GPC655490 GYP655467:GYY655490 HIL655467:HIU655490 HSH655467:HSQ655490 ICD655467:ICM655490 ILZ655467:IMI655490 IVV655467:IWE655490 JFR655467:JGA655490 JPN655467:JPW655490 JZJ655467:JZS655490 KJF655467:KJO655490 KTB655467:KTK655490 LCX655467:LDG655490 LMT655467:LNC655490 LWP655467:LWY655490 MGL655467:MGU655490 MQH655467:MQQ655490 NAD655467:NAM655490 NJZ655467:NKI655490 NTV655467:NUE655490 ODR655467:OEA655490 ONN655467:ONW655490 OXJ655467:OXS655490 PHF655467:PHO655490 PRB655467:PRK655490 QAX655467:QBG655490 QKT655467:QLC655490 QUP655467:QUY655490 REL655467:REU655490 ROH655467:ROQ655490 RYD655467:RYM655490 SHZ655467:SII655490 SRV655467:SSE655490 TBR655467:TCA655490 TLN655467:TLW655490 TVJ655467:TVS655490 UFF655467:UFO655490 UPB655467:UPK655490 UYX655467:UZG655490 VIT655467:VJC655490 VSP655467:VSY655490 WCL655467:WCU655490 WMH655467:WMQ655490 WWD655467:WWM655490 V721003:AE721026 JR721003:KA721026 TN721003:TW721026 ADJ721003:ADS721026 ANF721003:ANO721026 AXB721003:AXK721026 BGX721003:BHG721026 BQT721003:BRC721026 CAP721003:CAY721026 CKL721003:CKU721026 CUH721003:CUQ721026 DED721003:DEM721026 DNZ721003:DOI721026 DXV721003:DYE721026 EHR721003:EIA721026 ERN721003:ERW721026 FBJ721003:FBS721026 FLF721003:FLO721026 FVB721003:FVK721026 GEX721003:GFG721026 GOT721003:GPC721026 GYP721003:GYY721026 HIL721003:HIU721026 HSH721003:HSQ721026 ICD721003:ICM721026 ILZ721003:IMI721026 IVV721003:IWE721026 JFR721003:JGA721026 JPN721003:JPW721026 JZJ721003:JZS721026 KJF721003:KJO721026 KTB721003:KTK721026 LCX721003:LDG721026 LMT721003:LNC721026 LWP721003:LWY721026 MGL721003:MGU721026 MQH721003:MQQ721026 NAD721003:NAM721026 NJZ721003:NKI721026 NTV721003:NUE721026 ODR721003:OEA721026 ONN721003:ONW721026 OXJ721003:OXS721026 PHF721003:PHO721026 PRB721003:PRK721026 QAX721003:QBG721026 QKT721003:QLC721026 QUP721003:QUY721026 REL721003:REU721026 ROH721003:ROQ721026 RYD721003:RYM721026 SHZ721003:SII721026 SRV721003:SSE721026 TBR721003:TCA721026 TLN721003:TLW721026 TVJ721003:TVS721026 UFF721003:UFO721026 UPB721003:UPK721026 UYX721003:UZG721026 VIT721003:VJC721026 VSP721003:VSY721026 WCL721003:WCU721026 WMH721003:WMQ721026 WWD721003:WWM721026 V786539:AE786562 JR786539:KA786562 TN786539:TW786562 ADJ786539:ADS786562 ANF786539:ANO786562 AXB786539:AXK786562 BGX786539:BHG786562 BQT786539:BRC786562 CAP786539:CAY786562 CKL786539:CKU786562 CUH786539:CUQ786562 DED786539:DEM786562 DNZ786539:DOI786562 DXV786539:DYE786562 EHR786539:EIA786562 ERN786539:ERW786562 FBJ786539:FBS786562 FLF786539:FLO786562 FVB786539:FVK786562 GEX786539:GFG786562 GOT786539:GPC786562 GYP786539:GYY786562 HIL786539:HIU786562 HSH786539:HSQ786562 ICD786539:ICM786562 ILZ786539:IMI786562 IVV786539:IWE786562 JFR786539:JGA786562 JPN786539:JPW786562 JZJ786539:JZS786562 KJF786539:KJO786562 KTB786539:KTK786562 LCX786539:LDG786562 LMT786539:LNC786562 LWP786539:LWY786562 MGL786539:MGU786562 MQH786539:MQQ786562 NAD786539:NAM786562 NJZ786539:NKI786562 NTV786539:NUE786562 ODR786539:OEA786562 ONN786539:ONW786562 OXJ786539:OXS786562 PHF786539:PHO786562 PRB786539:PRK786562 QAX786539:QBG786562 QKT786539:QLC786562 QUP786539:QUY786562 REL786539:REU786562 ROH786539:ROQ786562 RYD786539:RYM786562 SHZ786539:SII786562 SRV786539:SSE786562 TBR786539:TCA786562 TLN786539:TLW786562 TVJ786539:TVS786562 UFF786539:UFO786562 UPB786539:UPK786562 UYX786539:UZG786562 VIT786539:VJC786562 VSP786539:VSY786562 WCL786539:WCU786562 WMH786539:WMQ786562 WWD786539:WWM786562 V852075:AE852098 JR852075:KA852098 TN852075:TW852098 ADJ852075:ADS852098 ANF852075:ANO852098 AXB852075:AXK852098 BGX852075:BHG852098 BQT852075:BRC852098 CAP852075:CAY852098 CKL852075:CKU852098 CUH852075:CUQ852098 DED852075:DEM852098 DNZ852075:DOI852098 DXV852075:DYE852098 EHR852075:EIA852098 ERN852075:ERW852098 FBJ852075:FBS852098 FLF852075:FLO852098 FVB852075:FVK852098 GEX852075:GFG852098 GOT852075:GPC852098 GYP852075:GYY852098 HIL852075:HIU852098 HSH852075:HSQ852098 ICD852075:ICM852098 ILZ852075:IMI852098 IVV852075:IWE852098 JFR852075:JGA852098 JPN852075:JPW852098 JZJ852075:JZS852098 KJF852075:KJO852098 KTB852075:KTK852098 LCX852075:LDG852098 LMT852075:LNC852098 LWP852075:LWY852098 MGL852075:MGU852098 MQH852075:MQQ852098 NAD852075:NAM852098 NJZ852075:NKI852098 NTV852075:NUE852098 ODR852075:OEA852098 ONN852075:ONW852098 OXJ852075:OXS852098 PHF852075:PHO852098 PRB852075:PRK852098 QAX852075:QBG852098 QKT852075:QLC852098 QUP852075:QUY852098 REL852075:REU852098 ROH852075:ROQ852098 RYD852075:RYM852098 SHZ852075:SII852098 SRV852075:SSE852098 TBR852075:TCA852098 TLN852075:TLW852098 TVJ852075:TVS852098 UFF852075:UFO852098 UPB852075:UPK852098 UYX852075:UZG852098 VIT852075:VJC852098 VSP852075:VSY852098 WCL852075:WCU852098 WMH852075:WMQ852098 WWD852075:WWM852098 V917611:AE917634 JR917611:KA917634 TN917611:TW917634 ADJ917611:ADS917634 ANF917611:ANO917634 AXB917611:AXK917634 BGX917611:BHG917634 BQT917611:BRC917634 CAP917611:CAY917634 CKL917611:CKU917634 CUH917611:CUQ917634 DED917611:DEM917634 DNZ917611:DOI917634 DXV917611:DYE917634 EHR917611:EIA917634 ERN917611:ERW917634 FBJ917611:FBS917634 FLF917611:FLO917634 FVB917611:FVK917634 GEX917611:GFG917634 GOT917611:GPC917634 GYP917611:GYY917634 HIL917611:HIU917634 HSH917611:HSQ917634 ICD917611:ICM917634 ILZ917611:IMI917634 IVV917611:IWE917634 JFR917611:JGA917634 JPN917611:JPW917634 JZJ917611:JZS917634 KJF917611:KJO917634 KTB917611:KTK917634 LCX917611:LDG917634 LMT917611:LNC917634 LWP917611:LWY917634 MGL917611:MGU917634 MQH917611:MQQ917634 NAD917611:NAM917634 NJZ917611:NKI917634 NTV917611:NUE917634 ODR917611:OEA917634 ONN917611:ONW917634 OXJ917611:OXS917634 PHF917611:PHO917634 PRB917611:PRK917634 QAX917611:QBG917634 QKT917611:QLC917634 QUP917611:QUY917634 REL917611:REU917634 ROH917611:ROQ917634 RYD917611:RYM917634 SHZ917611:SII917634 SRV917611:SSE917634 TBR917611:TCA917634 TLN917611:TLW917634 TVJ917611:TVS917634 UFF917611:UFO917634 UPB917611:UPK917634 UYX917611:UZG917634 VIT917611:VJC917634 VSP917611:VSY917634 WCL917611:WCU917634 WMH917611:WMQ917634 WWD917611:WWM917634 V983147:AE983170 JR983147:KA983170 TN983147:TW983170 ADJ983147:ADS983170 ANF983147:ANO983170 AXB983147:AXK983170 BGX983147:BHG983170 BQT983147:BRC983170 CAP983147:CAY983170 CKL983147:CKU983170 CUH983147:CUQ983170 DED983147:DEM983170 DNZ983147:DOI983170 DXV983147:DYE983170 EHR983147:EIA983170 ERN983147:ERW983170 FBJ983147:FBS983170 FLF983147:FLO983170 FVB983147:FVK983170 GEX983147:GFG983170 GOT983147:GPC983170 GYP983147:GYY983170 HIL983147:HIU983170 HSH983147:HSQ983170 ICD983147:ICM983170 ILZ983147:IMI983170 IVV983147:IWE983170 JFR983147:JGA983170 JPN983147:JPW983170 JZJ983147:JZS983170 KJF983147:KJO983170 KTB983147:KTK983170 LCX983147:LDG983170 LMT983147:LNC983170 LWP983147:LWY983170 MGL983147:MGU983170 MQH983147:MQQ983170 NAD983147:NAM983170 NJZ983147:NKI983170 NTV983147:NUE983170 ODR983147:OEA983170 ONN983147:ONW983170 OXJ983147:OXS983170 PHF983147:PHO983170 PRB983147:PRK983170 QAX983147:QBG983170 QKT983147:QLC983170 QUP983147:QUY983170 REL983147:REU983170 ROH983147:ROQ983170 RYD983147:RYM983170 SHZ983147:SII983170 SRV983147:SSE983170 TBR983147:TCA983170 TLN983147:TLW983170 TVJ983147:TVS983170 UFF983147:UFO983170 UPB983147:UPK983170 UYX983147:UZG983170 VIT983147:VJC983170 VSP983147:VSY983170 WCL983147:WCU983170 WMH983147:WMQ983170 WWD983147:WWM983170 V132:AE156 JR132:KA156 TN132:TW156 ADJ132:ADS156 ANF132:ANO156 AXB132:AXK156 BGX132:BHG156 BQT132:BRC156 CAP132:CAY156 CKL132:CKU156 CUH132:CUQ156 DED132:DEM156 DNZ132:DOI156 DXV132:DYE156 EHR132:EIA156 ERN132:ERW156 FBJ132:FBS156 FLF132:FLO156 FVB132:FVK156 GEX132:GFG156 GOT132:GPC156 GYP132:GYY156 HIL132:HIU156 HSH132:HSQ156 ICD132:ICM156 ILZ132:IMI156 IVV132:IWE156 JFR132:JGA156 JPN132:JPW156 JZJ132:JZS156 KJF132:KJO156 KTB132:KTK156 LCX132:LDG156 LMT132:LNC156 LWP132:LWY156 MGL132:MGU156 MQH132:MQQ156 NAD132:NAM156 NJZ132:NKI156 NTV132:NUE156 ODR132:OEA156 ONN132:ONW156 OXJ132:OXS156 PHF132:PHO156 PRB132:PRK156 QAX132:QBG156 QKT132:QLC156 QUP132:QUY156 REL132:REU156 ROH132:ROQ156 RYD132:RYM156 SHZ132:SII156 SRV132:SSE156 TBR132:TCA156 TLN132:TLW156 TVJ132:TVS156 UFF132:UFO156 UPB132:UPK156 UYX132:UZG156 VIT132:VJC156 VSP132:VSY156 WCL132:WCU156 WMH132:WMQ156 WWD132:WWM156 V65668:AE65692 JR65668:KA65692 TN65668:TW65692 ADJ65668:ADS65692 ANF65668:ANO65692 AXB65668:AXK65692 BGX65668:BHG65692 BQT65668:BRC65692 CAP65668:CAY65692 CKL65668:CKU65692 CUH65668:CUQ65692 DED65668:DEM65692 DNZ65668:DOI65692 DXV65668:DYE65692 EHR65668:EIA65692 ERN65668:ERW65692 FBJ65668:FBS65692 FLF65668:FLO65692 FVB65668:FVK65692 GEX65668:GFG65692 GOT65668:GPC65692 GYP65668:GYY65692 HIL65668:HIU65692 HSH65668:HSQ65692 ICD65668:ICM65692 ILZ65668:IMI65692 IVV65668:IWE65692 JFR65668:JGA65692 JPN65668:JPW65692 JZJ65668:JZS65692 KJF65668:KJO65692 KTB65668:KTK65692 LCX65668:LDG65692 LMT65668:LNC65692 LWP65668:LWY65692 MGL65668:MGU65692 MQH65668:MQQ65692 NAD65668:NAM65692 NJZ65668:NKI65692 NTV65668:NUE65692 ODR65668:OEA65692 ONN65668:ONW65692 OXJ65668:OXS65692 PHF65668:PHO65692 PRB65668:PRK65692 QAX65668:QBG65692 QKT65668:QLC65692 QUP65668:QUY65692 REL65668:REU65692 ROH65668:ROQ65692 RYD65668:RYM65692 SHZ65668:SII65692 SRV65668:SSE65692 TBR65668:TCA65692 TLN65668:TLW65692 TVJ65668:TVS65692 UFF65668:UFO65692 UPB65668:UPK65692 UYX65668:UZG65692 VIT65668:VJC65692 VSP65668:VSY65692 WCL65668:WCU65692 WMH65668:WMQ65692 WWD65668:WWM65692 V131204:AE131228 JR131204:KA131228 TN131204:TW131228 ADJ131204:ADS131228 ANF131204:ANO131228 AXB131204:AXK131228 BGX131204:BHG131228 BQT131204:BRC131228 CAP131204:CAY131228 CKL131204:CKU131228 CUH131204:CUQ131228 DED131204:DEM131228 DNZ131204:DOI131228 DXV131204:DYE131228 EHR131204:EIA131228 ERN131204:ERW131228 FBJ131204:FBS131228 FLF131204:FLO131228 FVB131204:FVK131228 GEX131204:GFG131228 GOT131204:GPC131228 GYP131204:GYY131228 HIL131204:HIU131228 HSH131204:HSQ131228 ICD131204:ICM131228 ILZ131204:IMI131228 IVV131204:IWE131228 JFR131204:JGA131228 JPN131204:JPW131228 JZJ131204:JZS131228 KJF131204:KJO131228 KTB131204:KTK131228 LCX131204:LDG131228 LMT131204:LNC131228 LWP131204:LWY131228 MGL131204:MGU131228 MQH131204:MQQ131228 NAD131204:NAM131228 NJZ131204:NKI131228 NTV131204:NUE131228 ODR131204:OEA131228 ONN131204:ONW131228 OXJ131204:OXS131228 PHF131204:PHO131228 PRB131204:PRK131228 QAX131204:QBG131228 QKT131204:QLC131228 QUP131204:QUY131228 REL131204:REU131228 ROH131204:ROQ131228 RYD131204:RYM131228 SHZ131204:SII131228 SRV131204:SSE131228 TBR131204:TCA131228 TLN131204:TLW131228 TVJ131204:TVS131228 UFF131204:UFO131228 UPB131204:UPK131228 UYX131204:UZG131228 VIT131204:VJC131228 VSP131204:VSY131228 WCL131204:WCU131228 WMH131204:WMQ131228 WWD131204:WWM131228 V196740:AE196764 JR196740:KA196764 TN196740:TW196764 ADJ196740:ADS196764 ANF196740:ANO196764 AXB196740:AXK196764 BGX196740:BHG196764 BQT196740:BRC196764 CAP196740:CAY196764 CKL196740:CKU196764 CUH196740:CUQ196764 DED196740:DEM196764 DNZ196740:DOI196764 DXV196740:DYE196764 EHR196740:EIA196764 ERN196740:ERW196764 FBJ196740:FBS196764 FLF196740:FLO196764 FVB196740:FVK196764 GEX196740:GFG196764 GOT196740:GPC196764 GYP196740:GYY196764 HIL196740:HIU196764 HSH196740:HSQ196764 ICD196740:ICM196764 ILZ196740:IMI196764 IVV196740:IWE196764 JFR196740:JGA196764 JPN196740:JPW196764 JZJ196740:JZS196764 KJF196740:KJO196764 KTB196740:KTK196764 LCX196740:LDG196764 LMT196740:LNC196764 LWP196740:LWY196764 MGL196740:MGU196764 MQH196740:MQQ196764 NAD196740:NAM196764 NJZ196740:NKI196764 NTV196740:NUE196764 ODR196740:OEA196764 ONN196740:ONW196764 OXJ196740:OXS196764 PHF196740:PHO196764 PRB196740:PRK196764 QAX196740:QBG196764 QKT196740:QLC196764 QUP196740:QUY196764 REL196740:REU196764 ROH196740:ROQ196764 RYD196740:RYM196764 SHZ196740:SII196764 SRV196740:SSE196764 TBR196740:TCA196764 TLN196740:TLW196764 TVJ196740:TVS196764 UFF196740:UFO196764 UPB196740:UPK196764 UYX196740:UZG196764 VIT196740:VJC196764 VSP196740:VSY196764 WCL196740:WCU196764 WMH196740:WMQ196764 WWD196740:WWM196764 V262276:AE262300 JR262276:KA262300 TN262276:TW262300 ADJ262276:ADS262300 ANF262276:ANO262300 AXB262276:AXK262300 BGX262276:BHG262300 BQT262276:BRC262300 CAP262276:CAY262300 CKL262276:CKU262300 CUH262276:CUQ262300 DED262276:DEM262300 DNZ262276:DOI262300 DXV262276:DYE262300 EHR262276:EIA262300 ERN262276:ERW262300 FBJ262276:FBS262300 FLF262276:FLO262300 FVB262276:FVK262300 GEX262276:GFG262300 GOT262276:GPC262300 GYP262276:GYY262300 HIL262276:HIU262300 HSH262276:HSQ262300 ICD262276:ICM262300 ILZ262276:IMI262300 IVV262276:IWE262300 JFR262276:JGA262300 JPN262276:JPW262300 JZJ262276:JZS262300 KJF262276:KJO262300 KTB262276:KTK262300 LCX262276:LDG262300 LMT262276:LNC262300 LWP262276:LWY262300 MGL262276:MGU262300 MQH262276:MQQ262300 NAD262276:NAM262300 NJZ262276:NKI262300 NTV262276:NUE262300 ODR262276:OEA262300 ONN262276:ONW262300 OXJ262276:OXS262300 PHF262276:PHO262300 PRB262276:PRK262300 QAX262276:QBG262300 QKT262276:QLC262300 QUP262276:QUY262300 REL262276:REU262300 ROH262276:ROQ262300 RYD262276:RYM262300 SHZ262276:SII262300 SRV262276:SSE262300 TBR262276:TCA262300 TLN262276:TLW262300 TVJ262276:TVS262300 UFF262276:UFO262300 UPB262276:UPK262300 UYX262276:UZG262300 VIT262276:VJC262300 VSP262276:VSY262300 WCL262276:WCU262300 WMH262276:WMQ262300 WWD262276:WWM262300 V327812:AE327836 JR327812:KA327836 TN327812:TW327836 ADJ327812:ADS327836 ANF327812:ANO327836 AXB327812:AXK327836 BGX327812:BHG327836 BQT327812:BRC327836 CAP327812:CAY327836 CKL327812:CKU327836 CUH327812:CUQ327836 DED327812:DEM327836 DNZ327812:DOI327836 DXV327812:DYE327836 EHR327812:EIA327836 ERN327812:ERW327836 FBJ327812:FBS327836 FLF327812:FLO327836 FVB327812:FVK327836 GEX327812:GFG327836 GOT327812:GPC327836 GYP327812:GYY327836 HIL327812:HIU327836 HSH327812:HSQ327836 ICD327812:ICM327836 ILZ327812:IMI327836 IVV327812:IWE327836 JFR327812:JGA327836 JPN327812:JPW327836 JZJ327812:JZS327836 KJF327812:KJO327836 KTB327812:KTK327836 LCX327812:LDG327836 LMT327812:LNC327836 LWP327812:LWY327836 MGL327812:MGU327836 MQH327812:MQQ327836 NAD327812:NAM327836 NJZ327812:NKI327836 NTV327812:NUE327836 ODR327812:OEA327836 ONN327812:ONW327836 OXJ327812:OXS327836 PHF327812:PHO327836 PRB327812:PRK327836 QAX327812:QBG327836 QKT327812:QLC327836 QUP327812:QUY327836 REL327812:REU327836 ROH327812:ROQ327836 RYD327812:RYM327836 SHZ327812:SII327836 SRV327812:SSE327836 TBR327812:TCA327836 TLN327812:TLW327836 TVJ327812:TVS327836 UFF327812:UFO327836 UPB327812:UPK327836 UYX327812:UZG327836 VIT327812:VJC327836 VSP327812:VSY327836 WCL327812:WCU327836 WMH327812:WMQ327836 WWD327812:WWM327836 V393348:AE393372 JR393348:KA393372 TN393348:TW393372 ADJ393348:ADS393372 ANF393348:ANO393372 AXB393348:AXK393372 BGX393348:BHG393372 BQT393348:BRC393372 CAP393348:CAY393372 CKL393348:CKU393372 CUH393348:CUQ393372 DED393348:DEM393372 DNZ393348:DOI393372 DXV393348:DYE393372 EHR393348:EIA393372 ERN393348:ERW393372 FBJ393348:FBS393372 FLF393348:FLO393372 FVB393348:FVK393372 GEX393348:GFG393372 GOT393348:GPC393372 GYP393348:GYY393372 HIL393348:HIU393372 HSH393348:HSQ393372 ICD393348:ICM393372 ILZ393348:IMI393372 IVV393348:IWE393372 JFR393348:JGA393372 JPN393348:JPW393372 JZJ393348:JZS393372 KJF393348:KJO393372 KTB393348:KTK393372 LCX393348:LDG393372 LMT393348:LNC393372 LWP393348:LWY393372 MGL393348:MGU393372 MQH393348:MQQ393372 NAD393348:NAM393372 NJZ393348:NKI393372 NTV393348:NUE393372 ODR393348:OEA393372 ONN393348:ONW393372 OXJ393348:OXS393372 PHF393348:PHO393372 PRB393348:PRK393372 QAX393348:QBG393372 QKT393348:QLC393372 QUP393348:QUY393372 REL393348:REU393372 ROH393348:ROQ393372 RYD393348:RYM393372 SHZ393348:SII393372 SRV393348:SSE393372 TBR393348:TCA393372 TLN393348:TLW393372 TVJ393348:TVS393372 UFF393348:UFO393372 UPB393348:UPK393372 UYX393348:UZG393372 VIT393348:VJC393372 VSP393348:VSY393372 WCL393348:WCU393372 WMH393348:WMQ393372 WWD393348:WWM393372 V458884:AE458908 JR458884:KA458908 TN458884:TW458908 ADJ458884:ADS458908 ANF458884:ANO458908 AXB458884:AXK458908 BGX458884:BHG458908 BQT458884:BRC458908 CAP458884:CAY458908 CKL458884:CKU458908 CUH458884:CUQ458908 DED458884:DEM458908 DNZ458884:DOI458908 DXV458884:DYE458908 EHR458884:EIA458908 ERN458884:ERW458908 FBJ458884:FBS458908 FLF458884:FLO458908 FVB458884:FVK458908 GEX458884:GFG458908 GOT458884:GPC458908 GYP458884:GYY458908 HIL458884:HIU458908 HSH458884:HSQ458908 ICD458884:ICM458908 ILZ458884:IMI458908 IVV458884:IWE458908 JFR458884:JGA458908 JPN458884:JPW458908 JZJ458884:JZS458908 KJF458884:KJO458908 KTB458884:KTK458908 LCX458884:LDG458908 LMT458884:LNC458908 LWP458884:LWY458908 MGL458884:MGU458908 MQH458884:MQQ458908 NAD458884:NAM458908 NJZ458884:NKI458908 NTV458884:NUE458908 ODR458884:OEA458908 ONN458884:ONW458908 OXJ458884:OXS458908 PHF458884:PHO458908 PRB458884:PRK458908 QAX458884:QBG458908 QKT458884:QLC458908 QUP458884:QUY458908 REL458884:REU458908 ROH458884:ROQ458908 RYD458884:RYM458908 SHZ458884:SII458908 SRV458884:SSE458908 TBR458884:TCA458908 TLN458884:TLW458908 TVJ458884:TVS458908 UFF458884:UFO458908 UPB458884:UPK458908 UYX458884:UZG458908 VIT458884:VJC458908 VSP458884:VSY458908 WCL458884:WCU458908 WMH458884:WMQ458908 WWD458884:WWM458908 V524420:AE524444 JR524420:KA524444 TN524420:TW524444 ADJ524420:ADS524444 ANF524420:ANO524444 AXB524420:AXK524444 BGX524420:BHG524444 BQT524420:BRC524444 CAP524420:CAY524444 CKL524420:CKU524444 CUH524420:CUQ524444 DED524420:DEM524444 DNZ524420:DOI524444 DXV524420:DYE524444 EHR524420:EIA524444 ERN524420:ERW524444 FBJ524420:FBS524444 FLF524420:FLO524444 FVB524420:FVK524444 GEX524420:GFG524444 GOT524420:GPC524444 GYP524420:GYY524444 HIL524420:HIU524444 HSH524420:HSQ524444 ICD524420:ICM524444 ILZ524420:IMI524444 IVV524420:IWE524444 JFR524420:JGA524444 JPN524420:JPW524444 JZJ524420:JZS524444 KJF524420:KJO524444 KTB524420:KTK524444 LCX524420:LDG524444 LMT524420:LNC524444 LWP524420:LWY524444 MGL524420:MGU524444 MQH524420:MQQ524444 NAD524420:NAM524444 NJZ524420:NKI524444 NTV524420:NUE524444 ODR524420:OEA524444 ONN524420:ONW524444 OXJ524420:OXS524444 PHF524420:PHO524444 PRB524420:PRK524444 QAX524420:QBG524444 QKT524420:QLC524444 QUP524420:QUY524444 REL524420:REU524444 ROH524420:ROQ524444 RYD524420:RYM524444 SHZ524420:SII524444 SRV524420:SSE524444 TBR524420:TCA524444 TLN524420:TLW524444 TVJ524420:TVS524444 UFF524420:UFO524444 UPB524420:UPK524444 UYX524420:UZG524444 VIT524420:VJC524444 VSP524420:VSY524444 WCL524420:WCU524444 WMH524420:WMQ524444 WWD524420:WWM524444 V589956:AE589980 JR589956:KA589980 TN589956:TW589980 ADJ589956:ADS589980 ANF589956:ANO589980 AXB589956:AXK589980 BGX589956:BHG589980 BQT589956:BRC589980 CAP589956:CAY589980 CKL589956:CKU589980 CUH589956:CUQ589980 DED589956:DEM589980 DNZ589956:DOI589980 DXV589956:DYE589980 EHR589956:EIA589980 ERN589956:ERW589980 FBJ589956:FBS589980 FLF589956:FLO589980 FVB589956:FVK589980 GEX589956:GFG589980 GOT589956:GPC589980 GYP589956:GYY589980 HIL589956:HIU589980 HSH589956:HSQ589980 ICD589956:ICM589980 ILZ589956:IMI589980 IVV589956:IWE589980 JFR589956:JGA589980 JPN589956:JPW589980 JZJ589956:JZS589980 KJF589956:KJO589980 KTB589956:KTK589980 LCX589956:LDG589980 LMT589956:LNC589980 LWP589956:LWY589980 MGL589956:MGU589980 MQH589956:MQQ589980 NAD589956:NAM589980 NJZ589956:NKI589980 NTV589956:NUE589980 ODR589956:OEA589980 ONN589956:ONW589980 OXJ589956:OXS589980 PHF589956:PHO589980 PRB589956:PRK589980 QAX589956:QBG589980 QKT589956:QLC589980 QUP589956:QUY589980 REL589956:REU589980 ROH589956:ROQ589980 RYD589956:RYM589980 SHZ589956:SII589980 SRV589956:SSE589980 TBR589956:TCA589980 TLN589956:TLW589980 TVJ589956:TVS589980 UFF589956:UFO589980 UPB589956:UPK589980 UYX589956:UZG589980 VIT589956:VJC589980 VSP589956:VSY589980 WCL589956:WCU589980 WMH589956:WMQ589980 WWD589956:WWM589980 V655492:AE655516 JR655492:KA655516 TN655492:TW655516 ADJ655492:ADS655516 ANF655492:ANO655516 AXB655492:AXK655516 BGX655492:BHG655516 BQT655492:BRC655516 CAP655492:CAY655516 CKL655492:CKU655516 CUH655492:CUQ655516 DED655492:DEM655516 DNZ655492:DOI655516 DXV655492:DYE655516 EHR655492:EIA655516 ERN655492:ERW655516 FBJ655492:FBS655516 FLF655492:FLO655516 FVB655492:FVK655516 GEX655492:GFG655516 GOT655492:GPC655516 GYP655492:GYY655516 HIL655492:HIU655516 HSH655492:HSQ655516 ICD655492:ICM655516 ILZ655492:IMI655516 IVV655492:IWE655516 JFR655492:JGA655516 JPN655492:JPW655516 JZJ655492:JZS655516 KJF655492:KJO655516 KTB655492:KTK655516 LCX655492:LDG655516 LMT655492:LNC655516 LWP655492:LWY655516 MGL655492:MGU655516 MQH655492:MQQ655516 NAD655492:NAM655516 NJZ655492:NKI655516 NTV655492:NUE655516 ODR655492:OEA655516 ONN655492:ONW655516 OXJ655492:OXS655516 PHF655492:PHO655516 PRB655492:PRK655516 QAX655492:QBG655516 QKT655492:QLC655516 QUP655492:QUY655516 REL655492:REU655516 ROH655492:ROQ655516 RYD655492:RYM655516 SHZ655492:SII655516 SRV655492:SSE655516 TBR655492:TCA655516 TLN655492:TLW655516 TVJ655492:TVS655516 UFF655492:UFO655516 UPB655492:UPK655516 UYX655492:UZG655516 VIT655492:VJC655516 VSP655492:VSY655516 WCL655492:WCU655516 WMH655492:WMQ655516 WWD655492:WWM655516 V721028:AE721052 JR721028:KA721052 TN721028:TW721052 ADJ721028:ADS721052 ANF721028:ANO721052 AXB721028:AXK721052 BGX721028:BHG721052 BQT721028:BRC721052 CAP721028:CAY721052 CKL721028:CKU721052 CUH721028:CUQ721052 DED721028:DEM721052 DNZ721028:DOI721052 DXV721028:DYE721052 EHR721028:EIA721052 ERN721028:ERW721052 FBJ721028:FBS721052 FLF721028:FLO721052 FVB721028:FVK721052 GEX721028:GFG721052 GOT721028:GPC721052 GYP721028:GYY721052 HIL721028:HIU721052 HSH721028:HSQ721052 ICD721028:ICM721052 ILZ721028:IMI721052 IVV721028:IWE721052 JFR721028:JGA721052 JPN721028:JPW721052 JZJ721028:JZS721052 KJF721028:KJO721052 KTB721028:KTK721052 LCX721028:LDG721052 LMT721028:LNC721052 LWP721028:LWY721052 MGL721028:MGU721052 MQH721028:MQQ721052 NAD721028:NAM721052 NJZ721028:NKI721052 NTV721028:NUE721052 ODR721028:OEA721052 ONN721028:ONW721052 OXJ721028:OXS721052 PHF721028:PHO721052 PRB721028:PRK721052 QAX721028:QBG721052 QKT721028:QLC721052 QUP721028:QUY721052 REL721028:REU721052 ROH721028:ROQ721052 RYD721028:RYM721052 SHZ721028:SII721052 SRV721028:SSE721052 TBR721028:TCA721052 TLN721028:TLW721052 TVJ721028:TVS721052 UFF721028:UFO721052 UPB721028:UPK721052 UYX721028:UZG721052 VIT721028:VJC721052 VSP721028:VSY721052 WCL721028:WCU721052 WMH721028:WMQ721052 WWD721028:WWM721052 V786564:AE786588 JR786564:KA786588 TN786564:TW786588 ADJ786564:ADS786588 ANF786564:ANO786588 AXB786564:AXK786588 BGX786564:BHG786588 BQT786564:BRC786588 CAP786564:CAY786588 CKL786564:CKU786588 CUH786564:CUQ786588 DED786564:DEM786588 DNZ786564:DOI786588 DXV786564:DYE786588 EHR786564:EIA786588 ERN786564:ERW786588 FBJ786564:FBS786588 FLF786564:FLO786588 FVB786564:FVK786588 GEX786564:GFG786588 GOT786564:GPC786588 GYP786564:GYY786588 HIL786564:HIU786588 HSH786564:HSQ786588 ICD786564:ICM786588 ILZ786564:IMI786588 IVV786564:IWE786588 JFR786564:JGA786588 JPN786564:JPW786588 JZJ786564:JZS786588 KJF786564:KJO786588 KTB786564:KTK786588 LCX786564:LDG786588 LMT786564:LNC786588 LWP786564:LWY786588 MGL786564:MGU786588 MQH786564:MQQ786588 NAD786564:NAM786588 NJZ786564:NKI786588 NTV786564:NUE786588 ODR786564:OEA786588 ONN786564:ONW786588 OXJ786564:OXS786588 PHF786564:PHO786588 PRB786564:PRK786588 QAX786564:QBG786588 QKT786564:QLC786588 QUP786564:QUY786588 REL786564:REU786588 ROH786564:ROQ786588 RYD786564:RYM786588 SHZ786564:SII786588 SRV786564:SSE786588 TBR786564:TCA786588 TLN786564:TLW786588 TVJ786564:TVS786588 UFF786564:UFO786588 UPB786564:UPK786588 UYX786564:UZG786588 VIT786564:VJC786588 VSP786564:VSY786588 WCL786564:WCU786588 WMH786564:WMQ786588 WWD786564:WWM786588 V852100:AE852124 JR852100:KA852124 TN852100:TW852124 ADJ852100:ADS852124 ANF852100:ANO852124 AXB852100:AXK852124 BGX852100:BHG852124 BQT852100:BRC852124 CAP852100:CAY852124 CKL852100:CKU852124 CUH852100:CUQ852124 DED852100:DEM852124 DNZ852100:DOI852124 DXV852100:DYE852124 EHR852100:EIA852124 ERN852100:ERW852124 FBJ852100:FBS852124 FLF852100:FLO852124 FVB852100:FVK852124 GEX852100:GFG852124 GOT852100:GPC852124 GYP852100:GYY852124 HIL852100:HIU852124 HSH852100:HSQ852124 ICD852100:ICM852124 ILZ852100:IMI852124 IVV852100:IWE852124 JFR852100:JGA852124 JPN852100:JPW852124 JZJ852100:JZS852124 KJF852100:KJO852124 KTB852100:KTK852124 LCX852100:LDG852124 LMT852100:LNC852124 LWP852100:LWY852124 MGL852100:MGU852124 MQH852100:MQQ852124 NAD852100:NAM852124 NJZ852100:NKI852124 NTV852100:NUE852124 ODR852100:OEA852124 ONN852100:ONW852124 OXJ852100:OXS852124 PHF852100:PHO852124 PRB852100:PRK852124 QAX852100:QBG852124 QKT852100:QLC852124 QUP852100:QUY852124 REL852100:REU852124 ROH852100:ROQ852124 RYD852100:RYM852124 SHZ852100:SII852124 SRV852100:SSE852124 TBR852100:TCA852124 TLN852100:TLW852124 TVJ852100:TVS852124 UFF852100:UFO852124 UPB852100:UPK852124 UYX852100:UZG852124 VIT852100:VJC852124 VSP852100:VSY852124 WCL852100:WCU852124 WMH852100:WMQ852124 WWD852100:WWM852124 V917636:AE917660 JR917636:KA917660 TN917636:TW917660 ADJ917636:ADS917660 ANF917636:ANO917660 AXB917636:AXK917660 BGX917636:BHG917660 BQT917636:BRC917660 CAP917636:CAY917660 CKL917636:CKU917660 CUH917636:CUQ917660 DED917636:DEM917660 DNZ917636:DOI917660 DXV917636:DYE917660 EHR917636:EIA917660 ERN917636:ERW917660 FBJ917636:FBS917660 FLF917636:FLO917660 FVB917636:FVK917660 GEX917636:GFG917660 GOT917636:GPC917660 GYP917636:GYY917660 HIL917636:HIU917660 HSH917636:HSQ917660 ICD917636:ICM917660 ILZ917636:IMI917660 IVV917636:IWE917660 JFR917636:JGA917660 JPN917636:JPW917660 JZJ917636:JZS917660 KJF917636:KJO917660 KTB917636:KTK917660 LCX917636:LDG917660 LMT917636:LNC917660 LWP917636:LWY917660 MGL917636:MGU917660 MQH917636:MQQ917660 NAD917636:NAM917660 NJZ917636:NKI917660 NTV917636:NUE917660 ODR917636:OEA917660 ONN917636:ONW917660 OXJ917636:OXS917660 PHF917636:PHO917660 PRB917636:PRK917660 QAX917636:QBG917660 QKT917636:QLC917660 QUP917636:QUY917660 REL917636:REU917660 ROH917636:ROQ917660 RYD917636:RYM917660 SHZ917636:SII917660 SRV917636:SSE917660 TBR917636:TCA917660 TLN917636:TLW917660 TVJ917636:TVS917660 UFF917636:UFO917660 UPB917636:UPK917660 UYX917636:UZG917660 VIT917636:VJC917660 VSP917636:VSY917660 WCL917636:WCU917660 WMH917636:WMQ917660 WWD917636:WWM917660 V983172:AE983196 JR983172:KA983196 TN983172:TW983196 ADJ983172:ADS983196 ANF983172:ANO983196 AXB983172:AXK983196 BGX983172:BHG983196 BQT983172:BRC983196 CAP983172:CAY983196 CKL983172:CKU983196 CUH983172:CUQ983196 DED983172:DEM983196 DNZ983172:DOI983196 DXV983172:DYE983196 EHR983172:EIA983196 ERN983172:ERW983196 FBJ983172:FBS983196 FLF983172:FLO983196 FVB983172:FVK983196 GEX983172:GFG983196 GOT983172:GPC983196 GYP983172:GYY983196 HIL983172:HIU983196 HSH983172:HSQ983196 ICD983172:ICM983196 ILZ983172:IMI983196 IVV983172:IWE983196 JFR983172:JGA983196 JPN983172:JPW983196 JZJ983172:JZS983196 KJF983172:KJO983196 KTB983172:KTK983196 LCX983172:LDG983196 LMT983172:LNC983196 LWP983172:LWY983196 MGL983172:MGU983196 MQH983172:MQQ983196 NAD983172:NAM983196 NJZ983172:NKI983196 NTV983172:NUE983196 ODR983172:OEA983196 ONN983172:ONW983196 OXJ983172:OXS983196 PHF983172:PHO983196 PRB983172:PRK983196 QAX983172:QBG983196 QKT983172:QLC983196 QUP983172:QUY983196 REL983172:REU983196 ROH983172:ROQ983196 RYD983172:RYM983196 SHZ983172:SII983196 SRV983172:SSE983196 TBR983172:TCA983196 TLN983172:TLW983196 TVJ983172:TVS983196 UFF983172:UFO983196 UPB983172:UPK983196 UYX983172:UZG983196 VIT983172:VJC983196 VSP983172:VSY983196 WCL983172:WCU983196 WMH983172:WMQ983196 WWD983172:WWM983196 K151:L156 JG151:JH156 TC151:TD156 ACY151:ACZ156 AMU151:AMV156 AWQ151:AWR156 BGM151:BGN156 BQI151:BQJ156 CAE151:CAF156 CKA151:CKB156 CTW151:CTX156 DDS151:DDT156 DNO151:DNP156 DXK151:DXL156 EHG151:EHH156 ERC151:ERD156 FAY151:FAZ156 FKU151:FKV156 FUQ151:FUR156 GEM151:GEN156 GOI151:GOJ156 GYE151:GYF156 HIA151:HIB156 HRW151:HRX156 IBS151:IBT156 ILO151:ILP156 IVK151:IVL156 JFG151:JFH156 JPC151:JPD156 JYY151:JYZ156 KIU151:KIV156 KSQ151:KSR156 LCM151:LCN156 LMI151:LMJ156 LWE151:LWF156 MGA151:MGB156 MPW151:MPX156 MZS151:MZT156 NJO151:NJP156 NTK151:NTL156 ODG151:ODH156 ONC151:OND156 OWY151:OWZ156 PGU151:PGV156 PQQ151:PQR156 QAM151:QAN156 QKI151:QKJ156 QUE151:QUF156 REA151:REB156 RNW151:RNX156 RXS151:RXT156 SHO151:SHP156 SRK151:SRL156 TBG151:TBH156 TLC151:TLD156 TUY151:TUZ156 UEU151:UEV156 UOQ151:UOR156 UYM151:UYN156 VII151:VIJ156 VSE151:VSF156 WCA151:WCB156 WLW151:WLX156 WVS151:WVT156 K65687:L65692 JG65687:JH65692 TC65687:TD65692 ACY65687:ACZ65692 AMU65687:AMV65692 AWQ65687:AWR65692 BGM65687:BGN65692 BQI65687:BQJ65692 CAE65687:CAF65692 CKA65687:CKB65692 CTW65687:CTX65692 DDS65687:DDT65692 DNO65687:DNP65692 DXK65687:DXL65692 EHG65687:EHH65692 ERC65687:ERD65692 FAY65687:FAZ65692 FKU65687:FKV65692 FUQ65687:FUR65692 GEM65687:GEN65692 GOI65687:GOJ65692 GYE65687:GYF65692 HIA65687:HIB65692 HRW65687:HRX65692 IBS65687:IBT65692 ILO65687:ILP65692 IVK65687:IVL65692 JFG65687:JFH65692 JPC65687:JPD65692 JYY65687:JYZ65692 KIU65687:KIV65692 KSQ65687:KSR65692 LCM65687:LCN65692 LMI65687:LMJ65692 LWE65687:LWF65692 MGA65687:MGB65692 MPW65687:MPX65692 MZS65687:MZT65692 NJO65687:NJP65692 NTK65687:NTL65692 ODG65687:ODH65692 ONC65687:OND65692 OWY65687:OWZ65692 PGU65687:PGV65692 PQQ65687:PQR65692 QAM65687:QAN65692 QKI65687:QKJ65692 QUE65687:QUF65692 REA65687:REB65692 RNW65687:RNX65692 RXS65687:RXT65692 SHO65687:SHP65692 SRK65687:SRL65692 TBG65687:TBH65692 TLC65687:TLD65692 TUY65687:TUZ65692 UEU65687:UEV65692 UOQ65687:UOR65692 UYM65687:UYN65692 VII65687:VIJ65692 VSE65687:VSF65692 WCA65687:WCB65692 WLW65687:WLX65692 WVS65687:WVT65692 K131223:L131228 JG131223:JH131228 TC131223:TD131228 ACY131223:ACZ131228 AMU131223:AMV131228 AWQ131223:AWR131228 BGM131223:BGN131228 BQI131223:BQJ131228 CAE131223:CAF131228 CKA131223:CKB131228 CTW131223:CTX131228 DDS131223:DDT131228 DNO131223:DNP131228 DXK131223:DXL131228 EHG131223:EHH131228 ERC131223:ERD131228 FAY131223:FAZ131228 FKU131223:FKV131228 FUQ131223:FUR131228 GEM131223:GEN131228 GOI131223:GOJ131228 GYE131223:GYF131228 HIA131223:HIB131228 HRW131223:HRX131228 IBS131223:IBT131228 ILO131223:ILP131228 IVK131223:IVL131228 JFG131223:JFH131228 JPC131223:JPD131228 JYY131223:JYZ131228 KIU131223:KIV131228 KSQ131223:KSR131228 LCM131223:LCN131228 LMI131223:LMJ131228 LWE131223:LWF131228 MGA131223:MGB131228 MPW131223:MPX131228 MZS131223:MZT131228 NJO131223:NJP131228 NTK131223:NTL131228 ODG131223:ODH131228 ONC131223:OND131228 OWY131223:OWZ131228 PGU131223:PGV131228 PQQ131223:PQR131228 QAM131223:QAN131228 QKI131223:QKJ131228 QUE131223:QUF131228 REA131223:REB131228 RNW131223:RNX131228 RXS131223:RXT131228 SHO131223:SHP131228 SRK131223:SRL131228 TBG131223:TBH131228 TLC131223:TLD131228 TUY131223:TUZ131228 UEU131223:UEV131228 UOQ131223:UOR131228 UYM131223:UYN131228 VII131223:VIJ131228 VSE131223:VSF131228 WCA131223:WCB131228 WLW131223:WLX131228 WVS131223:WVT131228 K196759:L196764 JG196759:JH196764 TC196759:TD196764 ACY196759:ACZ196764 AMU196759:AMV196764 AWQ196759:AWR196764 BGM196759:BGN196764 BQI196759:BQJ196764 CAE196759:CAF196764 CKA196759:CKB196764 CTW196759:CTX196764 DDS196759:DDT196764 DNO196759:DNP196764 DXK196759:DXL196764 EHG196759:EHH196764 ERC196759:ERD196764 FAY196759:FAZ196764 FKU196759:FKV196764 FUQ196759:FUR196764 GEM196759:GEN196764 GOI196759:GOJ196764 GYE196759:GYF196764 HIA196759:HIB196764 HRW196759:HRX196764 IBS196759:IBT196764 ILO196759:ILP196764 IVK196759:IVL196764 JFG196759:JFH196764 JPC196759:JPD196764 JYY196759:JYZ196764 KIU196759:KIV196764 KSQ196759:KSR196764 LCM196759:LCN196764 LMI196759:LMJ196764 LWE196759:LWF196764 MGA196759:MGB196764 MPW196759:MPX196764 MZS196759:MZT196764 NJO196759:NJP196764 NTK196759:NTL196764 ODG196759:ODH196764 ONC196759:OND196764 OWY196759:OWZ196764 PGU196759:PGV196764 PQQ196759:PQR196764 QAM196759:QAN196764 QKI196759:QKJ196764 QUE196759:QUF196764 REA196759:REB196764 RNW196759:RNX196764 RXS196759:RXT196764 SHO196759:SHP196764 SRK196759:SRL196764 TBG196759:TBH196764 TLC196759:TLD196764 TUY196759:TUZ196764 UEU196759:UEV196764 UOQ196759:UOR196764 UYM196759:UYN196764 VII196759:VIJ196764 VSE196759:VSF196764 WCA196759:WCB196764 WLW196759:WLX196764 WVS196759:WVT196764 K262295:L262300 JG262295:JH262300 TC262295:TD262300 ACY262295:ACZ262300 AMU262295:AMV262300 AWQ262295:AWR262300 BGM262295:BGN262300 BQI262295:BQJ262300 CAE262295:CAF262300 CKA262295:CKB262300 CTW262295:CTX262300 DDS262295:DDT262300 DNO262295:DNP262300 DXK262295:DXL262300 EHG262295:EHH262300 ERC262295:ERD262300 FAY262295:FAZ262300 FKU262295:FKV262300 FUQ262295:FUR262300 GEM262295:GEN262300 GOI262295:GOJ262300 GYE262295:GYF262300 HIA262295:HIB262300 HRW262295:HRX262300 IBS262295:IBT262300 ILO262295:ILP262300 IVK262295:IVL262300 JFG262295:JFH262300 JPC262295:JPD262300 JYY262295:JYZ262300 KIU262295:KIV262300 KSQ262295:KSR262300 LCM262295:LCN262300 LMI262295:LMJ262300 LWE262295:LWF262300 MGA262295:MGB262300 MPW262295:MPX262300 MZS262295:MZT262300 NJO262295:NJP262300 NTK262295:NTL262300 ODG262295:ODH262300 ONC262295:OND262300 OWY262295:OWZ262300 PGU262295:PGV262300 PQQ262295:PQR262300 QAM262295:QAN262300 QKI262295:QKJ262300 QUE262295:QUF262300 REA262295:REB262300 RNW262295:RNX262300 RXS262295:RXT262300 SHO262295:SHP262300 SRK262295:SRL262300 TBG262295:TBH262300 TLC262295:TLD262300 TUY262295:TUZ262300 UEU262295:UEV262300 UOQ262295:UOR262300 UYM262295:UYN262300 VII262295:VIJ262300 VSE262295:VSF262300 WCA262295:WCB262300 WLW262295:WLX262300 WVS262295:WVT262300 K327831:L327836 JG327831:JH327836 TC327831:TD327836 ACY327831:ACZ327836 AMU327831:AMV327836 AWQ327831:AWR327836 BGM327831:BGN327836 BQI327831:BQJ327836 CAE327831:CAF327836 CKA327831:CKB327836 CTW327831:CTX327836 DDS327831:DDT327836 DNO327831:DNP327836 DXK327831:DXL327836 EHG327831:EHH327836 ERC327831:ERD327836 FAY327831:FAZ327836 FKU327831:FKV327836 FUQ327831:FUR327836 GEM327831:GEN327836 GOI327831:GOJ327836 GYE327831:GYF327836 HIA327831:HIB327836 HRW327831:HRX327836 IBS327831:IBT327836 ILO327831:ILP327836 IVK327831:IVL327836 JFG327831:JFH327836 JPC327831:JPD327836 JYY327831:JYZ327836 KIU327831:KIV327836 KSQ327831:KSR327836 LCM327831:LCN327836 LMI327831:LMJ327836 LWE327831:LWF327836 MGA327831:MGB327836 MPW327831:MPX327836 MZS327831:MZT327836 NJO327831:NJP327836 NTK327831:NTL327836 ODG327831:ODH327836 ONC327831:OND327836 OWY327831:OWZ327836 PGU327831:PGV327836 PQQ327831:PQR327836 QAM327831:QAN327836 QKI327831:QKJ327836 QUE327831:QUF327836 REA327831:REB327836 RNW327831:RNX327836 RXS327831:RXT327836 SHO327831:SHP327836 SRK327831:SRL327836 TBG327831:TBH327836 TLC327831:TLD327836 TUY327831:TUZ327836 UEU327831:UEV327836 UOQ327831:UOR327836 UYM327831:UYN327836 VII327831:VIJ327836 VSE327831:VSF327836 WCA327831:WCB327836 WLW327831:WLX327836 WVS327831:WVT327836 K393367:L393372 JG393367:JH393372 TC393367:TD393372 ACY393367:ACZ393372 AMU393367:AMV393372 AWQ393367:AWR393372 BGM393367:BGN393372 BQI393367:BQJ393372 CAE393367:CAF393372 CKA393367:CKB393372 CTW393367:CTX393372 DDS393367:DDT393372 DNO393367:DNP393372 DXK393367:DXL393372 EHG393367:EHH393372 ERC393367:ERD393372 FAY393367:FAZ393372 FKU393367:FKV393372 FUQ393367:FUR393372 GEM393367:GEN393372 GOI393367:GOJ393372 GYE393367:GYF393372 HIA393367:HIB393372 HRW393367:HRX393372 IBS393367:IBT393372 ILO393367:ILP393372 IVK393367:IVL393372 JFG393367:JFH393372 JPC393367:JPD393372 JYY393367:JYZ393372 KIU393367:KIV393372 KSQ393367:KSR393372 LCM393367:LCN393372 LMI393367:LMJ393372 LWE393367:LWF393372 MGA393367:MGB393372 MPW393367:MPX393372 MZS393367:MZT393372 NJO393367:NJP393372 NTK393367:NTL393372 ODG393367:ODH393372 ONC393367:OND393372 OWY393367:OWZ393372 PGU393367:PGV393372 PQQ393367:PQR393372 QAM393367:QAN393372 QKI393367:QKJ393372 QUE393367:QUF393372 REA393367:REB393372 RNW393367:RNX393372 RXS393367:RXT393372 SHO393367:SHP393372 SRK393367:SRL393372 TBG393367:TBH393372 TLC393367:TLD393372 TUY393367:TUZ393372 UEU393367:UEV393372 UOQ393367:UOR393372 UYM393367:UYN393372 VII393367:VIJ393372 VSE393367:VSF393372 WCA393367:WCB393372 WLW393367:WLX393372 WVS393367:WVT393372 K458903:L458908 JG458903:JH458908 TC458903:TD458908 ACY458903:ACZ458908 AMU458903:AMV458908 AWQ458903:AWR458908 BGM458903:BGN458908 BQI458903:BQJ458908 CAE458903:CAF458908 CKA458903:CKB458908 CTW458903:CTX458908 DDS458903:DDT458908 DNO458903:DNP458908 DXK458903:DXL458908 EHG458903:EHH458908 ERC458903:ERD458908 FAY458903:FAZ458908 FKU458903:FKV458908 FUQ458903:FUR458908 GEM458903:GEN458908 GOI458903:GOJ458908 GYE458903:GYF458908 HIA458903:HIB458908 HRW458903:HRX458908 IBS458903:IBT458908 ILO458903:ILP458908 IVK458903:IVL458908 JFG458903:JFH458908 JPC458903:JPD458908 JYY458903:JYZ458908 KIU458903:KIV458908 KSQ458903:KSR458908 LCM458903:LCN458908 LMI458903:LMJ458908 LWE458903:LWF458908 MGA458903:MGB458908 MPW458903:MPX458908 MZS458903:MZT458908 NJO458903:NJP458908 NTK458903:NTL458908 ODG458903:ODH458908 ONC458903:OND458908 OWY458903:OWZ458908 PGU458903:PGV458908 PQQ458903:PQR458908 QAM458903:QAN458908 QKI458903:QKJ458908 QUE458903:QUF458908 REA458903:REB458908 RNW458903:RNX458908 RXS458903:RXT458908 SHO458903:SHP458908 SRK458903:SRL458908 TBG458903:TBH458908 TLC458903:TLD458908 TUY458903:TUZ458908 UEU458903:UEV458908 UOQ458903:UOR458908 UYM458903:UYN458908 VII458903:VIJ458908 VSE458903:VSF458908 WCA458903:WCB458908 WLW458903:WLX458908 WVS458903:WVT458908 K524439:L524444 JG524439:JH524444 TC524439:TD524444 ACY524439:ACZ524444 AMU524439:AMV524444 AWQ524439:AWR524444 BGM524439:BGN524444 BQI524439:BQJ524444 CAE524439:CAF524444 CKA524439:CKB524444 CTW524439:CTX524444 DDS524439:DDT524444 DNO524439:DNP524444 DXK524439:DXL524444 EHG524439:EHH524444 ERC524439:ERD524444 FAY524439:FAZ524444 FKU524439:FKV524444 FUQ524439:FUR524444 GEM524439:GEN524444 GOI524439:GOJ524444 GYE524439:GYF524444 HIA524439:HIB524444 HRW524439:HRX524444 IBS524439:IBT524444 ILO524439:ILP524444 IVK524439:IVL524444 JFG524439:JFH524444 JPC524439:JPD524444 JYY524439:JYZ524444 KIU524439:KIV524444 KSQ524439:KSR524444 LCM524439:LCN524444 LMI524439:LMJ524444 LWE524439:LWF524444 MGA524439:MGB524444 MPW524439:MPX524444 MZS524439:MZT524444 NJO524439:NJP524444 NTK524439:NTL524444 ODG524439:ODH524444 ONC524439:OND524444 OWY524439:OWZ524444 PGU524439:PGV524444 PQQ524439:PQR524444 QAM524439:QAN524444 QKI524439:QKJ524444 QUE524439:QUF524444 REA524439:REB524444 RNW524439:RNX524444 RXS524439:RXT524444 SHO524439:SHP524444 SRK524439:SRL524444 TBG524439:TBH524444 TLC524439:TLD524444 TUY524439:TUZ524444 UEU524439:UEV524444 UOQ524439:UOR524444 UYM524439:UYN524444 VII524439:VIJ524444 VSE524439:VSF524444 WCA524439:WCB524444 WLW524439:WLX524444 WVS524439:WVT524444 K589975:L589980 JG589975:JH589980 TC589975:TD589980 ACY589975:ACZ589980 AMU589975:AMV589980 AWQ589975:AWR589980 BGM589975:BGN589980 BQI589975:BQJ589980 CAE589975:CAF589980 CKA589975:CKB589980 CTW589975:CTX589980 DDS589975:DDT589980 DNO589975:DNP589980 DXK589975:DXL589980 EHG589975:EHH589980 ERC589975:ERD589980 FAY589975:FAZ589980 FKU589975:FKV589980 FUQ589975:FUR589980 GEM589975:GEN589980 GOI589975:GOJ589980 GYE589975:GYF589980 HIA589975:HIB589980 HRW589975:HRX589980 IBS589975:IBT589980 ILO589975:ILP589980 IVK589975:IVL589980 JFG589975:JFH589980 JPC589975:JPD589980 JYY589975:JYZ589980 KIU589975:KIV589980 KSQ589975:KSR589980 LCM589975:LCN589980 LMI589975:LMJ589980 LWE589975:LWF589980 MGA589975:MGB589980 MPW589975:MPX589980 MZS589975:MZT589980 NJO589975:NJP589980 NTK589975:NTL589980 ODG589975:ODH589980 ONC589975:OND589980 OWY589975:OWZ589980 PGU589975:PGV589980 PQQ589975:PQR589980 QAM589975:QAN589980 QKI589975:QKJ589980 QUE589975:QUF589980 REA589975:REB589980 RNW589975:RNX589980 RXS589975:RXT589980 SHO589975:SHP589980 SRK589975:SRL589980 TBG589975:TBH589980 TLC589975:TLD589980 TUY589975:TUZ589980 UEU589975:UEV589980 UOQ589975:UOR589980 UYM589975:UYN589980 VII589975:VIJ589980 VSE589975:VSF589980 WCA589975:WCB589980 WLW589975:WLX589980 WVS589975:WVT589980 K655511:L655516 JG655511:JH655516 TC655511:TD655516 ACY655511:ACZ655516 AMU655511:AMV655516 AWQ655511:AWR655516 BGM655511:BGN655516 BQI655511:BQJ655516 CAE655511:CAF655516 CKA655511:CKB655516 CTW655511:CTX655516 DDS655511:DDT655516 DNO655511:DNP655516 DXK655511:DXL655516 EHG655511:EHH655516 ERC655511:ERD655516 FAY655511:FAZ655516 FKU655511:FKV655516 FUQ655511:FUR655516 GEM655511:GEN655516 GOI655511:GOJ655516 GYE655511:GYF655516 HIA655511:HIB655516 HRW655511:HRX655516 IBS655511:IBT655516 ILO655511:ILP655516 IVK655511:IVL655516 JFG655511:JFH655516 JPC655511:JPD655516 JYY655511:JYZ655516 KIU655511:KIV655516 KSQ655511:KSR655516 LCM655511:LCN655516 LMI655511:LMJ655516 LWE655511:LWF655516 MGA655511:MGB655516 MPW655511:MPX655516 MZS655511:MZT655516 NJO655511:NJP655516 NTK655511:NTL655516 ODG655511:ODH655516 ONC655511:OND655516 OWY655511:OWZ655516 PGU655511:PGV655516 PQQ655511:PQR655516 QAM655511:QAN655516 QKI655511:QKJ655516 QUE655511:QUF655516 REA655511:REB655516 RNW655511:RNX655516 RXS655511:RXT655516 SHO655511:SHP655516 SRK655511:SRL655516 TBG655511:TBH655516 TLC655511:TLD655516 TUY655511:TUZ655516 UEU655511:UEV655516 UOQ655511:UOR655516 UYM655511:UYN655516 VII655511:VIJ655516 VSE655511:VSF655516 WCA655511:WCB655516 WLW655511:WLX655516 WVS655511:WVT655516 K721047:L721052 JG721047:JH721052 TC721047:TD721052 ACY721047:ACZ721052 AMU721047:AMV721052 AWQ721047:AWR721052 BGM721047:BGN721052 BQI721047:BQJ721052 CAE721047:CAF721052 CKA721047:CKB721052 CTW721047:CTX721052 DDS721047:DDT721052 DNO721047:DNP721052 DXK721047:DXL721052 EHG721047:EHH721052 ERC721047:ERD721052 FAY721047:FAZ721052 FKU721047:FKV721052 FUQ721047:FUR721052 GEM721047:GEN721052 GOI721047:GOJ721052 GYE721047:GYF721052 HIA721047:HIB721052 HRW721047:HRX721052 IBS721047:IBT721052 ILO721047:ILP721052 IVK721047:IVL721052 JFG721047:JFH721052 JPC721047:JPD721052 JYY721047:JYZ721052 KIU721047:KIV721052 KSQ721047:KSR721052 LCM721047:LCN721052 LMI721047:LMJ721052 LWE721047:LWF721052 MGA721047:MGB721052 MPW721047:MPX721052 MZS721047:MZT721052 NJO721047:NJP721052 NTK721047:NTL721052 ODG721047:ODH721052 ONC721047:OND721052 OWY721047:OWZ721052 PGU721047:PGV721052 PQQ721047:PQR721052 QAM721047:QAN721052 QKI721047:QKJ721052 QUE721047:QUF721052 REA721047:REB721052 RNW721047:RNX721052 RXS721047:RXT721052 SHO721047:SHP721052 SRK721047:SRL721052 TBG721047:TBH721052 TLC721047:TLD721052 TUY721047:TUZ721052 UEU721047:UEV721052 UOQ721047:UOR721052 UYM721047:UYN721052 VII721047:VIJ721052 VSE721047:VSF721052 WCA721047:WCB721052 WLW721047:WLX721052 WVS721047:WVT721052 K786583:L786588 JG786583:JH786588 TC786583:TD786588 ACY786583:ACZ786588 AMU786583:AMV786588 AWQ786583:AWR786588 BGM786583:BGN786588 BQI786583:BQJ786588 CAE786583:CAF786588 CKA786583:CKB786588 CTW786583:CTX786588 DDS786583:DDT786588 DNO786583:DNP786588 DXK786583:DXL786588 EHG786583:EHH786588 ERC786583:ERD786588 FAY786583:FAZ786588 FKU786583:FKV786588 FUQ786583:FUR786588 GEM786583:GEN786588 GOI786583:GOJ786588 GYE786583:GYF786588 HIA786583:HIB786588 HRW786583:HRX786588 IBS786583:IBT786588 ILO786583:ILP786588 IVK786583:IVL786588 JFG786583:JFH786588 JPC786583:JPD786588 JYY786583:JYZ786588 KIU786583:KIV786588 KSQ786583:KSR786588 LCM786583:LCN786588 LMI786583:LMJ786588 LWE786583:LWF786588 MGA786583:MGB786588 MPW786583:MPX786588 MZS786583:MZT786588 NJO786583:NJP786588 NTK786583:NTL786588 ODG786583:ODH786588 ONC786583:OND786588 OWY786583:OWZ786588 PGU786583:PGV786588 PQQ786583:PQR786588 QAM786583:QAN786588 QKI786583:QKJ786588 QUE786583:QUF786588 REA786583:REB786588 RNW786583:RNX786588 RXS786583:RXT786588 SHO786583:SHP786588 SRK786583:SRL786588 TBG786583:TBH786588 TLC786583:TLD786588 TUY786583:TUZ786588 UEU786583:UEV786588 UOQ786583:UOR786588 UYM786583:UYN786588 VII786583:VIJ786588 VSE786583:VSF786588 WCA786583:WCB786588 WLW786583:WLX786588 WVS786583:WVT786588 K852119:L852124 JG852119:JH852124 TC852119:TD852124 ACY852119:ACZ852124 AMU852119:AMV852124 AWQ852119:AWR852124 BGM852119:BGN852124 BQI852119:BQJ852124 CAE852119:CAF852124 CKA852119:CKB852124 CTW852119:CTX852124 DDS852119:DDT852124 DNO852119:DNP852124 DXK852119:DXL852124 EHG852119:EHH852124 ERC852119:ERD852124 FAY852119:FAZ852124 FKU852119:FKV852124 FUQ852119:FUR852124 GEM852119:GEN852124 GOI852119:GOJ852124 GYE852119:GYF852124 HIA852119:HIB852124 HRW852119:HRX852124 IBS852119:IBT852124 ILO852119:ILP852124 IVK852119:IVL852124 JFG852119:JFH852124 JPC852119:JPD852124 JYY852119:JYZ852124 KIU852119:KIV852124 KSQ852119:KSR852124 LCM852119:LCN852124 LMI852119:LMJ852124 LWE852119:LWF852124 MGA852119:MGB852124 MPW852119:MPX852124 MZS852119:MZT852124 NJO852119:NJP852124 NTK852119:NTL852124 ODG852119:ODH852124 ONC852119:OND852124 OWY852119:OWZ852124 PGU852119:PGV852124 PQQ852119:PQR852124 QAM852119:QAN852124 QKI852119:QKJ852124 QUE852119:QUF852124 REA852119:REB852124 RNW852119:RNX852124 RXS852119:RXT852124 SHO852119:SHP852124 SRK852119:SRL852124 TBG852119:TBH852124 TLC852119:TLD852124 TUY852119:TUZ852124 UEU852119:UEV852124 UOQ852119:UOR852124 UYM852119:UYN852124 VII852119:VIJ852124 VSE852119:VSF852124 WCA852119:WCB852124 WLW852119:WLX852124 WVS852119:WVT852124 K917655:L917660 JG917655:JH917660 TC917655:TD917660 ACY917655:ACZ917660 AMU917655:AMV917660 AWQ917655:AWR917660 BGM917655:BGN917660 BQI917655:BQJ917660 CAE917655:CAF917660 CKA917655:CKB917660 CTW917655:CTX917660 DDS917655:DDT917660 DNO917655:DNP917660 DXK917655:DXL917660 EHG917655:EHH917660 ERC917655:ERD917660 FAY917655:FAZ917660 FKU917655:FKV917660 FUQ917655:FUR917660 GEM917655:GEN917660 GOI917655:GOJ917660 GYE917655:GYF917660 HIA917655:HIB917660 HRW917655:HRX917660 IBS917655:IBT917660 ILO917655:ILP917660 IVK917655:IVL917660 JFG917655:JFH917660 JPC917655:JPD917660 JYY917655:JYZ917660 KIU917655:KIV917660 KSQ917655:KSR917660 LCM917655:LCN917660 LMI917655:LMJ917660 LWE917655:LWF917660 MGA917655:MGB917660 MPW917655:MPX917660 MZS917655:MZT917660 NJO917655:NJP917660 NTK917655:NTL917660 ODG917655:ODH917660 ONC917655:OND917660 OWY917655:OWZ917660 PGU917655:PGV917660 PQQ917655:PQR917660 QAM917655:QAN917660 QKI917655:QKJ917660 QUE917655:QUF917660 REA917655:REB917660 RNW917655:RNX917660 RXS917655:RXT917660 SHO917655:SHP917660 SRK917655:SRL917660 TBG917655:TBH917660 TLC917655:TLD917660 TUY917655:TUZ917660 UEU917655:UEV917660 UOQ917655:UOR917660 UYM917655:UYN917660 VII917655:VIJ917660 VSE917655:VSF917660 WCA917655:WCB917660 WLW917655:WLX917660 WVS917655:WVT917660 K983191:L983196 JG983191:JH983196 TC983191:TD983196 ACY983191:ACZ983196 AMU983191:AMV983196 AWQ983191:AWR983196 BGM983191:BGN983196 BQI983191:BQJ983196 CAE983191:CAF983196 CKA983191:CKB983196 CTW983191:CTX983196 DDS983191:DDT983196 DNO983191:DNP983196 DXK983191:DXL983196 EHG983191:EHH983196 ERC983191:ERD983196 FAY983191:FAZ983196 FKU983191:FKV983196 FUQ983191:FUR983196 GEM983191:GEN983196 GOI983191:GOJ983196 GYE983191:GYF983196 HIA983191:HIB983196 HRW983191:HRX983196 IBS983191:IBT983196 ILO983191:ILP983196 IVK983191:IVL983196 JFG983191:JFH983196 JPC983191:JPD983196 JYY983191:JYZ983196 KIU983191:KIV983196 KSQ983191:KSR983196 LCM983191:LCN983196 LMI983191:LMJ983196 LWE983191:LWF983196 MGA983191:MGB983196 MPW983191:MPX983196 MZS983191:MZT983196 NJO983191:NJP983196 NTK983191:NTL983196 ODG983191:ODH983196 ONC983191:OND983196 OWY983191:OWZ983196 PGU983191:PGV983196 PQQ983191:PQR983196 QAM983191:QAN983196 QKI983191:QKJ983196 QUE983191:QUF983196 REA983191:REB983196 RNW983191:RNX983196 RXS983191:RXT983196 SHO983191:SHP983196 SRK983191:SRL983196 TBG983191:TBH983196 TLC983191:TLD983196 TUY983191:TUZ983196 UEU983191:UEV983196 UOQ983191:UOR983196 UYM983191:UYN983196 VII983191:VIJ983196 VSE983191:VSF983196 WCA983191:WCB983196 WLW983191:WLX983196 WVS983191:WVT983196 P151:Q156 JL151:JM156 TH151:TI156 ADD151:ADE156 AMZ151:ANA156 AWV151:AWW156 BGR151:BGS156 BQN151:BQO156 CAJ151:CAK156 CKF151:CKG156 CUB151:CUC156 DDX151:DDY156 DNT151:DNU156 DXP151:DXQ156 EHL151:EHM156 ERH151:ERI156 FBD151:FBE156 FKZ151:FLA156 FUV151:FUW156 GER151:GES156 GON151:GOO156 GYJ151:GYK156 HIF151:HIG156 HSB151:HSC156 IBX151:IBY156 ILT151:ILU156 IVP151:IVQ156 JFL151:JFM156 JPH151:JPI156 JZD151:JZE156 KIZ151:KJA156 KSV151:KSW156 LCR151:LCS156 LMN151:LMO156 LWJ151:LWK156 MGF151:MGG156 MQB151:MQC156 MZX151:MZY156 NJT151:NJU156 NTP151:NTQ156 ODL151:ODM156 ONH151:ONI156 OXD151:OXE156 PGZ151:PHA156 PQV151:PQW156 QAR151:QAS156 QKN151:QKO156 QUJ151:QUK156 REF151:REG156 ROB151:ROC156 RXX151:RXY156 SHT151:SHU156 SRP151:SRQ156 TBL151:TBM156 TLH151:TLI156 TVD151:TVE156 UEZ151:UFA156 UOV151:UOW156 UYR151:UYS156 VIN151:VIO156 VSJ151:VSK156 WCF151:WCG156 WMB151:WMC156 WVX151:WVY156 P65687:Q65692 JL65687:JM65692 TH65687:TI65692 ADD65687:ADE65692 AMZ65687:ANA65692 AWV65687:AWW65692 BGR65687:BGS65692 BQN65687:BQO65692 CAJ65687:CAK65692 CKF65687:CKG65692 CUB65687:CUC65692 DDX65687:DDY65692 DNT65687:DNU65692 DXP65687:DXQ65692 EHL65687:EHM65692 ERH65687:ERI65692 FBD65687:FBE65692 FKZ65687:FLA65692 FUV65687:FUW65692 GER65687:GES65692 GON65687:GOO65692 GYJ65687:GYK65692 HIF65687:HIG65692 HSB65687:HSC65692 IBX65687:IBY65692 ILT65687:ILU65692 IVP65687:IVQ65692 JFL65687:JFM65692 JPH65687:JPI65692 JZD65687:JZE65692 KIZ65687:KJA65692 KSV65687:KSW65692 LCR65687:LCS65692 LMN65687:LMO65692 LWJ65687:LWK65692 MGF65687:MGG65692 MQB65687:MQC65692 MZX65687:MZY65692 NJT65687:NJU65692 NTP65687:NTQ65692 ODL65687:ODM65692 ONH65687:ONI65692 OXD65687:OXE65692 PGZ65687:PHA65692 PQV65687:PQW65692 QAR65687:QAS65692 QKN65687:QKO65692 QUJ65687:QUK65692 REF65687:REG65692 ROB65687:ROC65692 RXX65687:RXY65692 SHT65687:SHU65692 SRP65687:SRQ65692 TBL65687:TBM65692 TLH65687:TLI65692 TVD65687:TVE65692 UEZ65687:UFA65692 UOV65687:UOW65692 UYR65687:UYS65692 VIN65687:VIO65692 VSJ65687:VSK65692 WCF65687:WCG65692 WMB65687:WMC65692 WVX65687:WVY65692 P131223:Q131228 JL131223:JM131228 TH131223:TI131228 ADD131223:ADE131228 AMZ131223:ANA131228 AWV131223:AWW131228 BGR131223:BGS131228 BQN131223:BQO131228 CAJ131223:CAK131228 CKF131223:CKG131228 CUB131223:CUC131228 DDX131223:DDY131228 DNT131223:DNU131228 DXP131223:DXQ131228 EHL131223:EHM131228 ERH131223:ERI131228 FBD131223:FBE131228 FKZ131223:FLA131228 FUV131223:FUW131228 GER131223:GES131228 GON131223:GOO131228 GYJ131223:GYK131228 HIF131223:HIG131228 HSB131223:HSC131228 IBX131223:IBY131228 ILT131223:ILU131228 IVP131223:IVQ131228 JFL131223:JFM131228 JPH131223:JPI131228 JZD131223:JZE131228 KIZ131223:KJA131228 KSV131223:KSW131228 LCR131223:LCS131228 LMN131223:LMO131228 LWJ131223:LWK131228 MGF131223:MGG131228 MQB131223:MQC131228 MZX131223:MZY131228 NJT131223:NJU131228 NTP131223:NTQ131228 ODL131223:ODM131228 ONH131223:ONI131228 OXD131223:OXE131228 PGZ131223:PHA131228 PQV131223:PQW131228 QAR131223:QAS131228 QKN131223:QKO131228 QUJ131223:QUK131228 REF131223:REG131228 ROB131223:ROC131228 RXX131223:RXY131228 SHT131223:SHU131228 SRP131223:SRQ131228 TBL131223:TBM131228 TLH131223:TLI131228 TVD131223:TVE131228 UEZ131223:UFA131228 UOV131223:UOW131228 UYR131223:UYS131228 VIN131223:VIO131228 VSJ131223:VSK131228 WCF131223:WCG131228 WMB131223:WMC131228 WVX131223:WVY131228 P196759:Q196764 JL196759:JM196764 TH196759:TI196764 ADD196759:ADE196764 AMZ196759:ANA196764 AWV196759:AWW196764 BGR196759:BGS196764 BQN196759:BQO196764 CAJ196759:CAK196764 CKF196759:CKG196764 CUB196759:CUC196764 DDX196759:DDY196764 DNT196759:DNU196764 DXP196759:DXQ196764 EHL196759:EHM196764 ERH196759:ERI196764 FBD196759:FBE196764 FKZ196759:FLA196764 FUV196759:FUW196764 GER196759:GES196764 GON196759:GOO196764 GYJ196759:GYK196764 HIF196759:HIG196764 HSB196759:HSC196764 IBX196759:IBY196764 ILT196759:ILU196764 IVP196759:IVQ196764 JFL196759:JFM196764 JPH196759:JPI196764 JZD196759:JZE196764 KIZ196759:KJA196764 KSV196759:KSW196764 LCR196759:LCS196764 LMN196759:LMO196764 LWJ196759:LWK196764 MGF196759:MGG196764 MQB196759:MQC196764 MZX196759:MZY196764 NJT196759:NJU196764 NTP196759:NTQ196764 ODL196759:ODM196764 ONH196759:ONI196764 OXD196759:OXE196764 PGZ196759:PHA196764 PQV196759:PQW196764 QAR196759:QAS196764 QKN196759:QKO196764 QUJ196759:QUK196764 REF196759:REG196764 ROB196759:ROC196764 RXX196759:RXY196764 SHT196759:SHU196764 SRP196759:SRQ196764 TBL196759:TBM196764 TLH196759:TLI196764 TVD196759:TVE196764 UEZ196759:UFA196764 UOV196759:UOW196764 UYR196759:UYS196764 VIN196759:VIO196764 VSJ196759:VSK196764 WCF196759:WCG196764 WMB196759:WMC196764 WVX196759:WVY196764 P262295:Q262300 JL262295:JM262300 TH262295:TI262300 ADD262295:ADE262300 AMZ262295:ANA262300 AWV262295:AWW262300 BGR262295:BGS262300 BQN262295:BQO262300 CAJ262295:CAK262300 CKF262295:CKG262300 CUB262295:CUC262300 DDX262295:DDY262300 DNT262295:DNU262300 DXP262295:DXQ262300 EHL262295:EHM262300 ERH262295:ERI262300 FBD262295:FBE262300 FKZ262295:FLA262300 FUV262295:FUW262300 GER262295:GES262300 GON262295:GOO262300 GYJ262295:GYK262300 HIF262295:HIG262300 HSB262295:HSC262300 IBX262295:IBY262300 ILT262295:ILU262300 IVP262295:IVQ262300 JFL262295:JFM262300 JPH262295:JPI262300 JZD262295:JZE262300 KIZ262295:KJA262300 KSV262295:KSW262300 LCR262295:LCS262300 LMN262295:LMO262300 LWJ262295:LWK262300 MGF262295:MGG262300 MQB262295:MQC262300 MZX262295:MZY262300 NJT262295:NJU262300 NTP262295:NTQ262300 ODL262295:ODM262300 ONH262295:ONI262300 OXD262295:OXE262300 PGZ262295:PHA262300 PQV262295:PQW262300 QAR262295:QAS262300 QKN262295:QKO262300 QUJ262295:QUK262300 REF262295:REG262300 ROB262295:ROC262300 RXX262295:RXY262300 SHT262295:SHU262300 SRP262295:SRQ262300 TBL262295:TBM262300 TLH262295:TLI262300 TVD262295:TVE262300 UEZ262295:UFA262300 UOV262295:UOW262300 UYR262295:UYS262300 VIN262295:VIO262300 VSJ262295:VSK262300 WCF262295:WCG262300 WMB262295:WMC262300 WVX262295:WVY262300 P327831:Q327836 JL327831:JM327836 TH327831:TI327836 ADD327831:ADE327836 AMZ327831:ANA327836 AWV327831:AWW327836 BGR327831:BGS327836 BQN327831:BQO327836 CAJ327831:CAK327836 CKF327831:CKG327836 CUB327831:CUC327836 DDX327831:DDY327836 DNT327831:DNU327836 DXP327831:DXQ327836 EHL327831:EHM327836 ERH327831:ERI327836 FBD327831:FBE327836 FKZ327831:FLA327836 FUV327831:FUW327836 GER327831:GES327836 GON327831:GOO327836 GYJ327831:GYK327836 HIF327831:HIG327836 HSB327831:HSC327836 IBX327831:IBY327836 ILT327831:ILU327836 IVP327831:IVQ327836 JFL327831:JFM327836 JPH327831:JPI327836 JZD327831:JZE327836 KIZ327831:KJA327836 KSV327831:KSW327836 LCR327831:LCS327836 LMN327831:LMO327836 LWJ327831:LWK327836 MGF327831:MGG327836 MQB327831:MQC327836 MZX327831:MZY327836 NJT327831:NJU327836 NTP327831:NTQ327836 ODL327831:ODM327836 ONH327831:ONI327836 OXD327831:OXE327836 PGZ327831:PHA327836 PQV327831:PQW327836 QAR327831:QAS327836 QKN327831:QKO327836 QUJ327831:QUK327836 REF327831:REG327836 ROB327831:ROC327836 RXX327831:RXY327836 SHT327831:SHU327836 SRP327831:SRQ327836 TBL327831:TBM327836 TLH327831:TLI327836 TVD327831:TVE327836 UEZ327831:UFA327836 UOV327831:UOW327836 UYR327831:UYS327836 VIN327831:VIO327836 VSJ327831:VSK327836 WCF327831:WCG327836 WMB327831:WMC327836 WVX327831:WVY327836 P393367:Q393372 JL393367:JM393372 TH393367:TI393372 ADD393367:ADE393372 AMZ393367:ANA393372 AWV393367:AWW393372 BGR393367:BGS393372 BQN393367:BQO393372 CAJ393367:CAK393372 CKF393367:CKG393372 CUB393367:CUC393372 DDX393367:DDY393372 DNT393367:DNU393372 DXP393367:DXQ393372 EHL393367:EHM393372 ERH393367:ERI393372 FBD393367:FBE393372 FKZ393367:FLA393372 FUV393367:FUW393372 GER393367:GES393372 GON393367:GOO393372 GYJ393367:GYK393372 HIF393367:HIG393372 HSB393367:HSC393372 IBX393367:IBY393372 ILT393367:ILU393372 IVP393367:IVQ393372 JFL393367:JFM393372 JPH393367:JPI393372 JZD393367:JZE393372 KIZ393367:KJA393372 KSV393367:KSW393372 LCR393367:LCS393372 LMN393367:LMO393372 LWJ393367:LWK393372 MGF393367:MGG393372 MQB393367:MQC393372 MZX393367:MZY393372 NJT393367:NJU393372 NTP393367:NTQ393372 ODL393367:ODM393372 ONH393367:ONI393372 OXD393367:OXE393372 PGZ393367:PHA393372 PQV393367:PQW393372 QAR393367:QAS393372 QKN393367:QKO393372 QUJ393367:QUK393372 REF393367:REG393372 ROB393367:ROC393372 RXX393367:RXY393372 SHT393367:SHU393372 SRP393367:SRQ393372 TBL393367:TBM393372 TLH393367:TLI393372 TVD393367:TVE393372 UEZ393367:UFA393372 UOV393367:UOW393372 UYR393367:UYS393372 VIN393367:VIO393372 VSJ393367:VSK393372 WCF393367:WCG393372 WMB393367:WMC393372 WVX393367:WVY393372 P458903:Q458908 JL458903:JM458908 TH458903:TI458908 ADD458903:ADE458908 AMZ458903:ANA458908 AWV458903:AWW458908 BGR458903:BGS458908 BQN458903:BQO458908 CAJ458903:CAK458908 CKF458903:CKG458908 CUB458903:CUC458908 DDX458903:DDY458908 DNT458903:DNU458908 DXP458903:DXQ458908 EHL458903:EHM458908 ERH458903:ERI458908 FBD458903:FBE458908 FKZ458903:FLA458908 FUV458903:FUW458908 GER458903:GES458908 GON458903:GOO458908 GYJ458903:GYK458908 HIF458903:HIG458908 HSB458903:HSC458908 IBX458903:IBY458908 ILT458903:ILU458908 IVP458903:IVQ458908 JFL458903:JFM458908 JPH458903:JPI458908 JZD458903:JZE458908 KIZ458903:KJA458908 KSV458903:KSW458908 LCR458903:LCS458908 LMN458903:LMO458908 LWJ458903:LWK458908 MGF458903:MGG458908 MQB458903:MQC458908 MZX458903:MZY458908 NJT458903:NJU458908 NTP458903:NTQ458908 ODL458903:ODM458908 ONH458903:ONI458908 OXD458903:OXE458908 PGZ458903:PHA458908 PQV458903:PQW458908 QAR458903:QAS458908 QKN458903:QKO458908 QUJ458903:QUK458908 REF458903:REG458908 ROB458903:ROC458908 RXX458903:RXY458908 SHT458903:SHU458908 SRP458903:SRQ458908 TBL458903:TBM458908 TLH458903:TLI458908 TVD458903:TVE458908 UEZ458903:UFA458908 UOV458903:UOW458908 UYR458903:UYS458908 VIN458903:VIO458908 VSJ458903:VSK458908 WCF458903:WCG458908 WMB458903:WMC458908 WVX458903:WVY458908 P524439:Q524444 JL524439:JM524444 TH524439:TI524444 ADD524439:ADE524444 AMZ524439:ANA524444 AWV524439:AWW524444 BGR524439:BGS524444 BQN524439:BQO524444 CAJ524439:CAK524444 CKF524439:CKG524444 CUB524439:CUC524444 DDX524439:DDY524444 DNT524439:DNU524444 DXP524439:DXQ524444 EHL524439:EHM524444 ERH524439:ERI524444 FBD524439:FBE524444 FKZ524439:FLA524444 FUV524439:FUW524444 GER524439:GES524444 GON524439:GOO524444 GYJ524439:GYK524444 HIF524439:HIG524444 HSB524439:HSC524444 IBX524439:IBY524444 ILT524439:ILU524444 IVP524439:IVQ524444 JFL524439:JFM524444 JPH524439:JPI524444 JZD524439:JZE524444 KIZ524439:KJA524444 KSV524439:KSW524444 LCR524439:LCS524444 LMN524439:LMO524444 LWJ524439:LWK524444 MGF524439:MGG524444 MQB524439:MQC524444 MZX524439:MZY524444 NJT524439:NJU524444 NTP524439:NTQ524444 ODL524439:ODM524444 ONH524439:ONI524444 OXD524439:OXE524444 PGZ524439:PHA524444 PQV524439:PQW524444 QAR524439:QAS524444 QKN524439:QKO524444 QUJ524439:QUK524444 REF524439:REG524444 ROB524439:ROC524444 RXX524439:RXY524444 SHT524439:SHU524444 SRP524439:SRQ524444 TBL524439:TBM524444 TLH524439:TLI524444 TVD524439:TVE524444 UEZ524439:UFA524444 UOV524439:UOW524444 UYR524439:UYS524444 VIN524439:VIO524444 VSJ524439:VSK524444 WCF524439:WCG524444 WMB524439:WMC524444 WVX524439:WVY524444 P589975:Q589980 JL589975:JM589980 TH589975:TI589980 ADD589975:ADE589980 AMZ589975:ANA589980 AWV589975:AWW589980 BGR589975:BGS589980 BQN589975:BQO589980 CAJ589975:CAK589980 CKF589975:CKG589980 CUB589975:CUC589980 DDX589975:DDY589980 DNT589975:DNU589980 DXP589975:DXQ589980 EHL589975:EHM589980 ERH589975:ERI589980 FBD589975:FBE589980 FKZ589975:FLA589980 FUV589975:FUW589980 GER589975:GES589980 GON589975:GOO589980 GYJ589975:GYK589980 HIF589975:HIG589980 HSB589975:HSC589980 IBX589975:IBY589980 ILT589975:ILU589980 IVP589975:IVQ589980 JFL589975:JFM589980 JPH589975:JPI589980 JZD589975:JZE589980 KIZ589975:KJA589980 KSV589975:KSW589980 LCR589975:LCS589980 LMN589975:LMO589980 LWJ589975:LWK589980 MGF589975:MGG589980 MQB589975:MQC589980 MZX589975:MZY589980 NJT589975:NJU589980 NTP589975:NTQ589980 ODL589975:ODM589980 ONH589975:ONI589980 OXD589975:OXE589980 PGZ589975:PHA589980 PQV589975:PQW589980 QAR589975:QAS589980 QKN589975:QKO589980 QUJ589975:QUK589980 REF589975:REG589980 ROB589975:ROC589980 RXX589975:RXY589980 SHT589975:SHU589980 SRP589975:SRQ589980 TBL589975:TBM589980 TLH589975:TLI589980 TVD589975:TVE589980 UEZ589975:UFA589980 UOV589975:UOW589980 UYR589975:UYS589980 VIN589975:VIO589980 VSJ589975:VSK589980 WCF589975:WCG589980 WMB589975:WMC589980 WVX589975:WVY589980 P655511:Q655516 JL655511:JM655516 TH655511:TI655516 ADD655511:ADE655516 AMZ655511:ANA655516 AWV655511:AWW655516 BGR655511:BGS655516 BQN655511:BQO655516 CAJ655511:CAK655516 CKF655511:CKG655516 CUB655511:CUC655516 DDX655511:DDY655516 DNT655511:DNU655516 DXP655511:DXQ655516 EHL655511:EHM655516 ERH655511:ERI655516 FBD655511:FBE655516 FKZ655511:FLA655516 FUV655511:FUW655516 GER655511:GES655516 GON655511:GOO655516 GYJ655511:GYK655516 HIF655511:HIG655516 HSB655511:HSC655516 IBX655511:IBY655516 ILT655511:ILU655516 IVP655511:IVQ655516 JFL655511:JFM655516 JPH655511:JPI655516 JZD655511:JZE655516 KIZ655511:KJA655516 KSV655511:KSW655516 LCR655511:LCS655516 LMN655511:LMO655516 LWJ655511:LWK655516 MGF655511:MGG655516 MQB655511:MQC655516 MZX655511:MZY655516 NJT655511:NJU655516 NTP655511:NTQ655516 ODL655511:ODM655516 ONH655511:ONI655516 OXD655511:OXE655516 PGZ655511:PHA655516 PQV655511:PQW655516 QAR655511:QAS655516 QKN655511:QKO655516 QUJ655511:QUK655516 REF655511:REG655516 ROB655511:ROC655516 RXX655511:RXY655516 SHT655511:SHU655516 SRP655511:SRQ655516 TBL655511:TBM655516 TLH655511:TLI655516 TVD655511:TVE655516 UEZ655511:UFA655516 UOV655511:UOW655516 UYR655511:UYS655516 VIN655511:VIO655516 VSJ655511:VSK655516 WCF655511:WCG655516 WMB655511:WMC655516 WVX655511:WVY655516 P721047:Q721052 JL721047:JM721052 TH721047:TI721052 ADD721047:ADE721052 AMZ721047:ANA721052 AWV721047:AWW721052 BGR721047:BGS721052 BQN721047:BQO721052 CAJ721047:CAK721052 CKF721047:CKG721052 CUB721047:CUC721052 DDX721047:DDY721052 DNT721047:DNU721052 DXP721047:DXQ721052 EHL721047:EHM721052 ERH721047:ERI721052 FBD721047:FBE721052 FKZ721047:FLA721052 FUV721047:FUW721052 GER721047:GES721052 GON721047:GOO721052 GYJ721047:GYK721052 HIF721047:HIG721052 HSB721047:HSC721052 IBX721047:IBY721052 ILT721047:ILU721052 IVP721047:IVQ721052 JFL721047:JFM721052 JPH721047:JPI721052 JZD721047:JZE721052 KIZ721047:KJA721052 KSV721047:KSW721052 LCR721047:LCS721052 LMN721047:LMO721052 LWJ721047:LWK721052 MGF721047:MGG721052 MQB721047:MQC721052 MZX721047:MZY721052 NJT721047:NJU721052 NTP721047:NTQ721052 ODL721047:ODM721052 ONH721047:ONI721052 OXD721047:OXE721052 PGZ721047:PHA721052 PQV721047:PQW721052 QAR721047:QAS721052 QKN721047:QKO721052 QUJ721047:QUK721052 REF721047:REG721052 ROB721047:ROC721052 RXX721047:RXY721052 SHT721047:SHU721052 SRP721047:SRQ721052 TBL721047:TBM721052 TLH721047:TLI721052 TVD721047:TVE721052 UEZ721047:UFA721052 UOV721047:UOW721052 UYR721047:UYS721052 VIN721047:VIO721052 VSJ721047:VSK721052 WCF721047:WCG721052 WMB721047:WMC721052 WVX721047:WVY721052 P786583:Q786588 JL786583:JM786588 TH786583:TI786588 ADD786583:ADE786588 AMZ786583:ANA786588 AWV786583:AWW786588 BGR786583:BGS786588 BQN786583:BQO786588 CAJ786583:CAK786588 CKF786583:CKG786588 CUB786583:CUC786588 DDX786583:DDY786588 DNT786583:DNU786588 DXP786583:DXQ786588 EHL786583:EHM786588 ERH786583:ERI786588 FBD786583:FBE786588 FKZ786583:FLA786588 FUV786583:FUW786588 GER786583:GES786588 GON786583:GOO786588 GYJ786583:GYK786588 HIF786583:HIG786588 HSB786583:HSC786588 IBX786583:IBY786588 ILT786583:ILU786588 IVP786583:IVQ786588 JFL786583:JFM786588 JPH786583:JPI786588 JZD786583:JZE786588 KIZ786583:KJA786588 KSV786583:KSW786588 LCR786583:LCS786588 LMN786583:LMO786588 LWJ786583:LWK786588 MGF786583:MGG786588 MQB786583:MQC786588 MZX786583:MZY786588 NJT786583:NJU786588 NTP786583:NTQ786588 ODL786583:ODM786588 ONH786583:ONI786588 OXD786583:OXE786588 PGZ786583:PHA786588 PQV786583:PQW786588 QAR786583:QAS786588 QKN786583:QKO786588 QUJ786583:QUK786588 REF786583:REG786588 ROB786583:ROC786588 RXX786583:RXY786588 SHT786583:SHU786588 SRP786583:SRQ786588 TBL786583:TBM786588 TLH786583:TLI786588 TVD786583:TVE786588 UEZ786583:UFA786588 UOV786583:UOW786588 UYR786583:UYS786588 VIN786583:VIO786588 VSJ786583:VSK786588 WCF786583:WCG786588 WMB786583:WMC786588 WVX786583:WVY786588 P852119:Q852124 JL852119:JM852124 TH852119:TI852124 ADD852119:ADE852124 AMZ852119:ANA852124 AWV852119:AWW852124 BGR852119:BGS852124 BQN852119:BQO852124 CAJ852119:CAK852124 CKF852119:CKG852124 CUB852119:CUC852124 DDX852119:DDY852124 DNT852119:DNU852124 DXP852119:DXQ852124 EHL852119:EHM852124 ERH852119:ERI852124 FBD852119:FBE852124 FKZ852119:FLA852124 FUV852119:FUW852124 GER852119:GES852124 GON852119:GOO852124 GYJ852119:GYK852124 HIF852119:HIG852124 HSB852119:HSC852124 IBX852119:IBY852124 ILT852119:ILU852124 IVP852119:IVQ852124 JFL852119:JFM852124 JPH852119:JPI852124 JZD852119:JZE852124 KIZ852119:KJA852124 KSV852119:KSW852124 LCR852119:LCS852124 LMN852119:LMO852124 LWJ852119:LWK852124 MGF852119:MGG852124 MQB852119:MQC852124 MZX852119:MZY852124 NJT852119:NJU852124 NTP852119:NTQ852124 ODL852119:ODM852124 ONH852119:ONI852124 OXD852119:OXE852124 PGZ852119:PHA852124 PQV852119:PQW852124 QAR852119:QAS852124 QKN852119:QKO852124 QUJ852119:QUK852124 REF852119:REG852124 ROB852119:ROC852124 RXX852119:RXY852124 SHT852119:SHU852124 SRP852119:SRQ852124 TBL852119:TBM852124 TLH852119:TLI852124 TVD852119:TVE852124 UEZ852119:UFA852124 UOV852119:UOW852124 UYR852119:UYS852124 VIN852119:VIO852124 VSJ852119:VSK852124 WCF852119:WCG852124 WMB852119:WMC852124 WVX852119:WVY852124 P917655:Q917660 JL917655:JM917660 TH917655:TI917660 ADD917655:ADE917660 AMZ917655:ANA917660 AWV917655:AWW917660 BGR917655:BGS917660 BQN917655:BQO917660 CAJ917655:CAK917660 CKF917655:CKG917660 CUB917655:CUC917660 DDX917655:DDY917660 DNT917655:DNU917660 DXP917655:DXQ917660 EHL917655:EHM917660 ERH917655:ERI917660 FBD917655:FBE917660 FKZ917655:FLA917660 FUV917655:FUW917660 GER917655:GES917660 GON917655:GOO917660 GYJ917655:GYK917660 HIF917655:HIG917660 HSB917655:HSC917660 IBX917655:IBY917660 ILT917655:ILU917660 IVP917655:IVQ917660 JFL917655:JFM917660 JPH917655:JPI917660 JZD917655:JZE917660 KIZ917655:KJA917660 KSV917655:KSW917660 LCR917655:LCS917660 LMN917655:LMO917660 LWJ917655:LWK917660 MGF917655:MGG917660 MQB917655:MQC917660 MZX917655:MZY917660 NJT917655:NJU917660 NTP917655:NTQ917660 ODL917655:ODM917660 ONH917655:ONI917660 OXD917655:OXE917660 PGZ917655:PHA917660 PQV917655:PQW917660 QAR917655:QAS917660 QKN917655:QKO917660 QUJ917655:QUK917660 REF917655:REG917660 ROB917655:ROC917660 RXX917655:RXY917660 SHT917655:SHU917660 SRP917655:SRQ917660 TBL917655:TBM917660 TLH917655:TLI917660 TVD917655:TVE917660 UEZ917655:UFA917660 UOV917655:UOW917660 UYR917655:UYS917660 VIN917655:VIO917660 VSJ917655:VSK917660 WCF917655:WCG917660 WMB917655:WMC917660 WVX917655:WVY917660 P983191:Q983196 JL983191:JM983196 TH983191:TI983196 ADD983191:ADE983196 AMZ983191:ANA983196 AWV983191:AWW983196 BGR983191:BGS983196 BQN983191:BQO983196 CAJ983191:CAK983196 CKF983191:CKG983196 CUB983191:CUC983196 DDX983191:DDY983196 DNT983191:DNU983196 DXP983191:DXQ983196 EHL983191:EHM983196 ERH983191:ERI983196 FBD983191:FBE983196 FKZ983191:FLA983196 FUV983191:FUW983196 GER983191:GES983196 GON983191:GOO983196 GYJ983191:GYK983196 HIF983191:HIG983196 HSB983191:HSC983196 IBX983191:IBY983196 ILT983191:ILU983196 IVP983191:IVQ983196 JFL983191:JFM983196 JPH983191:JPI983196 JZD983191:JZE983196 KIZ983191:KJA983196 KSV983191:KSW983196 LCR983191:LCS983196 LMN983191:LMO983196 LWJ983191:LWK983196 MGF983191:MGG983196 MQB983191:MQC983196 MZX983191:MZY983196 NJT983191:NJU983196 NTP983191:NTQ983196 ODL983191:ODM983196 ONH983191:ONI983196 OXD983191:OXE983196 PGZ983191:PHA983196 PQV983191:PQW983196 QAR983191:QAS983196 QKN983191:QKO983196 QUJ983191:QUK983196 REF983191:REG983196 ROB983191:ROC983196 RXX983191:RXY983196 SHT983191:SHU983196 SRP983191:SRQ983196 TBL983191:TBM983196 TLH983191:TLI983196 TVD983191:TVE983196 UEZ983191:UFA983196 UOV983191:UOW983196 UYR983191:UYS983196 VIN983191:VIO983196 VSJ983191:VSK983196 WCF983191:WCG983196 WMB983191:WMC983196 WVX983191:WVY983196 K56:L56 JG56:JH56 TC56:TD56 ACY56:ACZ56 AMU56:AMV56 AWQ56:AWR56 BGM56:BGN56 BQI56:BQJ56 CAE56:CAF56 CKA56:CKB56 CTW56:CTX56 DDS56:DDT56 DNO56:DNP56 DXK56:DXL56 EHG56:EHH56 ERC56:ERD56 FAY56:FAZ56 FKU56:FKV56 FUQ56:FUR56 GEM56:GEN56 GOI56:GOJ56 GYE56:GYF56 HIA56:HIB56 HRW56:HRX56 IBS56:IBT56 ILO56:ILP56 IVK56:IVL56 JFG56:JFH56 JPC56:JPD56 JYY56:JYZ56 KIU56:KIV56 KSQ56:KSR56 LCM56:LCN56 LMI56:LMJ56 LWE56:LWF56 MGA56:MGB56 MPW56:MPX56 MZS56:MZT56 NJO56:NJP56 NTK56:NTL56 ODG56:ODH56 ONC56:OND56 OWY56:OWZ56 PGU56:PGV56 PQQ56:PQR56 QAM56:QAN56 QKI56:QKJ56 QUE56:QUF56 REA56:REB56 RNW56:RNX56 RXS56:RXT56 SHO56:SHP56 SRK56:SRL56 TBG56:TBH56 TLC56:TLD56 TUY56:TUZ56 UEU56:UEV56 UOQ56:UOR56 UYM56:UYN56 VII56:VIJ56 VSE56:VSF56 WCA56:WCB56 WLW56:WLX56 WVS56:WVT56 K65592:L65592 JG65592:JH65592 TC65592:TD65592 ACY65592:ACZ65592 AMU65592:AMV65592 AWQ65592:AWR65592 BGM65592:BGN65592 BQI65592:BQJ65592 CAE65592:CAF65592 CKA65592:CKB65592 CTW65592:CTX65592 DDS65592:DDT65592 DNO65592:DNP65592 DXK65592:DXL65592 EHG65592:EHH65592 ERC65592:ERD65592 FAY65592:FAZ65592 FKU65592:FKV65592 FUQ65592:FUR65592 GEM65592:GEN65592 GOI65592:GOJ65592 GYE65592:GYF65592 HIA65592:HIB65592 HRW65592:HRX65592 IBS65592:IBT65592 ILO65592:ILP65592 IVK65592:IVL65592 JFG65592:JFH65592 JPC65592:JPD65592 JYY65592:JYZ65592 KIU65592:KIV65592 KSQ65592:KSR65592 LCM65592:LCN65592 LMI65592:LMJ65592 LWE65592:LWF65592 MGA65592:MGB65592 MPW65592:MPX65592 MZS65592:MZT65592 NJO65592:NJP65592 NTK65592:NTL65592 ODG65592:ODH65592 ONC65592:OND65592 OWY65592:OWZ65592 PGU65592:PGV65592 PQQ65592:PQR65592 QAM65592:QAN65592 QKI65592:QKJ65592 QUE65592:QUF65592 REA65592:REB65592 RNW65592:RNX65592 RXS65592:RXT65592 SHO65592:SHP65592 SRK65592:SRL65592 TBG65592:TBH65592 TLC65592:TLD65592 TUY65592:TUZ65592 UEU65592:UEV65592 UOQ65592:UOR65592 UYM65592:UYN65592 VII65592:VIJ65592 VSE65592:VSF65592 WCA65592:WCB65592 WLW65592:WLX65592 WVS65592:WVT65592 K131128:L131128 JG131128:JH131128 TC131128:TD131128 ACY131128:ACZ131128 AMU131128:AMV131128 AWQ131128:AWR131128 BGM131128:BGN131128 BQI131128:BQJ131128 CAE131128:CAF131128 CKA131128:CKB131128 CTW131128:CTX131128 DDS131128:DDT131128 DNO131128:DNP131128 DXK131128:DXL131128 EHG131128:EHH131128 ERC131128:ERD131128 FAY131128:FAZ131128 FKU131128:FKV131128 FUQ131128:FUR131128 GEM131128:GEN131128 GOI131128:GOJ131128 GYE131128:GYF131128 HIA131128:HIB131128 HRW131128:HRX131128 IBS131128:IBT131128 ILO131128:ILP131128 IVK131128:IVL131128 JFG131128:JFH131128 JPC131128:JPD131128 JYY131128:JYZ131128 KIU131128:KIV131128 KSQ131128:KSR131128 LCM131128:LCN131128 LMI131128:LMJ131128 LWE131128:LWF131128 MGA131128:MGB131128 MPW131128:MPX131128 MZS131128:MZT131128 NJO131128:NJP131128 NTK131128:NTL131128 ODG131128:ODH131128 ONC131128:OND131128 OWY131128:OWZ131128 PGU131128:PGV131128 PQQ131128:PQR131128 QAM131128:QAN131128 QKI131128:QKJ131128 QUE131128:QUF131128 REA131128:REB131128 RNW131128:RNX131128 RXS131128:RXT131128 SHO131128:SHP131128 SRK131128:SRL131128 TBG131128:TBH131128 TLC131128:TLD131128 TUY131128:TUZ131128 UEU131128:UEV131128 UOQ131128:UOR131128 UYM131128:UYN131128 VII131128:VIJ131128 VSE131128:VSF131128 WCA131128:WCB131128 WLW131128:WLX131128 WVS131128:WVT131128 K196664:L196664 JG196664:JH196664 TC196664:TD196664 ACY196664:ACZ196664 AMU196664:AMV196664 AWQ196664:AWR196664 BGM196664:BGN196664 BQI196664:BQJ196664 CAE196664:CAF196664 CKA196664:CKB196664 CTW196664:CTX196664 DDS196664:DDT196664 DNO196664:DNP196664 DXK196664:DXL196664 EHG196664:EHH196664 ERC196664:ERD196664 FAY196664:FAZ196664 FKU196664:FKV196664 FUQ196664:FUR196664 GEM196664:GEN196664 GOI196664:GOJ196664 GYE196664:GYF196664 HIA196664:HIB196664 HRW196664:HRX196664 IBS196664:IBT196664 ILO196664:ILP196664 IVK196664:IVL196664 JFG196664:JFH196664 JPC196664:JPD196664 JYY196664:JYZ196664 KIU196664:KIV196664 KSQ196664:KSR196664 LCM196664:LCN196664 LMI196664:LMJ196664 LWE196664:LWF196664 MGA196664:MGB196664 MPW196664:MPX196664 MZS196664:MZT196664 NJO196664:NJP196664 NTK196664:NTL196664 ODG196664:ODH196664 ONC196664:OND196664 OWY196664:OWZ196664 PGU196664:PGV196664 PQQ196664:PQR196664 QAM196664:QAN196664 QKI196664:QKJ196664 QUE196664:QUF196664 REA196664:REB196664 RNW196664:RNX196664 RXS196664:RXT196664 SHO196664:SHP196664 SRK196664:SRL196664 TBG196664:TBH196664 TLC196664:TLD196664 TUY196664:TUZ196664 UEU196664:UEV196664 UOQ196664:UOR196664 UYM196664:UYN196664 VII196664:VIJ196664 VSE196664:VSF196664 WCA196664:WCB196664 WLW196664:WLX196664 WVS196664:WVT196664 K262200:L262200 JG262200:JH262200 TC262200:TD262200 ACY262200:ACZ262200 AMU262200:AMV262200 AWQ262200:AWR262200 BGM262200:BGN262200 BQI262200:BQJ262200 CAE262200:CAF262200 CKA262200:CKB262200 CTW262200:CTX262200 DDS262200:DDT262200 DNO262200:DNP262200 DXK262200:DXL262200 EHG262200:EHH262200 ERC262200:ERD262200 FAY262200:FAZ262200 FKU262200:FKV262200 FUQ262200:FUR262200 GEM262200:GEN262200 GOI262200:GOJ262200 GYE262200:GYF262200 HIA262200:HIB262200 HRW262200:HRX262200 IBS262200:IBT262200 ILO262200:ILP262200 IVK262200:IVL262200 JFG262200:JFH262200 JPC262200:JPD262200 JYY262200:JYZ262200 KIU262200:KIV262200 KSQ262200:KSR262200 LCM262200:LCN262200 LMI262200:LMJ262200 LWE262200:LWF262200 MGA262200:MGB262200 MPW262200:MPX262200 MZS262200:MZT262200 NJO262200:NJP262200 NTK262200:NTL262200 ODG262200:ODH262200 ONC262200:OND262200 OWY262200:OWZ262200 PGU262200:PGV262200 PQQ262200:PQR262200 QAM262200:QAN262200 QKI262200:QKJ262200 QUE262200:QUF262200 REA262200:REB262200 RNW262200:RNX262200 RXS262200:RXT262200 SHO262200:SHP262200 SRK262200:SRL262200 TBG262200:TBH262200 TLC262200:TLD262200 TUY262200:TUZ262200 UEU262200:UEV262200 UOQ262200:UOR262200 UYM262200:UYN262200 VII262200:VIJ262200 VSE262200:VSF262200 WCA262200:WCB262200 WLW262200:WLX262200 WVS262200:WVT262200 K327736:L327736 JG327736:JH327736 TC327736:TD327736 ACY327736:ACZ327736 AMU327736:AMV327736 AWQ327736:AWR327736 BGM327736:BGN327736 BQI327736:BQJ327736 CAE327736:CAF327736 CKA327736:CKB327736 CTW327736:CTX327736 DDS327736:DDT327736 DNO327736:DNP327736 DXK327736:DXL327736 EHG327736:EHH327736 ERC327736:ERD327736 FAY327736:FAZ327736 FKU327736:FKV327736 FUQ327736:FUR327736 GEM327736:GEN327736 GOI327736:GOJ327736 GYE327736:GYF327736 HIA327736:HIB327736 HRW327736:HRX327736 IBS327736:IBT327736 ILO327736:ILP327736 IVK327736:IVL327736 JFG327736:JFH327736 JPC327736:JPD327736 JYY327736:JYZ327736 KIU327736:KIV327736 KSQ327736:KSR327736 LCM327736:LCN327736 LMI327736:LMJ327736 LWE327736:LWF327736 MGA327736:MGB327736 MPW327736:MPX327736 MZS327736:MZT327736 NJO327736:NJP327736 NTK327736:NTL327736 ODG327736:ODH327736 ONC327736:OND327736 OWY327736:OWZ327736 PGU327736:PGV327736 PQQ327736:PQR327736 QAM327736:QAN327736 QKI327736:QKJ327736 QUE327736:QUF327736 REA327736:REB327736 RNW327736:RNX327736 RXS327736:RXT327736 SHO327736:SHP327736 SRK327736:SRL327736 TBG327736:TBH327736 TLC327736:TLD327736 TUY327736:TUZ327736 UEU327736:UEV327736 UOQ327736:UOR327736 UYM327736:UYN327736 VII327736:VIJ327736 VSE327736:VSF327736 WCA327736:WCB327736 WLW327736:WLX327736 WVS327736:WVT327736 K393272:L393272 JG393272:JH393272 TC393272:TD393272 ACY393272:ACZ393272 AMU393272:AMV393272 AWQ393272:AWR393272 BGM393272:BGN393272 BQI393272:BQJ393272 CAE393272:CAF393272 CKA393272:CKB393272 CTW393272:CTX393272 DDS393272:DDT393272 DNO393272:DNP393272 DXK393272:DXL393272 EHG393272:EHH393272 ERC393272:ERD393272 FAY393272:FAZ393272 FKU393272:FKV393272 FUQ393272:FUR393272 GEM393272:GEN393272 GOI393272:GOJ393272 GYE393272:GYF393272 HIA393272:HIB393272 HRW393272:HRX393272 IBS393272:IBT393272 ILO393272:ILP393272 IVK393272:IVL393272 JFG393272:JFH393272 JPC393272:JPD393272 JYY393272:JYZ393272 KIU393272:KIV393272 KSQ393272:KSR393272 LCM393272:LCN393272 LMI393272:LMJ393272 LWE393272:LWF393272 MGA393272:MGB393272 MPW393272:MPX393272 MZS393272:MZT393272 NJO393272:NJP393272 NTK393272:NTL393272 ODG393272:ODH393272 ONC393272:OND393272 OWY393272:OWZ393272 PGU393272:PGV393272 PQQ393272:PQR393272 QAM393272:QAN393272 QKI393272:QKJ393272 QUE393272:QUF393272 REA393272:REB393272 RNW393272:RNX393272 RXS393272:RXT393272 SHO393272:SHP393272 SRK393272:SRL393272 TBG393272:TBH393272 TLC393272:TLD393272 TUY393272:TUZ393272 UEU393272:UEV393272 UOQ393272:UOR393272 UYM393272:UYN393272 VII393272:VIJ393272 VSE393272:VSF393272 WCA393272:WCB393272 WLW393272:WLX393272 WVS393272:WVT393272 K458808:L458808 JG458808:JH458808 TC458808:TD458808 ACY458808:ACZ458808 AMU458808:AMV458808 AWQ458808:AWR458808 BGM458808:BGN458808 BQI458808:BQJ458808 CAE458808:CAF458808 CKA458808:CKB458808 CTW458808:CTX458808 DDS458808:DDT458808 DNO458808:DNP458808 DXK458808:DXL458808 EHG458808:EHH458808 ERC458808:ERD458808 FAY458808:FAZ458808 FKU458808:FKV458808 FUQ458808:FUR458808 GEM458808:GEN458808 GOI458808:GOJ458808 GYE458808:GYF458808 HIA458808:HIB458808 HRW458808:HRX458808 IBS458808:IBT458808 ILO458808:ILP458808 IVK458808:IVL458808 JFG458808:JFH458808 JPC458808:JPD458808 JYY458808:JYZ458808 KIU458808:KIV458808 KSQ458808:KSR458808 LCM458808:LCN458808 LMI458808:LMJ458808 LWE458808:LWF458808 MGA458808:MGB458808 MPW458808:MPX458808 MZS458808:MZT458808 NJO458808:NJP458808 NTK458808:NTL458808 ODG458808:ODH458808 ONC458808:OND458808 OWY458808:OWZ458808 PGU458808:PGV458808 PQQ458808:PQR458808 QAM458808:QAN458808 QKI458808:QKJ458808 QUE458808:QUF458808 REA458808:REB458808 RNW458808:RNX458808 RXS458808:RXT458808 SHO458808:SHP458808 SRK458808:SRL458808 TBG458808:TBH458808 TLC458808:TLD458808 TUY458808:TUZ458808 UEU458808:UEV458808 UOQ458808:UOR458808 UYM458808:UYN458808 VII458808:VIJ458808 VSE458808:VSF458808 WCA458808:WCB458808 WLW458808:WLX458808 WVS458808:WVT458808 K524344:L524344 JG524344:JH524344 TC524344:TD524344 ACY524344:ACZ524344 AMU524344:AMV524344 AWQ524344:AWR524344 BGM524344:BGN524344 BQI524344:BQJ524344 CAE524344:CAF524344 CKA524344:CKB524344 CTW524344:CTX524344 DDS524344:DDT524344 DNO524344:DNP524344 DXK524344:DXL524344 EHG524344:EHH524344 ERC524344:ERD524344 FAY524344:FAZ524344 FKU524344:FKV524344 FUQ524344:FUR524344 GEM524344:GEN524344 GOI524344:GOJ524344 GYE524344:GYF524344 HIA524344:HIB524344 HRW524344:HRX524344 IBS524344:IBT524344 ILO524344:ILP524344 IVK524344:IVL524344 JFG524344:JFH524344 JPC524344:JPD524344 JYY524344:JYZ524344 KIU524344:KIV524344 KSQ524344:KSR524344 LCM524344:LCN524344 LMI524344:LMJ524344 LWE524344:LWF524344 MGA524344:MGB524344 MPW524344:MPX524344 MZS524344:MZT524344 NJO524344:NJP524344 NTK524344:NTL524344 ODG524344:ODH524344 ONC524344:OND524344 OWY524344:OWZ524344 PGU524344:PGV524344 PQQ524344:PQR524344 QAM524344:QAN524344 QKI524344:QKJ524344 QUE524344:QUF524344 REA524344:REB524344 RNW524344:RNX524344 RXS524344:RXT524344 SHO524344:SHP524344 SRK524344:SRL524344 TBG524344:TBH524344 TLC524344:TLD524344 TUY524344:TUZ524344 UEU524344:UEV524344 UOQ524344:UOR524344 UYM524344:UYN524344 VII524344:VIJ524344 VSE524344:VSF524344 WCA524344:WCB524344 WLW524344:WLX524344 WVS524344:WVT524344 K589880:L589880 JG589880:JH589880 TC589880:TD589880 ACY589880:ACZ589880 AMU589880:AMV589880 AWQ589880:AWR589880 BGM589880:BGN589880 BQI589880:BQJ589880 CAE589880:CAF589880 CKA589880:CKB589880 CTW589880:CTX589880 DDS589880:DDT589880 DNO589880:DNP589880 DXK589880:DXL589880 EHG589880:EHH589880 ERC589880:ERD589880 FAY589880:FAZ589880 FKU589880:FKV589880 FUQ589880:FUR589880 GEM589880:GEN589880 GOI589880:GOJ589880 GYE589880:GYF589880 HIA589880:HIB589880 HRW589880:HRX589880 IBS589880:IBT589880 ILO589880:ILP589880 IVK589880:IVL589880 JFG589880:JFH589880 JPC589880:JPD589880 JYY589880:JYZ589880 KIU589880:KIV589880 KSQ589880:KSR589880 LCM589880:LCN589880 LMI589880:LMJ589880 LWE589880:LWF589880 MGA589880:MGB589880 MPW589880:MPX589880 MZS589880:MZT589880 NJO589880:NJP589880 NTK589880:NTL589880 ODG589880:ODH589880 ONC589880:OND589880 OWY589880:OWZ589880 PGU589880:PGV589880 PQQ589880:PQR589880 QAM589880:QAN589880 QKI589880:QKJ589880 QUE589880:QUF589880 REA589880:REB589880 RNW589880:RNX589880 RXS589880:RXT589880 SHO589880:SHP589880 SRK589880:SRL589880 TBG589880:TBH589880 TLC589880:TLD589880 TUY589880:TUZ589880 UEU589880:UEV589880 UOQ589880:UOR589880 UYM589880:UYN589880 VII589880:VIJ589880 VSE589880:VSF589880 WCA589880:WCB589880 WLW589880:WLX589880 WVS589880:WVT589880 K655416:L655416 JG655416:JH655416 TC655416:TD655416 ACY655416:ACZ655416 AMU655416:AMV655416 AWQ655416:AWR655416 BGM655416:BGN655416 BQI655416:BQJ655416 CAE655416:CAF655416 CKA655416:CKB655416 CTW655416:CTX655416 DDS655416:DDT655416 DNO655416:DNP655416 DXK655416:DXL655416 EHG655416:EHH655416 ERC655416:ERD655416 FAY655416:FAZ655416 FKU655416:FKV655416 FUQ655416:FUR655416 GEM655416:GEN655416 GOI655416:GOJ655416 GYE655416:GYF655416 HIA655416:HIB655416 HRW655416:HRX655416 IBS655416:IBT655416 ILO655416:ILP655416 IVK655416:IVL655416 JFG655416:JFH655416 JPC655416:JPD655416 JYY655416:JYZ655416 KIU655416:KIV655416 KSQ655416:KSR655416 LCM655416:LCN655416 LMI655416:LMJ655416 LWE655416:LWF655416 MGA655416:MGB655416 MPW655416:MPX655416 MZS655416:MZT655416 NJO655416:NJP655416 NTK655416:NTL655416 ODG655416:ODH655416 ONC655416:OND655416 OWY655416:OWZ655416 PGU655416:PGV655416 PQQ655416:PQR655416 QAM655416:QAN655416 QKI655416:QKJ655416 QUE655416:QUF655416 REA655416:REB655416 RNW655416:RNX655416 RXS655416:RXT655416 SHO655416:SHP655416 SRK655416:SRL655416 TBG655416:TBH655416 TLC655416:TLD655416 TUY655416:TUZ655416 UEU655416:UEV655416 UOQ655416:UOR655416 UYM655416:UYN655416 VII655416:VIJ655416 VSE655416:VSF655416 WCA655416:WCB655416 WLW655416:WLX655416 WVS655416:WVT655416 K720952:L720952 JG720952:JH720952 TC720952:TD720952 ACY720952:ACZ720952 AMU720952:AMV720952 AWQ720952:AWR720952 BGM720952:BGN720952 BQI720952:BQJ720952 CAE720952:CAF720952 CKA720952:CKB720952 CTW720952:CTX720952 DDS720952:DDT720952 DNO720952:DNP720952 DXK720952:DXL720952 EHG720952:EHH720952 ERC720952:ERD720952 FAY720952:FAZ720952 FKU720952:FKV720952 FUQ720952:FUR720952 GEM720952:GEN720952 GOI720952:GOJ720952 GYE720952:GYF720952 HIA720952:HIB720952 HRW720952:HRX720952 IBS720952:IBT720952 ILO720952:ILP720952 IVK720952:IVL720952 JFG720952:JFH720952 JPC720952:JPD720952 JYY720952:JYZ720952 KIU720952:KIV720952 KSQ720952:KSR720952 LCM720952:LCN720952 LMI720952:LMJ720952 LWE720952:LWF720952 MGA720952:MGB720952 MPW720952:MPX720952 MZS720952:MZT720952 NJO720952:NJP720952 NTK720952:NTL720952 ODG720952:ODH720952 ONC720952:OND720952 OWY720952:OWZ720952 PGU720952:PGV720952 PQQ720952:PQR720952 QAM720952:QAN720952 QKI720952:QKJ720952 QUE720952:QUF720952 REA720952:REB720952 RNW720952:RNX720952 RXS720952:RXT720952 SHO720952:SHP720952 SRK720952:SRL720952 TBG720952:TBH720952 TLC720952:TLD720952 TUY720952:TUZ720952 UEU720952:UEV720952 UOQ720952:UOR720952 UYM720952:UYN720952 VII720952:VIJ720952 VSE720952:VSF720952 WCA720952:WCB720952 WLW720952:WLX720952 WVS720952:WVT720952 K786488:L786488 JG786488:JH786488 TC786488:TD786488 ACY786488:ACZ786488 AMU786488:AMV786488 AWQ786488:AWR786488 BGM786488:BGN786488 BQI786488:BQJ786488 CAE786488:CAF786488 CKA786488:CKB786488 CTW786488:CTX786488 DDS786488:DDT786488 DNO786488:DNP786488 DXK786488:DXL786488 EHG786488:EHH786488 ERC786488:ERD786488 FAY786488:FAZ786488 FKU786488:FKV786488 FUQ786488:FUR786488 GEM786488:GEN786488 GOI786488:GOJ786488 GYE786488:GYF786488 HIA786488:HIB786488 HRW786488:HRX786488 IBS786488:IBT786488 ILO786488:ILP786488 IVK786488:IVL786488 JFG786488:JFH786488 JPC786488:JPD786488 JYY786488:JYZ786488 KIU786488:KIV786488 KSQ786488:KSR786488 LCM786488:LCN786488 LMI786488:LMJ786488 LWE786488:LWF786488 MGA786488:MGB786488 MPW786488:MPX786488 MZS786488:MZT786488 NJO786488:NJP786488 NTK786488:NTL786488 ODG786488:ODH786488 ONC786488:OND786488 OWY786488:OWZ786488 PGU786488:PGV786488 PQQ786488:PQR786488 QAM786488:QAN786488 QKI786488:QKJ786488 QUE786488:QUF786488 REA786488:REB786488 RNW786488:RNX786488 RXS786488:RXT786488 SHO786488:SHP786488 SRK786488:SRL786488 TBG786488:TBH786488 TLC786488:TLD786488 TUY786488:TUZ786488 UEU786488:UEV786488 UOQ786488:UOR786488 UYM786488:UYN786488 VII786488:VIJ786488 VSE786488:VSF786488 WCA786488:WCB786488 WLW786488:WLX786488 WVS786488:WVT786488 K852024:L852024 JG852024:JH852024 TC852024:TD852024 ACY852024:ACZ852024 AMU852024:AMV852024 AWQ852024:AWR852024 BGM852024:BGN852024 BQI852024:BQJ852024 CAE852024:CAF852024 CKA852024:CKB852024 CTW852024:CTX852024 DDS852024:DDT852024 DNO852024:DNP852024 DXK852024:DXL852024 EHG852024:EHH852024 ERC852024:ERD852024 FAY852024:FAZ852024 FKU852024:FKV852024 FUQ852024:FUR852024 GEM852024:GEN852024 GOI852024:GOJ852024 GYE852024:GYF852024 HIA852024:HIB852024 HRW852024:HRX852024 IBS852024:IBT852024 ILO852024:ILP852024 IVK852024:IVL852024 JFG852024:JFH852024 JPC852024:JPD852024 JYY852024:JYZ852024 KIU852024:KIV852024 KSQ852024:KSR852024 LCM852024:LCN852024 LMI852024:LMJ852024 LWE852024:LWF852024 MGA852024:MGB852024 MPW852024:MPX852024 MZS852024:MZT852024 NJO852024:NJP852024 NTK852024:NTL852024 ODG852024:ODH852024 ONC852024:OND852024 OWY852024:OWZ852024 PGU852024:PGV852024 PQQ852024:PQR852024 QAM852024:QAN852024 QKI852024:QKJ852024 QUE852024:QUF852024 REA852024:REB852024 RNW852024:RNX852024 RXS852024:RXT852024 SHO852024:SHP852024 SRK852024:SRL852024 TBG852024:TBH852024 TLC852024:TLD852024 TUY852024:TUZ852024 UEU852024:UEV852024 UOQ852024:UOR852024 UYM852024:UYN852024 VII852024:VIJ852024 VSE852024:VSF852024 WCA852024:WCB852024 WLW852024:WLX852024 WVS852024:WVT852024 K917560:L917560 JG917560:JH917560 TC917560:TD917560 ACY917560:ACZ917560 AMU917560:AMV917560 AWQ917560:AWR917560 BGM917560:BGN917560 BQI917560:BQJ917560 CAE917560:CAF917560 CKA917560:CKB917560 CTW917560:CTX917560 DDS917560:DDT917560 DNO917560:DNP917560 DXK917560:DXL917560 EHG917560:EHH917560 ERC917560:ERD917560 FAY917560:FAZ917560 FKU917560:FKV917560 FUQ917560:FUR917560 GEM917560:GEN917560 GOI917560:GOJ917560 GYE917560:GYF917560 HIA917560:HIB917560 HRW917560:HRX917560 IBS917560:IBT917560 ILO917560:ILP917560 IVK917560:IVL917560 JFG917560:JFH917560 JPC917560:JPD917560 JYY917560:JYZ917560 KIU917560:KIV917560 KSQ917560:KSR917560 LCM917560:LCN917560 LMI917560:LMJ917560 LWE917560:LWF917560 MGA917560:MGB917560 MPW917560:MPX917560 MZS917560:MZT917560 NJO917560:NJP917560 NTK917560:NTL917560 ODG917560:ODH917560 ONC917560:OND917560 OWY917560:OWZ917560 PGU917560:PGV917560 PQQ917560:PQR917560 QAM917560:QAN917560 QKI917560:QKJ917560 QUE917560:QUF917560 REA917560:REB917560 RNW917560:RNX917560 RXS917560:RXT917560 SHO917560:SHP917560 SRK917560:SRL917560 TBG917560:TBH917560 TLC917560:TLD917560 TUY917560:TUZ917560 UEU917560:UEV917560 UOQ917560:UOR917560 UYM917560:UYN917560 VII917560:VIJ917560 VSE917560:VSF917560 WCA917560:WCB917560 WLW917560:WLX917560 WVS917560:WVT917560 K983096:L983096 JG983096:JH983096 TC983096:TD983096 ACY983096:ACZ983096 AMU983096:AMV983096 AWQ983096:AWR983096 BGM983096:BGN983096 BQI983096:BQJ983096 CAE983096:CAF983096 CKA983096:CKB983096 CTW983096:CTX983096 DDS983096:DDT983096 DNO983096:DNP983096 DXK983096:DXL983096 EHG983096:EHH983096 ERC983096:ERD983096 FAY983096:FAZ983096 FKU983096:FKV983096 FUQ983096:FUR983096 GEM983096:GEN983096 GOI983096:GOJ983096 GYE983096:GYF983096 HIA983096:HIB983096 HRW983096:HRX983096 IBS983096:IBT983096 ILO983096:ILP983096 IVK983096:IVL983096 JFG983096:JFH983096 JPC983096:JPD983096 JYY983096:JYZ983096 KIU983096:KIV983096 KSQ983096:KSR983096 LCM983096:LCN983096 LMI983096:LMJ983096 LWE983096:LWF983096 MGA983096:MGB983096 MPW983096:MPX983096 MZS983096:MZT983096 NJO983096:NJP983096 NTK983096:NTL983096 ODG983096:ODH983096 ONC983096:OND983096 OWY983096:OWZ983096 PGU983096:PGV983096 PQQ983096:PQR983096 QAM983096:QAN983096 QKI983096:QKJ983096 QUE983096:QUF983096 REA983096:REB983096 RNW983096:RNX983096 RXS983096:RXT983096 SHO983096:SHP983096 SRK983096:SRL983096 TBG983096:TBH983096 TLC983096:TLD983096 TUY983096:TUZ983096 UEU983096:UEV983096 UOQ983096:UOR983096 UYM983096:UYN983096 VII983096:VIJ983096 VSE983096:VSF983096 WCA983096:WCB983096 WLW983096:WLX983096 WVS983096:WVT983096 L57:L149 JH57:JH149 TD57:TD149 ACZ57:ACZ149 AMV57:AMV149 AWR57:AWR149 BGN57:BGN149 BQJ57:BQJ149 CAF57:CAF149 CKB57:CKB149 CTX57:CTX149 DDT57:DDT149 DNP57:DNP149 DXL57:DXL149 EHH57:EHH149 ERD57:ERD149 FAZ57:FAZ149 FKV57:FKV149 FUR57:FUR149 GEN57:GEN149 GOJ57:GOJ149 GYF57:GYF149 HIB57:HIB149 HRX57:HRX149 IBT57:IBT149 ILP57:ILP149 IVL57:IVL149 JFH57:JFH149 JPD57:JPD149 JYZ57:JYZ149 KIV57:KIV149 KSR57:KSR149 LCN57:LCN149 LMJ57:LMJ149 LWF57:LWF149 MGB57:MGB149 MPX57:MPX149 MZT57:MZT149 NJP57:NJP149 NTL57:NTL149 ODH57:ODH149 OND57:OND149 OWZ57:OWZ149 PGV57:PGV149 PQR57:PQR149 QAN57:QAN149 QKJ57:QKJ149 QUF57:QUF149 REB57:REB149 RNX57:RNX149 RXT57:RXT149 SHP57:SHP149 SRL57:SRL149 TBH57:TBH149 TLD57:TLD149 TUZ57:TUZ149 UEV57:UEV149 UOR57:UOR149 UYN57:UYN149 VIJ57:VIJ149 VSF57:VSF149 WCB57:WCB149 WLX57:WLX149 WVT57:WVT149 L65593:L65685 JH65593:JH65685 TD65593:TD65685 ACZ65593:ACZ65685 AMV65593:AMV65685 AWR65593:AWR65685 BGN65593:BGN65685 BQJ65593:BQJ65685 CAF65593:CAF65685 CKB65593:CKB65685 CTX65593:CTX65685 DDT65593:DDT65685 DNP65593:DNP65685 DXL65593:DXL65685 EHH65593:EHH65685 ERD65593:ERD65685 FAZ65593:FAZ65685 FKV65593:FKV65685 FUR65593:FUR65685 GEN65593:GEN65685 GOJ65593:GOJ65685 GYF65593:GYF65685 HIB65593:HIB65685 HRX65593:HRX65685 IBT65593:IBT65685 ILP65593:ILP65685 IVL65593:IVL65685 JFH65593:JFH65685 JPD65593:JPD65685 JYZ65593:JYZ65685 KIV65593:KIV65685 KSR65593:KSR65685 LCN65593:LCN65685 LMJ65593:LMJ65685 LWF65593:LWF65685 MGB65593:MGB65685 MPX65593:MPX65685 MZT65593:MZT65685 NJP65593:NJP65685 NTL65593:NTL65685 ODH65593:ODH65685 OND65593:OND65685 OWZ65593:OWZ65685 PGV65593:PGV65685 PQR65593:PQR65685 QAN65593:QAN65685 QKJ65593:QKJ65685 QUF65593:QUF65685 REB65593:REB65685 RNX65593:RNX65685 RXT65593:RXT65685 SHP65593:SHP65685 SRL65593:SRL65685 TBH65593:TBH65685 TLD65593:TLD65685 TUZ65593:TUZ65685 UEV65593:UEV65685 UOR65593:UOR65685 UYN65593:UYN65685 VIJ65593:VIJ65685 VSF65593:VSF65685 WCB65593:WCB65685 WLX65593:WLX65685 WVT65593:WVT65685 L131129:L131221 JH131129:JH131221 TD131129:TD131221 ACZ131129:ACZ131221 AMV131129:AMV131221 AWR131129:AWR131221 BGN131129:BGN131221 BQJ131129:BQJ131221 CAF131129:CAF131221 CKB131129:CKB131221 CTX131129:CTX131221 DDT131129:DDT131221 DNP131129:DNP131221 DXL131129:DXL131221 EHH131129:EHH131221 ERD131129:ERD131221 FAZ131129:FAZ131221 FKV131129:FKV131221 FUR131129:FUR131221 GEN131129:GEN131221 GOJ131129:GOJ131221 GYF131129:GYF131221 HIB131129:HIB131221 HRX131129:HRX131221 IBT131129:IBT131221 ILP131129:ILP131221 IVL131129:IVL131221 JFH131129:JFH131221 JPD131129:JPD131221 JYZ131129:JYZ131221 KIV131129:KIV131221 KSR131129:KSR131221 LCN131129:LCN131221 LMJ131129:LMJ131221 LWF131129:LWF131221 MGB131129:MGB131221 MPX131129:MPX131221 MZT131129:MZT131221 NJP131129:NJP131221 NTL131129:NTL131221 ODH131129:ODH131221 OND131129:OND131221 OWZ131129:OWZ131221 PGV131129:PGV131221 PQR131129:PQR131221 QAN131129:QAN131221 QKJ131129:QKJ131221 QUF131129:QUF131221 REB131129:REB131221 RNX131129:RNX131221 RXT131129:RXT131221 SHP131129:SHP131221 SRL131129:SRL131221 TBH131129:TBH131221 TLD131129:TLD131221 TUZ131129:TUZ131221 UEV131129:UEV131221 UOR131129:UOR131221 UYN131129:UYN131221 VIJ131129:VIJ131221 VSF131129:VSF131221 WCB131129:WCB131221 WLX131129:WLX131221 WVT131129:WVT131221 L196665:L196757 JH196665:JH196757 TD196665:TD196757 ACZ196665:ACZ196757 AMV196665:AMV196757 AWR196665:AWR196757 BGN196665:BGN196757 BQJ196665:BQJ196757 CAF196665:CAF196757 CKB196665:CKB196757 CTX196665:CTX196757 DDT196665:DDT196757 DNP196665:DNP196757 DXL196665:DXL196757 EHH196665:EHH196757 ERD196665:ERD196757 FAZ196665:FAZ196757 FKV196665:FKV196757 FUR196665:FUR196757 GEN196665:GEN196757 GOJ196665:GOJ196757 GYF196665:GYF196757 HIB196665:HIB196757 HRX196665:HRX196757 IBT196665:IBT196757 ILP196665:ILP196757 IVL196665:IVL196757 JFH196665:JFH196757 JPD196665:JPD196757 JYZ196665:JYZ196757 KIV196665:KIV196757 KSR196665:KSR196757 LCN196665:LCN196757 LMJ196665:LMJ196757 LWF196665:LWF196757 MGB196665:MGB196757 MPX196665:MPX196757 MZT196665:MZT196757 NJP196665:NJP196757 NTL196665:NTL196757 ODH196665:ODH196757 OND196665:OND196757 OWZ196665:OWZ196757 PGV196665:PGV196757 PQR196665:PQR196757 QAN196665:QAN196757 QKJ196665:QKJ196757 QUF196665:QUF196757 REB196665:REB196757 RNX196665:RNX196757 RXT196665:RXT196757 SHP196665:SHP196757 SRL196665:SRL196757 TBH196665:TBH196757 TLD196665:TLD196757 TUZ196665:TUZ196757 UEV196665:UEV196757 UOR196665:UOR196757 UYN196665:UYN196757 VIJ196665:VIJ196757 VSF196665:VSF196757 WCB196665:WCB196757 WLX196665:WLX196757 WVT196665:WVT196757 L262201:L262293 JH262201:JH262293 TD262201:TD262293 ACZ262201:ACZ262293 AMV262201:AMV262293 AWR262201:AWR262293 BGN262201:BGN262293 BQJ262201:BQJ262293 CAF262201:CAF262293 CKB262201:CKB262293 CTX262201:CTX262293 DDT262201:DDT262293 DNP262201:DNP262293 DXL262201:DXL262293 EHH262201:EHH262293 ERD262201:ERD262293 FAZ262201:FAZ262293 FKV262201:FKV262293 FUR262201:FUR262293 GEN262201:GEN262293 GOJ262201:GOJ262293 GYF262201:GYF262293 HIB262201:HIB262293 HRX262201:HRX262293 IBT262201:IBT262293 ILP262201:ILP262293 IVL262201:IVL262293 JFH262201:JFH262293 JPD262201:JPD262293 JYZ262201:JYZ262293 KIV262201:KIV262293 KSR262201:KSR262293 LCN262201:LCN262293 LMJ262201:LMJ262293 LWF262201:LWF262293 MGB262201:MGB262293 MPX262201:MPX262293 MZT262201:MZT262293 NJP262201:NJP262293 NTL262201:NTL262293 ODH262201:ODH262293 OND262201:OND262293 OWZ262201:OWZ262293 PGV262201:PGV262293 PQR262201:PQR262293 QAN262201:QAN262293 QKJ262201:QKJ262293 QUF262201:QUF262293 REB262201:REB262293 RNX262201:RNX262293 RXT262201:RXT262293 SHP262201:SHP262293 SRL262201:SRL262293 TBH262201:TBH262293 TLD262201:TLD262293 TUZ262201:TUZ262293 UEV262201:UEV262293 UOR262201:UOR262293 UYN262201:UYN262293 VIJ262201:VIJ262293 VSF262201:VSF262293 WCB262201:WCB262293 WLX262201:WLX262293 WVT262201:WVT262293 L327737:L327829 JH327737:JH327829 TD327737:TD327829 ACZ327737:ACZ327829 AMV327737:AMV327829 AWR327737:AWR327829 BGN327737:BGN327829 BQJ327737:BQJ327829 CAF327737:CAF327829 CKB327737:CKB327829 CTX327737:CTX327829 DDT327737:DDT327829 DNP327737:DNP327829 DXL327737:DXL327829 EHH327737:EHH327829 ERD327737:ERD327829 FAZ327737:FAZ327829 FKV327737:FKV327829 FUR327737:FUR327829 GEN327737:GEN327829 GOJ327737:GOJ327829 GYF327737:GYF327829 HIB327737:HIB327829 HRX327737:HRX327829 IBT327737:IBT327829 ILP327737:ILP327829 IVL327737:IVL327829 JFH327737:JFH327829 JPD327737:JPD327829 JYZ327737:JYZ327829 KIV327737:KIV327829 KSR327737:KSR327829 LCN327737:LCN327829 LMJ327737:LMJ327829 LWF327737:LWF327829 MGB327737:MGB327829 MPX327737:MPX327829 MZT327737:MZT327829 NJP327737:NJP327829 NTL327737:NTL327829 ODH327737:ODH327829 OND327737:OND327829 OWZ327737:OWZ327829 PGV327737:PGV327829 PQR327737:PQR327829 QAN327737:QAN327829 QKJ327737:QKJ327829 QUF327737:QUF327829 REB327737:REB327829 RNX327737:RNX327829 RXT327737:RXT327829 SHP327737:SHP327829 SRL327737:SRL327829 TBH327737:TBH327829 TLD327737:TLD327829 TUZ327737:TUZ327829 UEV327737:UEV327829 UOR327737:UOR327829 UYN327737:UYN327829 VIJ327737:VIJ327829 VSF327737:VSF327829 WCB327737:WCB327829 WLX327737:WLX327829 WVT327737:WVT327829 L393273:L393365 JH393273:JH393365 TD393273:TD393365 ACZ393273:ACZ393365 AMV393273:AMV393365 AWR393273:AWR393365 BGN393273:BGN393365 BQJ393273:BQJ393365 CAF393273:CAF393365 CKB393273:CKB393365 CTX393273:CTX393365 DDT393273:DDT393365 DNP393273:DNP393365 DXL393273:DXL393365 EHH393273:EHH393365 ERD393273:ERD393365 FAZ393273:FAZ393365 FKV393273:FKV393365 FUR393273:FUR393365 GEN393273:GEN393365 GOJ393273:GOJ393365 GYF393273:GYF393365 HIB393273:HIB393365 HRX393273:HRX393365 IBT393273:IBT393365 ILP393273:ILP393365 IVL393273:IVL393365 JFH393273:JFH393365 JPD393273:JPD393365 JYZ393273:JYZ393365 KIV393273:KIV393365 KSR393273:KSR393365 LCN393273:LCN393365 LMJ393273:LMJ393365 LWF393273:LWF393365 MGB393273:MGB393365 MPX393273:MPX393365 MZT393273:MZT393365 NJP393273:NJP393365 NTL393273:NTL393365 ODH393273:ODH393365 OND393273:OND393365 OWZ393273:OWZ393365 PGV393273:PGV393365 PQR393273:PQR393365 QAN393273:QAN393365 QKJ393273:QKJ393365 QUF393273:QUF393365 REB393273:REB393365 RNX393273:RNX393365 RXT393273:RXT393365 SHP393273:SHP393365 SRL393273:SRL393365 TBH393273:TBH393365 TLD393273:TLD393365 TUZ393273:TUZ393365 UEV393273:UEV393365 UOR393273:UOR393365 UYN393273:UYN393365 VIJ393273:VIJ393365 VSF393273:VSF393365 WCB393273:WCB393365 WLX393273:WLX393365 WVT393273:WVT393365 L458809:L458901 JH458809:JH458901 TD458809:TD458901 ACZ458809:ACZ458901 AMV458809:AMV458901 AWR458809:AWR458901 BGN458809:BGN458901 BQJ458809:BQJ458901 CAF458809:CAF458901 CKB458809:CKB458901 CTX458809:CTX458901 DDT458809:DDT458901 DNP458809:DNP458901 DXL458809:DXL458901 EHH458809:EHH458901 ERD458809:ERD458901 FAZ458809:FAZ458901 FKV458809:FKV458901 FUR458809:FUR458901 GEN458809:GEN458901 GOJ458809:GOJ458901 GYF458809:GYF458901 HIB458809:HIB458901 HRX458809:HRX458901 IBT458809:IBT458901 ILP458809:ILP458901 IVL458809:IVL458901 JFH458809:JFH458901 JPD458809:JPD458901 JYZ458809:JYZ458901 KIV458809:KIV458901 KSR458809:KSR458901 LCN458809:LCN458901 LMJ458809:LMJ458901 LWF458809:LWF458901 MGB458809:MGB458901 MPX458809:MPX458901 MZT458809:MZT458901 NJP458809:NJP458901 NTL458809:NTL458901 ODH458809:ODH458901 OND458809:OND458901 OWZ458809:OWZ458901 PGV458809:PGV458901 PQR458809:PQR458901 QAN458809:QAN458901 QKJ458809:QKJ458901 QUF458809:QUF458901 REB458809:REB458901 RNX458809:RNX458901 RXT458809:RXT458901 SHP458809:SHP458901 SRL458809:SRL458901 TBH458809:TBH458901 TLD458809:TLD458901 TUZ458809:TUZ458901 UEV458809:UEV458901 UOR458809:UOR458901 UYN458809:UYN458901 VIJ458809:VIJ458901 VSF458809:VSF458901 WCB458809:WCB458901 WLX458809:WLX458901 WVT458809:WVT458901 L524345:L524437 JH524345:JH524437 TD524345:TD524437 ACZ524345:ACZ524437 AMV524345:AMV524437 AWR524345:AWR524437 BGN524345:BGN524437 BQJ524345:BQJ524437 CAF524345:CAF524437 CKB524345:CKB524437 CTX524345:CTX524437 DDT524345:DDT524437 DNP524345:DNP524437 DXL524345:DXL524437 EHH524345:EHH524437 ERD524345:ERD524437 FAZ524345:FAZ524437 FKV524345:FKV524437 FUR524345:FUR524437 GEN524345:GEN524437 GOJ524345:GOJ524437 GYF524345:GYF524437 HIB524345:HIB524437 HRX524345:HRX524437 IBT524345:IBT524437 ILP524345:ILP524437 IVL524345:IVL524437 JFH524345:JFH524437 JPD524345:JPD524437 JYZ524345:JYZ524437 KIV524345:KIV524437 KSR524345:KSR524437 LCN524345:LCN524437 LMJ524345:LMJ524437 LWF524345:LWF524437 MGB524345:MGB524437 MPX524345:MPX524437 MZT524345:MZT524437 NJP524345:NJP524437 NTL524345:NTL524437 ODH524345:ODH524437 OND524345:OND524437 OWZ524345:OWZ524437 PGV524345:PGV524437 PQR524345:PQR524437 QAN524345:QAN524437 QKJ524345:QKJ524437 QUF524345:QUF524437 REB524345:REB524437 RNX524345:RNX524437 RXT524345:RXT524437 SHP524345:SHP524437 SRL524345:SRL524437 TBH524345:TBH524437 TLD524345:TLD524437 TUZ524345:TUZ524437 UEV524345:UEV524437 UOR524345:UOR524437 UYN524345:UYN524437 VIJ524345:VIJ524437 VSF524345:VSF524437 WCB524345:WCB524437 WLX524345:WLX524437 WVT524345:WVT524437 L589881:L589973 JH589881:JH589973 TD589881:TD589973 ACZ589881:ACZ589973 AMV589881:AMV589973 AWR589881:AWR589973 BGN589881:BGN589973 BQJ589881:BQJ589973 CAF589881:CAF589973 CKB589881:CKB589973 CTX589881:CTX589973 DDT589881:DDT589973 DNP589881:DNP589973 DXL589881:DXL589973 EHH589881:EHH589973 ERD589881:ERD589973 FAZ589881:FAZ589973 FKV589881:FKV589973 FUR589881:FUR589973 GEN589881:GEN589973 GOJ589881:GOJ589973 GYF589881:GYF589973 HIB589881:HIB589973 HRX589881:HRX589973 IBT589881:IBT589973 ILP589881:ILP589973 IVL589881:IVL589973 JFH589881:JFH589973 JPD589881:JPD589973 JYZ589881:JYZ589973 KIV589881:KIV589973 KSR589881:KSR589973 LCN589881:LCN589973 LMJ589881:LMJ589973 LWF589881:LWF589973 MGB589881:MGB589973 MPX589881:MPX589973 MZT589881:MZT589973 NJP589881:NJP589973 NTL589881:NTL589973 ODH589881:ODH589973 OND589881:OND589973 OWZ589881:OWZ589973 PGV589881:PGV589973 PQR589881:PQR589973 QAN589881:QAN589973 QKJ589881:QKJ589973 QUF589881:QUF589973 REB589881:REB589973 RNX589881:RNX589973 RXT589881:RXT589973 SHP589881:SHP589973 SRL589881:SRL589973 TBH589881:TBH589973 TLD589881:TLD589973 TUZ589881:TUZ589973 UEV589881:UEV589973 UOR589881:UOR589973 UYN589881:UYN589973 VIJ589881:VIJ589973 VSF589881:VSF589973 WCB589881:WCB589973 WLX589881:WLX589973 WVT589881:WVT589973 L655417:L655509 JH655417:JH655509 TD655417:TD655509 ACZ655417:ACZ655509 AMV655417:AMV655509 AWR655417:AWR655509 BGN655417:BGN655509 BQJ655417:BQJ655509 CAF655417:CAF655509 CKB655417:CKB655509 CTX655417:CTX655509 DDT655417:DDT655509 DNP655417:DNP655509 DXL655417:DXL655509 EHH655417:EHH655509 ERD655417:ERD655509 FAZ655417:FAZ655509 FKV655417:FKV655509 FUR655417:FUR655509 GEN655417:GEN655509 GOJ655417:GOJ655509 GYF655417:GYF655509 HIB655417:HIB655509 HRX655417:HRX655509 IBT655417:IBT655509 ILP655417:ILP655509 IVL655417:IVL655509 JFH655417:JFH655509 JPD655417:JPD655509 JYZ655417:JYZ655509 KIV655417:KIV655509 KSR655417:KSR655509 LCN655417:LCN655509 LMJ655417:LMJ655509 LWF655417:LWF655509 MGB655417:MGB655509 MPX655417:MPX655509 MZT655417:MZT655509 NJP655417:NJP655509 NTL655417:NTL655509 ODH655417:ODH655509 OND655417:OND655509 OWZ655417:OWZ655509 PGV655417:PGV655509 PQR655417:PQR655509 QAN655417:QAN655509 QKJ655417:QKJ655509 QUF655417:QUF655509 REB655417:REB655509 RNX655417:RNX655509 RXT655417:RXT655509 SHP655417:SHP655509 SRL655417:SRL655509 TBH655417:TBH655509 TLD655417:TLD655509 TUZ655417:TUZ655509 UEV655417:UEV655509 UOR655417:UOR655509 UYN655417:UYN655509 VIJ655417:VIJ655509 VSF655417:VSF655509 WCB655417:WCB655509 WLX655417:WLX655509 WVT655417:WVT655509 L720953:L721045 JH720953:JH721045 TD720953:TD721045 ACZ720953:ACZ721045 AMV720953:AMV721045 AWR720953:AWR721045 BGN720953:BGN721045 BQJ720953:BQJ721045 CAF720953:CAF721045 CKB720953:CKB721045 CTX720953:CTX721045 DDT720953:DDT721045 DNP720953:DNP721045 DXL720953:DXL721045 EHH720953:EHH721045 ERD720953:ERD721045 FAZ720953:FAZ721045 FKV720953:FKV721045 FUR720953:FUR721045 GEN720953:GEN721045 GOJ720953:GOJ721045 GYF720953:GYF721045 HIB720953:HIB721045 HRX720953:HRX721045 IBT720953:IBT721045 ILP720953:ILP721045 IVL720953:IVL721045 JFH720953:JFH721045 JPD720953:JPD721045 JYZ720953:JYZ721045 KIV720953:KIV721045 KSR720953:KSR721045 LCN720953:LCN721045 LMJ720953:LMJ721045 LWF720953:LWF721045 MGB720953:MGB721045 MPX720953:MPX721045 MZT720953:MZT721045 NJP720953:NJP721045 NTL720953:NTL721045 ODH720953:ODH721045 OND720953:OND721045 OWZ720953:OWZ721045 PGV720953:PGV721045 PQR720953:PQR721045 QAN720953:QAN721045 QKJ720953:QKJ721045 QUF720953:QUF721045 REB720953:REB721045 RNX720953:RNX721045 RXT720953:RXT721045 SHP720953:SHP721045 SRL720953:SRL721045 TBH720953:TBH721045 TLD720953:TLD721045 TUZ720953:TUZ721045 UEV720953:UEV721045 UOR720953:UOR721045 UYN720953:UYN721045 VIJ720953:VIJ721045 VSF720953:VSF721045 WCB720953:WCB721045 WLX720953:WLX721045 WVT720953:WVT721045 L786489:L786581 JH786489:JH786581 TD786489:TD786581 ACZ786489:ACZ786581 AMV786489:AMV786581 AWR786489:AWR786581 BGN786489:BGN786581 BQJ786489:BQJ786581 CAF786489:CAF786581 CKB786489:CKB786581 CTX786489:CTX786581 DDT786489:DDT786581 DNP786489:DNP786581 DXL786489:DXL786581 EHH786489:EHH786581 ERD786489:ERD786581 FAZ786489:FAZ786581 FKV786489:FKV786581 FUR786489:FUR786581 GEN786489:GEN786581 GOJ786489:GOJ786581 GYF786489:GYF786581 HIB786489:HIB786581 HRX786489:HRX786581 IBT786489:IBT786581 ILP786489:ILP786581 IVL786489:IVL786581 JFH786489:JFH786581 JPD786489:JPD786581 JYZ786489:JYZ786581 KIV786489:KIV786581 KSR786489:KSR786581 LCN786489:LCN786581 LMJ786489:LMJ786581 LWF786489:LWF786581 MGB786489:MGB786581 MPX786489:MPX786581 MZT786489:MZT786581 NJP786489:NJP786581 NTL786489:NTL786581 ODH786489:ODH786581 OND786489:OND786581 OWZ786489:OWZ786581 PGV786489:PGV786581 PQR786489:PQR786581 QAN786489:QAN786581 QKJ786489:QKJ786581 QUF786489:QUF786581 REB786489:REB786581 RNX786489:RNX786581 RXT786489:RXT786581 SHP786489:SHP786581 SRL786489:SRL786581 TBH786489:TBH786581 TLD786489:TLD786581 TUZ786489:TUZ786581 UEV786489:UEV786581 UOR786489:UOR786581 UYN786489:UYN786581 VIJ786489:VIJ786581 VSF786489:VSF786581 WCB786489:WCB786581 WLX786489:WLX786581 WVT786489:WVT786581 L852025:L852117 JH852025:JH852117 TD852025:TD852117 ACZ852025:ACZ852117 AMV852025:AMV852117 AWR852025:AWR852117 BGN852025:BGN852117 BQJ852025:BQJ852117 CAF852025:CAF852117 CKB852025:CKB852117 CTX852025:CTX852117 DDT852025:DDT852117 DNP852025:DNP852117 DXL852025:DXL852117 EHH852025:EHH852117 ERD852025:ERD852117 FAZ852025:FAZ852117 FKV852025:FKV852117 FUR852025:FUR852117 GEN852025:GEN852117 GOJ852025:GOJ852117 GYF852025:GYF852117 HIB852025:HIB852117 HRX852025:HRX852117 IBT852025:IBT852117 ILP852025:ILP852117 IVL852025:IVL852117 JFH852025:JFH852117 JPD852025:JPD852117 JYZ852025:JYZ852117 KIV852025:KIV852117 KSR852025:KSR852117 LCN852025:LCN852117 LMJ852025:LMJ852117 LWF852025:LWF852117 MGB852025:MGB852117 MPX852025:MPX852117 MZT852025:MZT852117 NJP852025:NJP852117 NTL852025:NTL852117 ODH852025:ODH852117 OND852025:OND852117 OWZ852025:OWZ852117 PGV852025:PGV852117 PQR852025:PQR852117 QAN852025:QAN852117 QKJ852025:QKJ852117 QUF852025:QUF852117 REB852025:REB852117 RNX852025:RNX852117 RXT852025:RXT852117 SHP852025:SHP852117 SRL852025:SRL852117 TBH852025:TBH852117 TLD852025:TLD852117 TUZ852025:TUZ852117 UEV852025:UEV852117 UOR852025:UOR852117 UYN852025:UYN852117 VIJ852025:VIJ852117 VSF852025:VSF852117 WCB852025:WCB852117 WLX852025:WLX852117 WVT852025:WVT852117 L917561:L917653 JH917561:JH917653 TD917561:TD917653 ACZ917561:ACZ917653 AMV917561:AMV917653 AWR917561:AWR917653 BGN917561:BGN917653 BQJ917561:BQJ917653 CAF917561:CAF917653 CKB917561:CKB917653 CTX917561:CTX917653 DDT917561:DDT917653 DNP917561:DNP917653 DXL917561:DXL917653 EHH917561:EHH917653 ERD917561:ERD917653 FAZ917561:FAZ917653 FKV917561:FKV917653 FUR917561:FUR917653 GEN917561:GEN917653 GOJ917561:GOJ917653 GYF917561:GYF917653 HIB917561:HIB917653 HRX917561:HRX917653 IBT917561:IBT917653 ILP917561:ILP917653 IVL917561:IVL917653 JFH917561:JFH917653 JPD917561:JPD917653 JYZ917561:JYZ917653 KIV917561:KIV917653 KSR917561:KSR917653 LCN917561:LCN917653 LMJ917561:LMJ917653 LWF917561:LWF917653 MGB917561:MGB917653 MPX917561:MPX917653 MZT917561:MZT917653 NJP917561:NJP917653 NTL917561:NTL917653 ODH917561:ODH917653 OND917561:OND917653 OWZ917561:OWZ917653 PGV917561:PGV917653 PQR917561:PQR917653 QAN917561:QAN917653 QKJ917561:QKJ917653 QUF917561:QUF917653 REB917561:REB917653 RNX917561:RNX917653 RXT917561:RXT917653 SHP917561:SHP917653 SRL917561:SRL917653 TBH917561:TBH917653 TLD917561:TLD917653 TUZ917561:TUZ917653 UEV917561:UEV917653 UOR917561:UOR917653 UYN917561:UYN917653 VIJ917561:VIJ917653 VSF917561:VSF917653 WCB917561:WCB917653 WLX917561:WLX917653 WVT917561:WVT917653 L983097:L983189 JH983097:JH983189 TD983097:TD983189 ACZ983097:ACZ983189 AMV983097:AMV983189 AWR983097:AWR983189 BGN983097:BGN983189 BQJ983097:BQJ983189 CAF983097:CAF983189 CKB983097:CKB983189 CTX983097:CTX983189 DDT983097:DDT983189 DNP983097:DNP983189 DXL983097:DXL983189 EHH983097:EHH983189 ERD983097:ERD983189 FAZ983097:FAZ983189 FKV983097:FKV983189 FUR983097:FUR983189 GEN983097:GEN983189 GOJ983097:GOJ983189 GYF983097:GYF983189 HIB983097:HIB983189 HRX983097:HRX983189 IBT983097:IBT983189 ILP983097:ILP983189 IVL983097:IVL983189 JFH983097:JFH983189 JPD983097:JPD983189 JYZ983097:JYZ983189 KIV983097:KIV983189 KSR983097:KSR983189 LCN983097:LCN983189 LMJ983097:LMJ983189 LWF983097:LWF983189 MGB983097:MGB983189 MPX983097:MPX983189 MZT983097:MZT983189 NJP983097:NJP983189 NTL983097:NTL983189 ODH983097:ODH983189 OND983097:OND983189 OWZ983097:OWZ983189 PGV983097:PGV983189 PQR983097:PQR983189 QAN983097:QAN983189 QKJ983097:QKJ983189 QUF983097:QUF983189 REB983097:REB983189 RNX983097:RNX983189 RXT983097:RXT983189 SHP983097:SHP983189 SRL983097:SRL983189 TBH983097:TBH983189 TLD983097:TLD983189 TUZ983097:TUZ983189 UEV983097:UEV983189 UOR983097:UOR983189 UYN983097:UYN983189 VIJ983097:VIJ983189 VSF983097:VSF983189 WCB983097:WCB983189 WLX983097:WLX983189 WVT983097:WVT983189 V22:AE53 JR22:KA53 TN22:TW53 ADJ22:ADS53 ANF22:ANO53 AXB22:AXK53 BGX22:BHG53 BQT22:BRC53 CAP22:CAY53 CKL22:CKU53 CUH22:CUQ53 DED22:DEM53 DNZ22:DOI53 DXV22:DYE53 EHR22:EIA53 ERN22:ERW53 FBJ22:FBS53 FLF22:FLO53 FVB22:FVK53 GEX22:GFG53 GOT22:GPC53 GYP22:GYY53 HIL22:HIU53 HSH22:HSQ53 ICD22:ICM53 ILZ22:IMI53 IVV22:IWE53 JFR22:JGA53 JPN22:JPW53 JZJ22:JZS53 KJF22:KJO53 KTB22:KTK53 LCX22:LDG53 LMT22:LNC53 LWP22:LWY53 MGL22:MGU53 MQH22:MQQ53 NAD22:NAM53 NJZ22:NKI53 NTV22:NUE53 ODR22:OEA53 ONN22:ONW53 OXJ22:OXS53 PHF22:PHO53 PRB22:PRK53 QAX22:QBG53 QKT22:QLC53 QUP22:QUY53 REL22:REU53 ROH22:ROQ53 RYD22:RYM53 SHZ22:SII53 SRV22:SSE53 TBR22:TCA53 TLN22:TLW53 TVJ22:TVS53 UFF22:UFO53 UPB22:UPK53 UYX22:UZG53 VIT22:VJC53 VSP22:VSY53 WCL22:WCU53 WMH22:WMQ53 WWD22:WWM53 V65558:AE65589 JR65558:KA65589 TN65558:TW65589 ADJ65558:ADS65589 ANF65558:ANO65589 AXB65558:AXK65589 BGX65558:BHG65589 BQT65558:BRC65589 CAP65558:CAY65589 CKL65558:CKU65589 CUH65558:CUQ65589 DED65558:DEM65589 DNZ65558:DOI65589 DXV65558:DYE65589 EHR65558:EIA65589 ERN65558:ERW65589 FBJ65558:FBS65589 FLF65558:FLO65589 FVB65558:FVK65589 GEX65558:GFG65589 GOT65558:GPC65589 GYP65558:GYY65589 HIL65558:HIU65589 HSH65558:HSQ65589 ICD65558:ICM65589 ILZ65558:IMI65589 IVV65558:IWE65589 JFR65558:JGA65589 JPN65558:JPW65589 JZJ65558:JZS65589 KJF65558:KJO65589 KTB65558:KTK65589 LCX65558:LDG65589 LMT65558:LNC65589 LWP65558:LWY65589 MGL65558:MGU65589 MQH65558:MQQ65589 NAD65558:NAM65589 NJZ65558:NKI65589 NTV65558:NUE65589 ODR65558:OEA65589 ONN65558:ONW65589 OXJ65558:OXS65589 PHF65558:PHO65589 PRB65558:PRK65589 QAX65558:QBG65589 QKT65558:QLC65589 QUP65558:QUY65589 REL65558:REU65589 ROH65558:ROQ65589 RYD65558:RYM65589 SHZ65558:SII65589 SRV65558:SSE65589 TBR65558:TCA65589 TLN65558:TLW65589 TVJ65558:TVS65589 UFF65558:UFO65589 UPB65558:UPK65589 UYX65558:UZG65589 VIT65558:VJC65589 VSP65558:VSY65589 WCL65558:WCU65589 WMH65558:WMQ65589 WWD65558:WWM65589 V131094:AE131125 JR131094:KA131125 TN131094:TW131125 ADJ131094:ADS131125 ANF131094:ANO131125 AXB131094:AXK131125 BGX131094:BHG131125 BQT131094:BRC131125 CAP131094:CAY131125 CKL131094:CKU131125 CUH131094:CUQ131125 DED131094:DEM131125 DNZ131094:DOI131125 DXV131094:DYE131125 EHR131094:EIA131125 ERN131094:ERW131125 FBJ131094:FBS131125 FLF131094:FLO131125 FVB131094:FVK131125 GEX131094:GFG131125 GOT131094:GPC131125 GYP131094:GYY131125 HIL131094:HIU131125 HSH131094:HSQ131125 ICD131094:ICM131125 ILZ131094:IMI131125 IVV131094:IWE131125 JFR131094:JGA131125 JPN131094:JPW131125 JZJ131094:JZS131125 KJF131094:KJO131125 KTB131094:KTK131125 LCX131094:LDG131125 LMT131094:LNC131125 LWP131094:LWY131125 MGL131094:MGU131125 MQH131094:MQQ131125 NAD131094:NAM131125 NJZ131094:NKI131125 NTV131094:NUE131125 ODR131094:OEA131125 ONN131094:ONW131125 OXJ131094:OXS131125 PHF131094:PHO131125 PRB131094:PRK131125 QAX131094:QBG131125 QKT131094:QLC131125 QUP131094:QUY131125 REL131094:REU131125 ROH131094:ROQ131125 RYD131094:RYM131125 SHZ131094:SII131125 SRV131094:SSE131125 TBR131094:TCA131125 TLN131094:TLW131125 TVJ131094:TVS131125 UFF131094:UFO131125 UPB131094:UPK131125 UYX131094:UZG131125 VIT131094:VJC131125 VSP131094:VSY131125 WCL131094:WCU131125 WMH131094:WMQ131125 WWD131094:WWM131125 V196630:AE196661 JR196630:KA196661 TN196630:TW196661 ADJ196630:ADS196661 ANF196630:ANO196661 AXB196630:AXK196661 BGX196630:BHG196661 BQT196630:BRC196661 CAP196630:CAY196661 CKL196630:CKU196661 CUH196630:CUQ196661 DED196630:DEM196661 DNZ196630:DOI196661 DXV196630:DYE196661 EHR196630:EIA196661 ERN196630:ERW196661 FBJ196630:FBS196661 FLF196630:FLO196661 FVB196630:FVK196661 GEX196630:GFG196661 GOT196630:GPC196661 GYP196630:GYY196661 HIL196630:HIU196661 HSH196630:HSQ196661 ICD196630:ICM196661 ILZ196630:IMI196661 IVV196630:IWE196661 JFR196630:JGA196661 JPN196630:JPW196661 JZJ196630:JZS196661 KJF196630:KJO196661 KTB196630:KTK196661 LCX196630:LDG196661 LMT196630:LNC196661 LWP196630:LWY196661 MGL196630:MGU196661 MQH196630:MQQ196661 NAD196630:NAM196661 NJZ196630:NKI196661 NTV196630:NUE196661 ODR196630:OEA196661 ONN196630:ONW196661 OXJ196630:OXS196661 PHF196630:PHO196661 PRB196630:PRK196661 QAX196630:QBG196661 QKT196630:QLC196661 QUP196630:QUY196661 REL196630:REU196661 ROH196630:ROQ196661 RYD196630:RYM196661 SHZ196630:SII196661 SRV196630:SSE196661 TBR196630:TCA196661 TLN196630:TLW196661 TVJ196630:TVS196661 UFF196630:UFO196661 UPB196630:UPK196661 UYX196630:UZG196661 VIT196630:VJC196661 VSP196630:VSY196661 WCL196630:WCU196661 WMH196630:WMQ196661 WWD196630:WWM196661 V262166:AE262197 JR262166:KA262197 TN262166:TW262197 ADJ262166:ADS262197 ANF262166:ANO262197 AXB262166:AXK262197 BGX262166:BHG262197 BQT262166:BRC262197 CAP262166:CAY262197 CKL262166:CKU262197 CUH262166:CUQ262197 DED262166:DEM262197 DNZ262166:DOI262197 DXV262166:DYE262197 EHR262166:EIA262197 ERN262166:ERW262197 FBJ262166:FBS262197 FLF262166:FLO262197 FVB262166:FVK262197 GEX262166:GFG262197 GOT262166:GPC262197 GYP262166:GYY262197 HIL262166:HIU262197 HSH262166:HSQ262197 ICD262166:ICM262197 ILZ262166:IMI262197 IVV262166:IWE262197 JFR262166:JGA262197 JPN262166:JPW262197 JZJ262166:JZS262197 KJF262166:KJO262197 KTB262166:KTK262197 LCX262166:LDG262197 LMT262166:LNC262197 LWP262166:LWY262197 MGL262166:MGU262197 MQH262166:MQQ262197 NAD262166:NAM262197 NJZ262166:NKI262197 NTV262166:NUE262197 ODR262166:OEA262197 ONN262166:ONW262197 OXJ262166:OXS262197 PHF262166:PHO262197 PRB262166:PRK262197 QAX262166:QBG262197 QKT262166:QLC262197 QUP262166:QUY262197 REL262166:REU262197 ROH262166:ROQ262197 RYD262166:RYM262197 SHZ262166:SII262197 SRV262166:SSE262197 TBR262166:TCA262197 TLN262166:TLW262197 TVJ262166:TVS262197 UFF262166:UFO262197 UPB262166:UPK262197 UYX262166:UZG262197 VIT262166:VJC262197 VSP262166:VSY262197 WCL262166:WCU262197 WMH262166:WMQ262197 WWD262166:WWM262197 V327702:AE327733 JR327702:KA327733 TN327702:TW327733 ADJ327702:ADS327733 ANF327702:ANO327733 AXB327702:AXK327733 BGX327702:BHG327733 BQT327702:BRC327733 CAP327702:CAY327733 CKL327702:CKU327733 CUH327702:CUQ327733 DED327702:DEM327733 DNZ327702:DOI327733 DXV327702:DYE327733 EHR327702:EIA327733 ERN327702:ERW327733 FBJ327702:FBS327733 FLF327702:FLO327733 FVB327702:FVK327733 GEX327702:GFG327733 GOT327702:GPC327733 GYP327702:GYY327733 HIL327702:HIU327733 HSH327702:HSQ327733 ICD327702:ICM327733 ILZ327702:IMI327733 IVV327702:IWE327733 JFR327702:JGA327733 JPN327702:JPW327733 JZJ327702:JZS327733 KJF327702:KJO327733 KTB327702:KTK327733 LCX327702:LDG327733 LMT327702:LNC327733 LWP327702:LWY327733 MGL327702:MGU327733 MQH327702:MQQ327733 NAD327702:NAM327733 NJZ327702:NKI327733 NTV327702:NUE327733 ODR327702:OEA327733 ONN327702:ONW327733 OXJ327702:OXS327733 PHF327702:PHO327733 PRB327702:PRK327733 QAX327702:QBG327733 QKT327702:QLC327733 QUP327702:QUY327733 REL327702:REU327733 ROH327702:ROQ327733 RYD327702:RYM327733 SHZ327702:SII327733 SRV327702:SSE327733 TBR327702:TCA327733 TLN327702:TLW327733 TVJ327702:TVS327733 UFF327702:UFO327733 UPB327702:UPK327733 UYX327702:UZG327733 VIT327702:VJC327733 VSP327702:VSY327733 WCL327702:WCU327733 WMH327702:WMQ327733 WWD327702:WWM327733 V393238:AE393269 JR393238:KA393269 TN393238:TW393269 ADJ393238:ADS393269 ANF393238:ANO393269 AXB393238:AXK393269 BGX393238:BHG393269 BQT393238:BRC393269 CAP393238:CAY393269 CKL393238:CKU393269 CUH393238:CUQ393269 DED393238:DEM393269 DNZ393238:DOI393269 DXV393238:DYE393269 EHR393238:EIA393269 ERN393238:ERW393269 FBJ393238:FBS393269 FLF393238:FLO393269 FVB393238:FVK393269 GEX393238:GFG393269 GOT393238:GPC393269 GYP393238:GYY393269 HIL393238:HIU393269 HSH393238:HSQ393269 ICD393238:ICM393269 ILZ393238:IMI393269 IVV393238:IWE393269 JFR393238:JGA393269 JPN393238:JPW393269 JZJ393238:JZS393269 KJF393238:KJO393269 KTB393238:KTK393269 LCX393238:LDG393269 LMT393238:LNC393269 LWP393238:LWY393269 MGL393238:MGU393269 MQH393238:MQQ393269 NAD393238:NAM393269 NJZ393238:NKI393269 NTV393238:NUE393269 ODR393238:OEA393269 ONN393238:ONW393269 OXJ393238:OXS393269 PHF393238:PHO393269 PRB393238:PRK393269 QAX393238:QBG393269 QKT393238:QLC393269 QUP393238:QUY393269 REL393238:REU393269 ROH393238:ROQ393269 RYD393238:RYM393269 SHZ393238:SII393269 SRV393238:SSE393269 TBR393238:TCA393269 TLN393238:TLW393269 TVJ393238:TVS393269 UFF393238:UFO393269 UPB393238:UPK393269 UYX393238:UZG393269 VIT393238:VJC393269 VSP393238:VSY393269 WCL393238:WCU393269 WMH393238:WMQ393269 WWD393238:WWM393269 V458774:AE458805 JR458774:KA458805 TN458774:TW458805 ADJ458774:ADS458805 ANF458774:ANO458805 AXB458774:AXK458805 BGX458774:BHG458805 BQT458774:BRC458805 CAP458774:CAY458805 CKL458774:CKU458805 CUH458774:CUQ458805 DED458774:DEM458805 DNZ458774:DOI458805 DXV458774:DYE458805 EHR458774:EIA458805 ERN458774:ERW458805 FBJ458774:FBS458805 FLF458774:FLO458805 FVB458774:FVK458805 GEX458774:GFG458805 GOT458774:GPC458805 GYP458774:GYY458805 HIL458774:HIU458805 HSH458774:HSQ458805 ICD458774:ICM458805 ILZ458774:IMI458805 IVV458774:IWE458805 JFR458774:JGA458805 JPN458774:JPW458805 JZJ458774:JZS458805 KJF458774:KJO458805 KTB458774:KTK458805 LCX458774:LDG458805 LMT458774:LNC458805 LWP458774:LWY458805 MGL458774:MGU458805 MQH458774:MQQ458805 NAD458774:NAM458805 NJZ458774:NKI458805 NTV458774:NUE458805 ODR458774:OEA458805 ONN458774:ONW458805 OXJ458774:OXS458805 PHF458774:PHO458805 PRB458774:PRK458805 QAX458774:QBG458805 QKT458774:QLC458805 QUP458774:QUY458805 REL458774:REU458805 ROH458774:ROQ458805 RYD458774:RYM458805 SHZ458774:SII458805 SRV458774:SSE458805 TBR458774:TCA458805 TLN458774:TLW458805 TVJ458774:TVS458805 UFF458774:UFO458805 UPB458774:UPK458805 UYX458774:UZG458805 VIT458774:VJC458805 VSP458774:VSY458805 WCL458774:WCU458805 WMH458774:WMQ458805 WWD458774:WWM458805 V524310:AE524341 JR524310:KA524341 TN524310:TW524341 ADJ524310:ADS524341 ANF524310:ANO524341 AXB524310:AXK524341 BGX524310:BHG524341 BQT524310:BRC524341 CAP524310:CAY524341 CKL524310:CKU524341 CUH524310:CUQ524341 DED524310:DEM524341 DNZ524310:DOI524341 DXV524310:DYE524341 EHR524310:EIA524341 ERN524310:ERW524341 FBJ524310:FBS524341 FLF524310:FLO524341 FVB524310:FVK524341 GEX524310:GFG524341 GOT524310:GPC524341 GYP524310:GYY524341 HIL524310:HIU524341 HSH524310:HSQ524341 ICD524310:ICM524341 ILZ524310:IMI524341 IVV524310:IWE524341 JFR524310:JGA524341 JPN524310:JPW524341 JZJ524310:JZS524341 KJF524310:KJO524341 KTB524310:KTK524341 LCX524310:LDG524341 LMT524310:LNC524341 LWP524310:LWY524341 MGL524310:MGU524341 MQH524310:MQQ524341 NAD524310:NAM524341 NJZ524310:NKI524341 NTV524310:NUE524341 ODR524310:OEA524341 ONN524310:ONW524341 OXJ524310:OXS524341 PHF524310:PHO524341 PRB524310:PRK524341 QAX524310:QBG524341 QKT524310:QLC524341 QUP524310:QUY524341 REL524310:REU524341 ROH524310:ROQ524341 RYD524310:RYM524341 SHZ524310:SII524341 SRV524310:SSE524341 TBR524310:TCA524341 TLN524310:TLW524341 TVJ524310:TVS524341 UFF524310:UFO524341 UPB524310:UPK524341 UYX524310:UZG524341 VIT524310:VJC524341 VSP524310:VSY524341 WCL524310:WCU524341 WMH524310:WMQ524341 WWD524310:WWM524341 V589846:AE589877 JR589846:KA589877 TN589846:TW589877 ADJ589846:ADS589877 ANF589846:ANO589877 AXB589846:AXK589877 BGX589846:BHG589877 BQT589846:BRC589877 CAP589846:CAY589877 CKL589846:CKU589877 CUH589846:CUQ589877 DED589846:DEM589877 DNZ589846:DOI589877 DXV589846:DYE589877 EHR589846:EIA589877 ERN589846:ERW589877 FBJ589846:FBS589877 FLF589846:FLO589877 FVB589846:FVK589877 GEX589846:GFG589877 GOT589846:GPC589877 GYP589846:GYY589877 HIL589846:HIU589877 HSH589846:HSQ589877 ICD589846:ICM589877 ILZ589846:IMI589877 IVV589846:IWE589877 JFR589846:JGA589877 JPN589846:JPW589877 JZJ589846:JZS589877 KJF589846:KJO589877 KTB589846:KTK589877 LCX589846:LDG589877 LMT589846:LNC589877 LWP589846:LWY589877 MGL589846:MGU589877 MQH589846:MQQ589877 NAD589846:NAM589877 NJZ589846:NKI589877 NTV589846:NUE589877 ODR589846:OEA589877 ONN589846:ONW589877 OXJ589846:OXS589877 PHF589846:PHO589877 PRB589846:PRK589877 QAX589846:QBG589877 QKT589846:QLC589877 QUP589846:QUY589877 REL589846:REU589877 ROH589846:ROQ589877 RYD589846:RYM589877 SHZ589846:SII589877 SRV589846:SSE589877 TBR589846:TCA589877 TLN589846:TLW589877 TVJ589846:TVS589877 UFF589846:UFO589877 UPB589846:UPK589877 UYX589846:UZG589877 VIT589846:VJC589877 VSP589846:VSY589877 WCL589846:WCU589877 WMH589846:WMQ589877 WWD589846:WWM589877 V655382:AE655413 JR655382:KA655413 TN655382:TW655413 ADJ655382:ADS655413 ANF655382:ANO655413 AXB655382:AXK655413 BGX655382:BHG655413 BQT655382:BRC655413 CAP655382:CAY655413 CKL655382:CKU655413 CUH655382:CUQ655413 DED655382:DEM655413 DNZ655382:DOI655413 DXV655382:DYE655413 EHR655382:EIA655413 ERN655382:ERW655413 FBJ655382:FBS655413 FLF655382:FLO655413 FVB655382:FVK655413 GEX655382:GFG655413 GOT655382:GPC655413 GYP655382:GYY655413 HIL655382:HIU655413 HSH655382:HSQ655413 ICD655382:ICM655413 ILZ655382:IMI655413 IVV655382:IWE655413 JFR655382:JGA655413 JPN655382:JPW655413 JZJ655382:JZS655413 KJF655382:KJO655413 KTB655382:KTK655413 LCX655382:LDG655413 LMT655382:LNC655413 LWP655382:LWY655413 MGL655382:MGU655413 MQH655382:MQQ655413 NAD655382:NAM655413 NJZ655382:NKI655413 NTV655382:NUE655413 ODR655382:OEA655413 ONN655382:ONW655413 OXJ655382:OXS655413 PHF655382:PHO655413 PRB655382:PRK655413 QAX655382:QBG655413 QKT655382:QLC655413 QUP655382:QUY655413 REL655382:REU655413 ROH655382:ROQ655413 RYD655382:RYM655413 SHZ655382:SII655413 SRV655382:SSE655413 TBR655382:TCA655413 TLN655382:TLW655413 TVJ655382:TVS655413 UFF655382:UFO655413 UPB655382:UPK655413 UYX655382:UZG655413 VIT655382:VJC655413 VSP655382:VSY655413 WCL655382:WCU655413 WMH655382:WMQ655413 WWD655382:WWM655413 V720918:AE720949 JR720918:KA720949 TN720918:TW720949 ADJ720918:ADS720949 ANF720918:ANO720949 AXB720918:AXK720949 BGX720918:BHG720949 BQT720918:BRC720949 CAP720918:CAY720949 CKL720918:CKU720949 CUH720918:CUQ720949 DED720918:DEM720949 DNZ720918:DOI720949 DXV720918:DYE720949 EHR720918:EIA720949 ERN720918:ERW720949 FBJ720918:FBS720949 FLF720918:FLO720949 FVB720918:FVK720949 GEX720918:GFG720949 GOT720918:GPC720949 GYP720918:GYY720949 HIL720918:HIU720949 HSH720918:HSQ720949 ICD720918:ICM720949 ILZ720918:IMI720949 IVV720918:IWE720949 JFR720918:JGA720949 JPN720918:JPW720949 JZJ720918:JZS720949 KJF720918:KJO720949 KTB720918:KTK720949 LCX720918:LDG720949 LMT720918:LNC720949 LWP720918:LWY720949 MGL720918:MGU720949 MQH720918:MQQ720949 NAD720918:NAM720949 NJZ720918:NKI720949 NTV720918:NUE720949 ODR720918:OEA720949 ONN720918:ONW720949 OXJ720918:OXS720949 PHF720918:PHO720949 PRB720918:PRK720949 QAX720918:QBG720949 QKT720918:QLC720949 QUP720918:QUY720949 REL720918:REU720949 ROH720918:ROQ720949 RYD720918:RYM720949 SHZ720918:SII720949 SRV720918:SSE720949 TBR720918:TCA720949 TLN720918:TLW720949 TVJ720918:TVS720949 UFF720918:UFO720949 UPB720918:UPK720949 UYX720918:UZG720949 VIT720918:VJC720949 VSP720918:VSY720949 WCL720918:WCU720949 WMH720918:WMQ720949 WWD720918:WWM720949 V786454:AE786485 JR786454:KA786485 TN786454:TW786485 ADJ786454:ADS786485 ANF786454:ANO786485 AXB786454:AXK786485 BGX786454:BHG786485 BQT786454:BRC786485 CAP786454:CAY786485 CKL786454:CKU786485 CUH786454:CUQ786485 DED786454:DEM786485 DNZ786454:DOI786485 DXV786454:DYE786485 EHR786454:EIA786485 ERN786454:ERW786485 FBJ786454:FBS786485 FLF786454:FLO786485 FVB786454:FVK786485 GEX786454:GFG786485 GOT786454:GPC786485 GYP786454:GYY786485 HIL786454:HIU786485 HSH786454:HSQ786485 ICD786454:ICM786485 ILZ786454:IMI786485 IVV786454:IWE786485 JFR786454:JGA786485 JPN786454:JPW786485 JZJ786454:JZS786485 KJF786454:KJO786485 KTB786454:KTK786485 LCX786454:LDG786485 LMT786454:LNC786485 LWP786454:LWY786485 MGL786454:MGU786485 MQH786454:MQQ786485 NAD786454:NAM786485 NJZ786454:NKI786485 NTV786454:NUE786485 ODR786454:OEA786485 ONN786454:ONW786485 OXJ786454:OXS786485 PHF786454:PHO786485 PRB786454:PRK786485 QAX786454:QBG786485 QKT786454:QLC786485 QUP786454:QUY786485 REL786454:REU786485 ROH786454:ROQ786485 RYD786454:RYM786485 SHZ786454:SII786485 SRV786454:SSE786485 TBR786454:TCA786485 TLN786454:TLW786485 TVJ786454:TVS786485 UFF786454:UFO786485 UPB786454:UPK786485 UYX786454:UZG786485 VIT786454:VJC786485 VSP786454:VSY786485 WCL786454:WCU786485 WMH786454:WMQ786485 WWD786454:WWM786485 V851990:AE852021 JR851990:KA852021 TN851990:TW852021 ADJ851990:ADS852021 ANF851990:ANO852021 AXB851990:AXK852021 BGX851990:BHG852021 BQT851990:BRC852021 CAP851990:CAY852021 CKL851990:CKU852021 CUH851990:CUQ852021 DED851990:DEM852021 DNZ851990:DOI852021 DXV851990:DYE852021 EHR851990:EIA852021 ERN851990:ERW852021 FBJ851990:FBS852021 FLF851990:FLO852021 FVB851990:FVK852021 GEX851990:GFG852021 GOT851990:GPC852021 GYP851990:GYY852021 HIL851990:HIU852021 HSH851990:HSQ852021 ICD851990:ICM852021 ILZ851990:IMI852021 IVV851990:IWE852021 JFR851990:JGA852021 JPN851990:JPW852021 JZJ851990:JZS852021 KJF851990:KJO852021 KTB851990:KTK852021 LCX851990:LDG852021 LMT851990:LNC852021 LWP851990:LWY852021 MGL851990:MGU852021 MQH851990:MQQ852021 NAD851990:NAM852021 NJZ851990:NKI852021 NTV851990:NUE852021 ODR851990:OEA852021 ONN851990:ONW852021 OXJ851990:OXS852021 PHF851990:PHO852021 PRB851990:PRK852021 QAX851990:QBG852021 QKT851990:QLC852021 QUP851990:QUY852021 REL851990:REU852021 ROH851990:ROQ852021 RYD851990:RYM852021 SHZ851990:SII852021 SRV851990:SSE852021 TBR851990:TCA852021 TLN851990:TLW852021 TVJ851990:TVS852021 UFF851990:UFO852021 UPB851990:UPK852021 UYX851990:UZG852021 VIT851990:VJC852021 VSP851990:VSY852021 WCL851990:WCU852021 WMH851990:WMQ852021 WWD851990:WWM852021 V917526:AE917557 JR917526:KA917557 TN917526:TW917557 ADJ917526:ADS917557 ANF917526:ANO917557 AXB917526:AXK917557 BGX917526:BHG917557 BQT917526:BRC917557 CAP917526:CAY917557 CKL917526:CKU917557 CUH917526:CUQ917557 DED917526:DEM917557 DNZ917526:DOI917557 DXV917526:DYE917557 EHR917526:EIA917557 ERN917526:ERW917557 FBJ917526:FBS917557 FLF917526:FLO917557 FVB917526:FVK917557 GEX917526:GFG917557 GOT917526:GPC917557 GYP917526:GYY917557 HIL917526:HIU917557 HSH917526:HSQ917557 ICD917526:ICM917557 ILZ917526:IMI917557 IVV917526:IWE917557 JFR917526:JGA917557 JPN917526:JPW917557 JZJ917526:JZS917557 KJF917526:KJO917557 KTB917526:KTK917557 LCX917526:LDG917557 LMT917526:LNC917557 LWP917526:LWY917557 MGL917526:MGU917557 MQH917526:MQQ917557 NAD917526:NAM917557 NJZ917526:NKI917557 NTV917526:NUE917557 ODR917526:OEA917557 ONN917526:ONW917557 OXJ917526:OXS917557 PHF917526:PHO917557 PRB917526:PRK917557 QAX917526:QBG917557 QKT917526:QLC917557 QUP917526:QUY917557 REL917526:REU917557 ROH917526:ROQ917557 RYD917526:RYM917557 SHZ917526:SII917557 SRV917526:SSE917557 TBR917526:TCA917557 TLN917526:TLW917557 TVJ917526:TVS917557 UFF917526:UFO917557 UPB917526:UPK917557 UYX917526:UZG917557 VIT917526:VJC917557 VSP917526:VSY917557 WCL917526:WCU917557 WMH917526:WMQ917557 WWD917526:WWM917557 V983062:AE983093 JR983062:KA983093 TN983062:TW983093 ADJ983062:ADS983093 ANF983062:ANO983093 AXB983062:AXK983093 BGX983062:BHG983093 BQT983062:BRC983093 CAP983062:CAY983093 CKL983062:CKU983093 CUH983062:CUQ983093 DED983062:DEM983093 DNZ983062:DOI983093 DXV983062:DYE983093 EHR983062:EIA983093 ERN983062:ERW983093 FBJ983062:FBS983093 FLF983062:FLO983093 FVB983062:FVK983093 GEX983062:GFG983093 GOT983062:GPC983093 GYP983062:GYY983093 HIL983062:HIU983093 HSH983062:HSQ983093 ICD983062:ICM983093 ILZ983062:IMI983093 IVV983062:IWE983093 JFR983062:JGA983093 JPN983062:JPW983093 JZJ983062:JZS983093 KJF983062:KJO983093 KTB983062:KTK983093 LCX983062:LDG983093 LMT983062:LNC983093 LWP983062:LWY983093 MGL983062:MGU983093 MQH983062:MQQ983093 NAD983062:NAM983093 NJZ983062:NKI983093 NTV983062:NUE983093 ODR983062:OEA983093 ONN983062:ONW983093 OXJ983062:OXS983093 PHF983062:PHO983093 PRB983062:PRK983093 QAX983062:QBG983093 QKT983062:QLC983093 QUP983062:QUY983093 REL983062:REU983093 ROH983062:ROQ983093 RYD983062:RYM983093 SHZ983062:SII983093 SRV983062:SSE983093 TBR983062:TCA983093 TLN983062:TLW983093 TVJ983062:TVS983093 UFF983062:UFO983093 UPB983062:UPK983093 UYX983062:UZG983093 VIT983062:VJC983093 VSP983062:VSY983093 WCL983062:WCU983093 WMH983062:WMQ983093 WWD983062:WWM983093 K27:L53 JG27:JH53 TC27:TD53 ACY27:ACZ53 AMU27:AMV53 AWQ27:AWR53 BGM27:BGN53 BQI27:BQJ53 CAE27:CAF53 CKA27:CKB53 CTW27:CTX53 DDS27:DDT53 DNO27:DNP53 DXK27:DXL53 EHG27:EHH53 ERC27:ERD53 FAY27:FAZ53 FKU27:FKV53 FUQ27:FUR53 GEM27:GEN53 GOI27:GOJ53 GYE27:GYF53 HIA27:HIB53 HRW27:HRX53 IBS27:IBT53 ILO27:ILP53 IVK27:IVL53 JFG27:JFH53 JPC27:JPD53 JYY27:JYZ53 KIU27:KIV53 KSQ27:KSR53 LCM27:LCN53 LMI27:LMJ53 LWE27:LWF53 MGA27:MGB53 MPW27:MPX53 MZS27:MZT53 NJO27:NJP53 NTK27:NTL53 ODG27:ODH53 ONC27:OND53 OWY27:OWZ53 PGU27:PGV53 PQQ27:PQR53 QAM27:QAN53 QKI27:QKJ53 QUE27:QUF53 REA27:REB53 RNW27:RNX53 RXS27:RXT53 SHO27:SHP53 SRK27:SRL53 TBG27:TBH53 TLC27:TLD53 TUY27:TUZ53 UEU27:UEV53 UOQ27:UOR53 UYM27:UYN53 VII27:VIJ53 VSE27:VSF53 WCA27:WCB53 WLW27:WLX53 WVS27:WVT53 K65563:L65589 JG65563:JH65589 TC65563:TD65589 ACY65563:ACZ65589 AMU65563:AMV65589 AWQ65563:AWR65589 BGM65563:BGN65589 BQI65563:BQJ65589 CAE65563:CAF65589 CKA65563:CKB65589 CTW65563:CTX65589 DDS65563:DDT65589 DNO65563:DNP65589 DXK65563:DXL65589 EHG65563:EHH65589 ERC65563:ERD65589 FAY65563:FAZ65589 FKU65563:FKV65589 FUQ65563:FUR65589 GEM65563:GEN65589 GOI65563:GOJ65589 GYE65563:GYF65589 HIA65563:HIB65589 HRW65563:HRX65589 IBS65563:IBT65589 ILO65563:ILP65589 IVK65563:IVL65589 JFG65563:JFH65589 JPC65563:JPD65589 JYY65563:JYZ65589 KIU65563:KIV65589 KSQ65563:KSR65589 LCM65563:LCN65589 LMI65563:LMJ65589 LWE65563:LWF65589 MGA65563:MGB65589 MPW65563:MPX65589 MZS65563:MZT65589 NJO65563:NJP65589 NTK65563:NTL65589 ODG65563:ODH65589 ONC65563:OND65589 OWY65563:OWZ65589 PGU65563:PGV65589 PQQ65563:PQR65589 QAM65563:QAN65589 QKI65563:QKJ65589 QUE65563:QUF65589 REA65563:REB65589 RNW65563:RNX65589 RXS65563:RXT65589 SHO65563:SHP65589 SRK65563:SRL65589 TBG65563:TBH65589 TLC65563:TLD65589 TUY65563:TUZ65589 UEU65563:UEV65589 UOQ65563:UOR65589 UYM65563:UYN65589 VII65563:VIJ65589 VSE65563:VSF65589 WCA65563:WCB65589 WLW65563:WLX65589 WVS65563:WVT65589 K131099:L131125 JG131099:JH131125 TC131099:TD131125 ACY131099:ACZ131125 AMU131099:AMV131125 AWQ131099:AWR131125 BGM131099:BGN131125 BQI131099:BQJ131125 CAE131099:CAF131125 CKA131099:CKB131125 CTW131099:CTX131125 DDS131099:DDT131125 DNO131099:DNP131125 DXK131099:DXL131125 EHG131099:EHH131125 ERC131099:ERD131125 FAY131099:FAZ131125 FKU131099:FKV131125 FUQ131099:FUR131125 GEM131099:GEN131125 GOI131099:GOJ131125 GYE131099:GYF131125 HIA131099:HIB131125 HRW131099:HRX131125 IBS131099:IBT131125 ILO131099:ILP131125 IVK131099:IVL131125 JFG131099:JFH131125 JPC131099:JPD131125 JYY131099:JYZ131125 KIU131099:KIV131125 KSQ131099:KSR131125 LCM131099:LCN131125 LMI131099:LMJ131125 LWE131099:LWF131125 MGA131099:MGB131125 MPW131099:MPX131125 MZS131099:MZT131125 NJO131099:NJP131125 NTK131099:NTL131125 ODG131099:ODH131125 ONC131099:OND131125 OWY131099:OWZ131125 PGU131099:PGV131125 PQQ131099:PQR131125 QAM131099:QAN131125 QKI131099:QKJ131125 QUE131099:QUF131125 REA131099:REB131125 RNW131099:RNX131125 RXS131099:RXT131125 SHO131099:SHP131125 SRK131099:SRL131125 TBG131099:TBH131125 TLC131099:TLD131125 TUY131099:TUZ131125 UEU131099:UEV131125 UOQ131099:UOR131125 UYM131099:UYN131125 VII131099:VIJ131125 VSE131099:VSF131125 WCA131099:WCB131125 WLW131099:WLX131125 WVS131099:WVT131125 K196635:L196661 JG196635:JH196661 TC196635:TD196661 ACY196635:ACZ196661 AMU196635:AMV196661 AWQ196635:AWR196661 BGM196635:BGN196661 BQI196635:BQJ196661 CAE196635:CAF196661 CKA196635:CKB196661 CTW196635:CTX196661 DDS196635:DDT196661 DNO196635:DNP196661 DXK196635:DXL196661 EHG196635:EHH196661 ERC196635:ERD196661 FAY196635:FAZ196661 FKU196635:FKV196661 FUQ196635:FUR196661 GEM196635:GEN196661 GOI196635:GOJ196661 GYE196635:GYF196661 HIA196635:HIB196661 HRW196635:HRX196661 IBS196635:IBT196661 ILO196635:ILP196661 IVK196635:IVL196661 JFG196635:JFH196661 JPC196635:JPD196661 JYY196635:JYZ196661 KIU196635:KIV196661 KSQ196635:KSR196661 LCM196635:LCN196661 LMI196635:LMJ196661 LWE196635:LWF196661 MGA196635:MGB196661 MPW196635:MPX196661 MZS196635:MZT196661 NJO196635:NJP196661 NTK196635:NTL196661 ODG196635:ODH196661 ONC196635:OND196661 OWY196635:OWZ196661 PGU196635:PGV196661 PQQ196635:PQR196661 QAM196635:QAN196661 QKI196635:QKJ196661 QUE196635:QUF196661 REA196635:REB196661 RNW196635:RNX196661 RXS196635:RXT196661 SHO196635:SHP196661 SRK196635:SRL196661 TBG196635:TBH196661 TLC196635:TLD196661 TUY196635:TUZ196661 UEU196635:UEV196661 UOQ196635:UOR196661 UYM196635:UYN196661 VII196635:VIJ196661 VSE196635:VSF196661 WCA196635:WCB196661 WLW196635:WLX196661 WVS196635:WVT196661 K262171:L262197 JG262171:JH262197 TC262171:TD262197 ACY262171:ACZ262197 AMU262171:AMV262197 AWQ262171:AWR262197 BGM262171:BGN262197 BQI262171:BQJ262197 CAE262171:CAF262197 CKA262171:CKB262197 CTW262171:CTX262197 DDS262171:DDT262197 DNO262171:DNP262197 DXK262171:DXL262197 EHG262171:EHH262197 ERC262171:ERD262197 FAY262171:FAZ262197 FKU262171:FKV262197 FUQ262171:FUR262197 GEM262171:GEN262197 GOI262171:GOJ262197 GYE262171:GYF262197 HIA262171:HIB262197 HRW262171:HRX262197 IBS262171:IBT262197 ILO262171:ILP262197 IVK262171:IVL262197 JFG262171:JFH262197 JPC262171:JPD262197 JYY262171:JYZ262197 KIU262171:KIV262197 KSQ262171:KSR262197 LCM262171:LCN262197 LMI262171:LMJ262197 LWE262171:LWF262197 MGA262171:MGB262197 MPW262171:MPX262197 MZS262171:MZT262197 NJO262171:NJP262197 NTK262171:NTL262197 ODG262171:ODH262197 ONC262171:OND262197 OWY262171:OWZ262197 PGU262171:PGV262197 PQQ262171:PQR262197 QAM262171:QAN262197 QKI262171:QKJ262197 QUE262171:QUF262197 REA262171:REB262197 RNW262171:RNX262197 RXS262171:RXT262197 SHO262171:SHP262197 SRK262171:SRL262197 TBG262171:TBH262197 TLC262171:TLD262197 TUY262171:TUZ262197 UEU262171:UEV262197 UOQ262171:UOR262197 UYM262171:UYN262197 VII262171:VIJ262197 VSE262171:VSF262197 WCA262171:WCB262197 WLW262171:WLX262197 WVS262171:WVT262197 K327707:L327733 JG327707:JH327733 TC327707:TD327733 ACY327707:ACZ327733 AMU327707:AMV327733 AWQ327707:AWR327733 BGM327707:BGN327733 BQI327707:BQJ327733 CAE327707:CAF327733 CKA327707:CKB327733 CTW327707:CTX327733 DDS327707:DDT327733 DNO327707:DNP327733 DXK327707:DXL327733 EHG327707:EHH327733 ERC327707:ERD327733 FAY327707:FAZ327733 FKU327707:FKV327733 FUQ327707:FUR327733 GEM327707:GEN327733 GOI327707:GOJ327733 GYE327707:GYF327733 HIA327707:HIB327733 HRW327707:HRX327733 IBS327707:IBT327733 ILO327707:ILP327733 IVK327707:IVL327733 JFG327707:JFH327733 JPC327707:JPD327733 JYY327707:JYZ327733 KIU327707:KIV327733 KSQ327707:KSR327733 LCM327707:LCN327733 LMI327707:LMJ327733 LWE327707:LWF327733 MGA327707:MGB327733 MPW327707:MPX327733 MZS327707:MZT327733 NJO327707:NJP327733 NTK327707:NTL327733 ODG327707:ODH327733 ONC327707:OND327733 OWY327707:OWZ327733 PGU327707:PGV327733 PQQ327707:PQR327733 QAM327707:QAN327733 QKI327707:QKJ327733 QUE327707:QUF327733 REA327707:REB327733 RNW327707:RNX327733 RXS327707:RXT327733 SHO327707:SHP327733 SRK327707:SRL327733 TBG327707:TBH327733 TLC327707:TLD327733 TUY327707:TUZ327733 UEU327707:UEV327733 UOQ327707:UOR327733 UYM327707:UYN327733 VII327707:VIJ327733 VSE327707:VSF327733 WCA327707:WCB327733 WLW327707:WLX327733 WVS327707:WVT327733 K393243:L393269 JG393243:JH393269 TC393243:TD393269 ACY393243:ACZ393269 AMU393243:AMV393269 AWQ393243:AWR393269 BGM393243:BGN393269 BQI393243:BQJ393269 CAE393243:CAF393269 CKA393243:CKB393269 CTW393243:CTX393269 DDS393243:DDT393269 DNO393243:DNP393269 DXK393243:DXL393269 EHG393243:EHH393269 ERC393243:ERD393269 FAY393243:FAZ393269 FKU393243:FKV393269 FUQ393243:FUR393269 GEM393243:GEN393269 GOI393243:GOJ393269 GYE393243:GYF393269 HIA393243:HIB393269 HRW393243:HRX393269 IBS393243:IBT393269 ILO393243:ILP393269 IVK393243:IVL393269 JFG393243:JFH393269 JPC393243:JPD393269 JYY393243:JYZ393269 KIU393243:KIV393269 KSQ393243:KSR393269 LCM393243:LCN393269 LMI393243:LMJ393269 LWE393243:LWF393269 MGA393243:MGB393269 MPW393243:MPX393269 MZS393243:MZT393269 NJO393243:NJP393269 NTK393243:NTL393269 ODG393243:ODH393269 ONC393243:OND393269 OWY393243:OWZ393269 PGU393243:PGV393269 PQQ393243:PQR393269 QAM393243:QAN393269 QKI393243:QKJ393269 QUE393243:QUF393269 REA393243:REB393269 RNW393243:RNX393269 RXS393243:RXT393269 SHO393243:SHP393269 SRK393243:SRL393269 TBG393243:TBH393269 TLC393243:TLD393269 TUY393243:TUZ393269 UEU393243:UEV393269 UOQ393243:UOR393269 UYM393243:UYN393269 VII393243:VIJ393269 VSE393243:VSF393269 WCA393243:WCB393269 WLW393243:WLX393269 WVS393243:WVT393269 K458779:L458805 JG458779:JH458805 TC458779:TD458805 ACY458779:ACZ458805 AMU458779:AMV458805 AWQ458779:AWR458805 BGM458779:BGN458805 BQI458779:BQJ458805 CAE458779:CAF458805 CKA458779:CKB458805 CTW458779:CTX458805 DDS458779:DDT458805 DNO458779:DNP458805 DXK458779:DXL458805 EHG458779:EHH458805 ERC458779:ERD458805 FAY458779:FAZ458805 FKU458779:FKV458805 FUQ458779:FUR458805 GEM458779:GEN458805 GOI458779:GOJ458805 GYE458779:GYF458805 HIA458779:HIB458805 HRW458779:HRX458805 IBS458779:IBT458805 ILO458779:ILP458805 IVK458779:IVL458805 JFG458779:JFH458805 JPC458779:JPD458805 JYY458779:JYZ458805 KIU458779:KIV458805 KSQ458779:KSR458805 LCM458779:LCN458805 LMI458779:LMJ458805 LWE458779:LWF458805 MGA458779:MGB458805 MPW458779:MPX458805 MZS458779:MZT458805 NJO458779:NJP458805 NTK458779:NTL458805 ODG458779:ODH458805 ONC458779:OND458805 OWY458779:OWZ458805 PGU458779:PGV458805 PQQ458779:PQR458805 QAM458779:QAN458805 QKI458779:QKJ458805 QUE458779:QUF458805 REA458779:REB458805 RNW458779:RNX458805 RXS458779:RXT458805 SHO458779:SHP458805 SRK458779:SRL458805 TBG458779:TBH458805 TLC458779:TLD458805 TUY458779:TUZ458805 UEU458779:UEV458805 UOQ458779:UOR458805 UYM458779:UYN458805 VII458779:VIJ458805 VSE458779:VSF458805 WCA458779:WCB458805 WLW458779:WLX458805 WVS458779:WVT458805 K524315:L524341 JG524315:JH524341 TC524315:TD524341 ACY524315:ACZ524341 AMU524315:AMV524341 AWQ524315:AWR524341 BGM524315:BGN524341 BQI524315:BQJ524341 CAE524315:CAF524341 CKA524315:CKB524341 CTW524315:CTX524341 DDS524315:DDT524341 DNO524315:DNP524341 DXK524315:DXL524341 EHG524315:EHH524341 ERC524315:ERD524341 FAY524315:FAZ524341 FKU524315:FKV524341 FUQ524315:FUR524341 GEM524315:GEN524341 GOI524315:GOJ524341 GYE524315:GYF524341 HIA524315:HIB524341 HRW524315:HRX524341 IBS524315:IBT524341 ILO524315:ILP524341 IVK524315:IVL524341 JFG524315:JFH524341 JPC524315:JPD524341 JYY524315:JYZ524341 KIU524315:KIV524341 KSQ524315:KSR524341 LCM524315:LCN524341 LMI524315:LMJ524341 LWE524315:LWF524341 MGA524315:MGB524341 MPW524315:MPX524341 MZS524315:MZT524341 NJO524315:NJP524341 NTK524315:NTL524341 ODG524315:ODH524341 ONC524315:OND524341 OWY524315:OWZ524341 PGU524315:PGV524341 PQQ524315:PQR524341 QAM524315:QAN524341 QKI524315:QKJ524341 QUE524315:QUF524341 REA524315:REB524341 RNW524315:RNX524341 RXS524315:RXT524341 SHO524315:SHP524341 SRK524315:SRL524341 TBG524315:TBH524341 TLC524315:TLD524341 TUY524315:TUZ524341 UEU524315:UEV524341 UOQ524315:UOR524341 UYM524315:UYN524341 VII524315:VIJ524341 VSE524315:VSF524341 WCA524315:WCB524341 WLW524315:WLX524341 WVS524315:WVT524341 K589851:L589877 JG589851:JH589877 TC589851:TD589877 ACY589851:ACZ589877 AMU589851:AMV589877 AWQ589851:AWR589877 BGM589851:BGN589877 BQI589851:BQJ589877 CAE589851:CAF589877 CKA589851:CKB589877 CTW589851:CTX589877 DDS589851:DDT589877 DNO589851:DNP589877 DXK589851:DXL589877 EHG589851:EHH589877 ERC589851:ERD589877 FAY589851:FAZ589877 FKU589851:FKV589877 FUQ589851:FUR589877 GEM589851:GEN589877 GOI589851:GOJ589877 GYE589851:GYF589877 HIA589851:HIB589877 HRW589851:HRX589877 IBS589851:IBT589877 ILO589851:ILP589877 IVK589851:IVL589877 JFG589851:JFH589877 JPC589851:JPD589877 JYY589851:JYZ589877 KIU589851:KIV589877 KSQ589851:KSR589877 LCM589851:LCN589877 LMI589851:LMJ589877 LWE589851:LWF589877 MGA589851:MGB589877 MPW589851:MPX589877 MZS589851:MZT589877 NJO589851:NJP589877 NTK589851:NTL589877 ODG589851:ODH589877 ONC589851:OND589877 OWY589851:OWZ589877 PGU589851:PGV589877 PQQ589851:PQR589877 QAM589851:QAN589877 QKI589851:QKJ589877 QUE589851:QUF589877 REA589851:REB589877 RNW589851:RNX589877 RXS589851:RXT589877 SHO589851:SHP589877 SRK589851:SRL589877 TBG589851:TBH589877 TLC589851:TLD589877 TUY589851:TUZ589877 UEU589851:UEV589877 UOQ589851:UOR589877 UYM589851:UYN589877 VII589851:VIJ589877 VSE589851:VSF589877 WCA589851:WCB589877 WLW589851:WLX589877 WVS589851:WVT589877 K655387:L655413 JG655387:JH655413 TC655387:TD655413 ACY655387:ACZ655413 AMU655387:AMV655413 AWQ655387:AWR655413 BGM655387:BGN655413 BQI655387:BQJ655413 CAE655387:CAF655413 CKA655387:CKB655413 CTW655387:CTX655413 DDS655387:DDT655413 DNO655387:DNP655413 DXK655387:DXL655413 EHG655387:EHH655413 ERC655387:ERD655413 FAY655387:FAZ655413 FKU655387:FKV655413 FUQ655387:FUR655413 GEM655387:GEN655413 GOI655387:GOJ655413 GYE655387:GYF655413 HIA655387:HIB655413 HRW655387:HRX655413 IBS655387:IBT655413 ILO655387:ILP655413 IVK655387:IVL655413 JFG655387:JFH655413 JPC655387:JPD655413 JYY655387:JYZ655413 KIU655387:KIV655413 KSQ655387:KSR655413 LCM655387:LCN655413 LMI655387:LMJ655413 LWE655387:LWF655413 MGA655387:MGB655413 MPW655387:MPX655413 MZS655387:MZT655413 NJO655387:NJP655413 NTK655387:NTL655413 ODG655387:ODH655413 ONC655387:OND655413 OWY655387:OWZ655413 PGU655387:PGV655413 PQQ655387:PQR655413 QAM655387:QAN655413 QKI655387:QKJ655413 QUE655387:QUF655413 REA655387:REB655413 RNW655387:RNX655413 RXS655387:RXT655413 SHO655387:SHP655413 SRK655387:SRL655413 TBG655387:TBH655413 TLC655387:TLD655413 TUY655387:TUZ655413 UEU655387:UEV655413 UOQ655387:UOR655413 UYM655387:UYN655413 VII655387:VIJ655413 VSE655387:VSF655413 WCA655387:WCB655413 WLW655387:WLX655413 WVS655387:WVT655413 K720923:L720949 JG720923:JH720949 TC720923:TD720949 ACY720923:ACZ720949 AMU720923:AMV720949 AWQ720923:AWR720949 BGM720923:BGN720949 BQI720923:BQJ720949 CAE720923:CAF720949 CKA720923:CKB720949 CTW720923:CTX720949 DDS720923:DDT720949 DNO720923:DNP720949 DXK720923:DXL720949 EHG720923:EHH720949 ERC720923:ERD720949 FAY720923:FAZ720949 FKU720923:FKV720949 FUQ720923:FUR720949 GEM720923:GEN720949 GOI720923:GOJ720949 GYE720923:GYF720949 HIA720923:HIB720949 HRW720923:HRX720949 IBS720923:IBT720949 ILO720923:ILP720949 IVK720923:IVL720949 JFG720923:JFH720949 JPC720923:JPD720949 JYY720923:JYZ720949 KIU720923:KIV720949 KSQ720923:KSR720949 LCM720923:LCN720949 LMI720923:LMJ720949 LWE720923:LWF720949 MGA720923:MGB720949 MPW720923:MPX720949 MZS720923:MZT720949 NJO720923:NJP720949 NTK720923:NTL720949 ODG720923:ODH720949 ONC720923:OND720949 OWY720923:OWZ720949 PGU720923:PGV720949 PQQ720923:PQR720949 QAM720923:QAN720949 QKI720923:QKJ720949 QUE720923:QUF720949 REA720923:REB720949 RNW720923:RNX720949 RXS720923:RXT720949 SHO720923:SHP720949 SRK720923:SRL720949 TBG720923:TBH720949 TLC720923:TLD720949 TUY720923:TUZ720949 UEU720923:UEV720949 UOQ720923:UOR720949 UYM720923:UYN720949 VII720923:VIJ720949 VSE720923:VSF720949 WCA720923:WCB720949 WLW720923:WLX720949 WVS720923:WVT720949 K786459:L786485 JG786459:JH786485 TC786459:TD786485 ACY786459:ACZ786485 AMU786459:AMV786485 AWQ786459:AWR786485 BGM786459:BGN786485 BQI786459:BQJ786485 CAE786459:CAF786485 CKA786459:CKB786485 CTW786459:CTX786485 DDS786459:DDT786485 DNO786459:DNP786485 DXK786459:DXL786485 EHG786459:EHH786485 ERC786459:ERD786485 FAY786459:FAZ786485 FKU786459:FKV786485 FUQ786459:FUR786485 GEM786459:GEN786485 GOI786459:GOJ786485 GYE786459:GYF786485 HIA786459:HIB786485 HRW786459:HRX786485 IBS786459:IBT786485 ILO786459:ILP786485 IVK786459:IVL786485 JFG786459:JFH786485 JPC786459:JPD786485 JYY786459:JYZ786485 KIU786459:KIV786485 KSQ786459:KSR786485 LCM786459:LCN786485 LMI786459:LMJ786485 LWE786459:LWF786485 MGA786459:MGB786485 MPW786459:MPX786485 MZS786459:MZT786485 NJO786459:NJP786485 NTK786459:NTL786485 ODG786459:ODH786485 ONC786459:OND786485 OWY786459:OWZ786485 PGU786459:PGV786485 PQQ786459:PQR786485 QAM786459:QAN786485 QKI786459:QKJ786485 QUE786459:QUF786485 REA786459:REB786485 RNW786459:RNX786485 RXS786459:RXT786485 SHO786459:SHP786485 SRK786459:SRL786485 TBG786459:TBH786485 TLC786459:TLD786485 TUY786459:TUZ786485 UEU786459:UEV786485 UOQ786459:UOR786485 UYM786459:UYN786485 VII786459:VIJ786485 VSE786459:VSF786485 WCA786459:WCB786485 WLW786459:WLX786485 WVS786459:WVT786485 K851995:L852021 JG851995:JH852021 TC851995:TD852021 ACY851995:ACZ852021 AMU851995:AMV852021 AWQ851995:AWR852021 BGM851995:BGN852021 BQI851995:BQJ852021 CAE851995:CAF852021 CKA851995:CKB852021 CTW851995:CTX852021 DDS851995:DDT852021 DNO851995:DNP852021 DXK851995:DXL852021 EHG851995:EHH852021 ERC851995:ERD852021 FAY851995:FAZ852021 FKU851995:FKV852021 FUQ851995:FUR852021 GEM851995:GEN852021 GOI851995:GOJ852021 GYE851995:GYF852021 HIA851995:HIB852021 HRW851995:HRX852021 IBS851995:IBT852021 ILO851995:ILP852021 IVK851995:IVL852021 JFG851995:JFH852021 JPC851995:JPD852021 JYY851995:JYZ852021 KIU851995:KIV852021 KSQ851995:KSR852021 LCM851995:LCN852021 LMI851995:LMJ852021 LWE851995:LWF852021 MGA851995:MGB852021 MPW851995:MPX852021 MZS851995:MZT852021 NJO851995:NJP852021 NTK851995:NTL852021 ODG851995:ODH852021 ONC851995:OND852021 OWY851995:OWZ852021 PGU851995:PGV852021 PQQ851995:PQR852021 QAM851995:QAN852021 QKI851995:QKJ852021 QUE851995:QUF852021 REA851995:REB852021 RNW851995:RNX852021 RXS851995:RXT852021 SHO851995:SHP852021 SRK851995:SRL852021 TBG851995:TBH852021 TLC851995:TLD852021 TUY851995:TUZ852021 UEU851995:UEV852021 UOQ851995:UOR852021 UYM851995:UYN852021 VII851995:VIJ852021 VSE851995:VSF852021 WCA851995:WCB852021 WLW851995:WLX852021 WVS851995:WVT852021 K917531:L917557 JG917531:JH917557 TC917531:TD917557 ACY917531:ACZ917557 AMU917531:AMV917557 AWQ917531:AWR917557 BGM917531:BGN917557 BQI917531:BQJ917557 CAE917531:CAF917557 CKA917531:CKB917557 CTW917531:CTX917557 DDS917531:DDT917557 DNO917531:DNP917557 DXK917531:DXL917557 EHG917531:EHH917557 ERC917531:ERD917557 FAY917531:FAZ917557 FKU917531:FKV917557 FUQ917531:FUR917557 GEM917531:GEN917557 GOI917531:GOJ917557 GYE917531:GYF917557 HIA917531:HIB917557 HRW917531:HRX917557 IBS917531:IBT917557 ILO917531:ILP917557 IVK917531:IVL917557 JFG917531:JFH917557 JPC917531:JPD917557 JYY917531:JYZ917557 KIU917531:KIV917557 KSQ917531:KSR917557 LCM917531:LCN917557 LMI917531:LMJ917557 LWE917531:LWF917557 MGA917531:MGB917557 MPW917531:MPX917557 MZS917531:MZT917557 NJO917531:NJP917557 NTK917531:NTL917557 ODG917531:ODH917557 ONC917531:OND917557 OWY917531:OWZ917557 PGU917531:PGV917557 PQQ917531:PQR917557 QAM917531:QAN917557 QKI917531:QKJ917557 QUE917531:QUF917557 REA917531:REB917557 RNW917531:RNX917557 RXS917531:RXT917557 SHO917531:SHP917557 SRK917531:SRL917557 TBG917531:TBH917557 TLC917531:TLD917557 TUY917531:TUZ917557 UEU917531:UEV917557 UOQ917531:UOR917557 UYM917531:UYN917557 VII917531:VIJ917557 VSE917531:VSF917557 WCA917531:WCB917557 WLW917531:WLX917557 WVS917531:WVT917557 K983067:L983093 JG983067:JH983093 TC983067:TD983093 ACY983067:ACZ983093 AMU983067:AMV983093 AWQ983067:AWR983093 BGM983067:BGN983093 BQI983067:BQJ983093 CAE983067:CAF983093 CKA983067:CKB983093 CTW983067:CTX983093 DDS983067:DDT983093 DNO983067:DNP983093 DXK983067:DXL983093 EHG983067:EHH983093 ERC983067:ERD983093 FAY983067:FAZ983093 FKU983067:FKV983093 FUQ983067:FUR983093 GEM983067:GEN983093 GOI983067:GOJ983093 GYE983067:GYF983093 HIA983067:HIB983093 HRW983067:HRX983093 IBS983067:IBT983093 ILO983067:ILP983093 IVK983067:IVL983093 JFG983067:JFH983093 JPC983067:JPD983093 JYY983067:JYZ983093 KIU983067:KIV983093 KSQ983067:KSR983093 LCM983067:LCN983093 LMI983067:LMJ983093 LWE983067:LWF983093 MGA983067:MGB983093 MPW983067:MPX983093 MZS983067:MZT983093 NJO983067:NJP983093 NTK983067:NTL983093 ODG983067:ODH983093 ONC983067:OND983093 OWY983067:OWZ983093 PGU983067:PGV983093 PQQ983067:PQR983093 QAM983067:QAN983093 QKI983067:QKJ983093 QUE983067:QUF983093 REA983067:REB983093 RNW983067:RNX983093 RXS983067:RXT983093 SHO983067:SHP983093 SRK983067:SRL983093 TBG983067:TBH983093 TLC983067:TLD983093 TUY983067:TUZ983093 UEU983067:UEV983093 UOQ983067:UOR983093 UYM983067:UYN983093 VII983067:VIJ983093 VSE983067:VSF983093 WCA983067:WCB983093 WLW983067:WLX983093 WVS983067:WVT983093 K57:K150 JG57:JG150 TC57:TC150 ACY57:ACY150 AMU57:AMU150 AWQ57:AWQ150 BGM57:BGM150 BQI57:BQI150 CAE57:CAE150 CKA57:CKA150 CTW57:CTW150 DDS57:DDS150 DNO57:DNO150 DXK57:DXK150 EHG57:EHG150 ERC57:ERC150 FAY57:FAY150 FKU57:FKU150 FUQ57:FUQ150 GEM57:GEM150 GOI57:GOI150 GYE57:GYE150 HIA57:HIA150 HRW57:HRW150 IBS57:IBS150 ILO57:ILO150 IVK57:IVK150 JFG57:JFG150 JPC57:JPC150 JYY57:JYY150 KIU57:KIU150 KSQ57:KSQ150 LCM57:LCM150 LMI57:LMI150 LWE57:LWE150 MGA57:MGA150 MPW57:MPW150 MZS57:MZS150 NJO57:NJO150 NTK57:NTK150 ODG57:ODG150 ONC57:ONC150 OWY57:OWY150 PGU57:PGU150 PQQ57:PQQ150 QAM57:QAM150 QKI57:QKI150 QUE57:QUE150 REA57:REA150 RNW57:RNW150 RXS57:RXS150 SHO57:SHO150 SRK57:SRK150 TBG57:TBG150 TLC57:TLC150 TUY57:TUY150 UEU57:UEU150 UOQ57:UOQ150 UYM57:UYM150 VII57:VII150 VSE57:VSE150 WCA57:WCA150 WLW57:WLW150 WVS57:WVS150 K65593:K65686 JG65593:JG65686 TC65593:TC65686 ACY65593:ACY65686 AMU65593:AMU65686 AWQ65593:AWQ65686 BGM65593:BGM65686 BQI65593:BQI65686 CAE65593:CAE65686 CKA65593:CKA65686 CTW65593:CTW65686 DDS65593:DDS65686 DNO65593:DNO65686 DXK65593:DXK65686 EHG65593:EHG65686 ERC65593:ERC65686 FAY65593:FAY65686 FKU65593:FKU65686 FUQ65593:FUQ65686 GEM65593:GEM65686 GOI65593:GOI65686 GYE65593:GYE65686 HIA65593:HIA65686 HRW65593:HRW65686 IBS65593:IBS65686 ILO65593:ILO65686 IVK65593:IVK65686 JFG65593:JFG65686 JPC65593:JPC65686 JYY65593:JYY65686 KIU65593:KIU65686 KSQ65593:KSQ65686 LCM65593:LCM65686 LMI65593:LMI65686 LWE65593:LWE65686 MGA65593:MGA65686 MPW65593:MPW65686 MZS65593:MZS65686 NJO65593:NJO65686 NTK65593:NTK65686 ODG65593:ODG65686 ONC65593:ONC65686 OWY65593:OWY65686 PGU65593:PGU65686 PQQ65593:PQQ65686 QAM65593:QAM65686 QKI65593:QKI65686 QUE65593:QUE65686 REA65593:REA65686 RNW65593:RNW65686 RXS65593:RXS65686 SHO65593:SHO65686 SRK65593:SRK65686 TBG65593:TBG65686 TLC65593:TLC65686 TUY65593:TUY65686 UEU65593:UEU65686 UOQ65593:UOQ65686 UYM65593:UYM65686 VII65593:VII65686 VSE65593:VSE65686 WCA65593:WCA65686 WLW65593:WLW65686 WVS65593:WVS65686 K131129:K131222 JG131129:JG131222 TC131129:TC131222 ACY131129:ACY131222 AMU131129:AMU131222 AWQ131129:AWQ131222 BGM131129:BGM131222 BQI131129:BQI131222 CAE131129:CAE131222 CKA131129:CKA131222 CTW131129:CTW131222 DDS131129:DDS131222 DNO131129:DNO131222 DXK131129:DXK131222 EHG131129:EHG131222 ERC131129:ERC131222 FAY131129:FAY131222 FKU131129:FKU131222 FUQ131129:FUQ131222 GEM131129:GEM131222 GOI131129:GOI131222 GYE131129:GYE131222 HIA131129:HIA131222 HRW131129:HRW131222 IBS131129:IBS131222 ILO131129:ILO131222 IVK131129:IVK131222 JFG131129:JFG131222 JPC131129:JPC131222 JYY131129:JYY131222 KIU131129:KIU131222 KSQ131129:KSQ131222 LCM131129:LCM131222 LMI131129:LMI131222 LWE131129:LWE131222 MGA131129:MGA131222 MPW131129:MPW131222 MZS131129:MZS131222 NJO131129:NJO131222 NTK131129:NTK131222 ODG131129:ODG131222 ONC131129:ONC131222 OWY131129:OWY131222 PGU131129:PGU131222 PQQ131129:PQQ131222 QAM131129:QAM131222 QKI131129:QKI131222 QUE131129:QUE131222 REA131129:REA131222 RNW131129:RNW131222 RXS131129:RXS131222 SHO131129:SHO131222 SRK131129:SRK131222 TBG131129:TBG131222 TLC131129:TLC131222 TUY131129:TUY131222 UEU131129:UEU131222 UOQ131129:UOQ131222 UYM131129:UYM131222 VII131129:VII131222 VSE131129:VSE131222 WCA131129:WCA131222 WLW131129:WLW131222 WVS131129:WVS131222 K196665:K196758 JG196665:JG196758 TC196665:TC196758 ACY196665:ACY196758 AMU196665:AMU196758 AWQ196665:AWQ196758 BGM196665:BGM196758 BQI196665:BQI196758 CAE196665:CAE196758 CKA196665:CKA196758 CTW196665:CTW196758 DDS196665:DDS196758 DNO196665:DNO196758 DXK196665:DXK196758 EHG196665:EHG196758 ERC196665:ERC196758 FAY196665:FAY196758 FKU196665:FKU196758 FUQ196665:FUQ196758 GEM196665:GEM196758 GOI196665:GOI196758 GYE196665:GYE196758 HIA196665:HIA196758 HRW196665:HRW196758 IBS196665:IBS196758 ILO196665:ILO196758 IVK196665:IVK196758 JFG196665:JFG196758 JPC196665:JPC196758 JYY196665:JYY196758 KIU196665:KIU196758 KSQ196665:KSQ196758 LCM196665:LCM196758 LMI196665:LMI196758 LWE196665:LWE196758 MGA196665:MGA196758 MPW196665:MPW196758 MZS196665:MZS196758 NJO196665:NJO196758 NTK196665:NTK196758 ODG196665:ODG196758 ONC196665:ONC196758 OWY196665:OWY196758 PGU196665:PGU196758 PQQ196665:PQQ196758 QAM196665:QAM196758 QKI196665:QKI196758 QUE196665:QUE196758 REA196665:REA196758 RNW196665:RNW196758 RXS196665:RXS196758 SHO196665:SHO196758 SRK196665:SRK196758 TBG196665:TBG196758 TLC196665:TLC196758 TUY196665:TUY196758 UEU196665:UEU196758 UOQ196665:UOQ196758 UYM196665:UYM196758 VII196665:VII196758 VSE196665:VSE196758 WCA196665:WCA196758 WLW196665:WLW196758 WVS196665:WVS196758 K262201:K262294 JG262201:JG262294 TC262201:TC262294 ACY262201:ACY262294 AMU262201:AMU262294 AWQ262201:AWQ262294 BGM262201:BGM262294 BQI262201:BQI262294 CAE262201:CAE262294 CKA262201:CKA262294 CTW262201:CTW262294 DDS262201:DDS262294 DNO262201:DNO262294 DXK262201:DXK262294 EHG262201:EHG262294 ERC262201:ERC262294 FAY262201:FAY262294 FKU262201:FKU262294 FUQ262201:FUQ262294 GEM262201:GEM262294 GOI262201:GOI262294 GYE262201:GYE262294 HIA262201:HIA262294 HRW262201:HRW262294 IBS262201:IBS262294 ILO262201:ILO262294 IVK262201:IVK262294 JFG262201:JFG262294 JPC262201:JPC262294 JYY262201:JYY262294 KIU262201:KIU262294 KSQ262201:KSQ262294 LCM262201:LCM262294 LMI262201:LMI262294 LWE262201:LWE262294 MGA262201:MGA262294 MPW262201:MPW262294 MZS262201:MZS262294 NJO262201:NJO262294 NTK262201:NTK262294 ODG262201:ODG262294 ONC262201:ONC262294 OWY262201:OWY262294 PGU262201:PGU262294 PQQ262201:PQQ262294 QAM262201:QAM262294 QKI262201:QKI262294 QUE262201:QUE262294 REA262201:REA262294 RNW262201:RNW262294 RXS262201:RXS262294 SHO262201:SHO262294 SRK262201:SRK262294 TBG262201:TBG262294 TLC262201:TLC262294 TUY262201:TUY262294 UEU262201:UEU262294 UOQ262201:UOQ262294 UYM262201:UYM262294 VII262201:VII262294 VSE262201:VSE262294 WCA262201:WCA262294 WLW262201:WLW262294 WVS262201:WVS262294 K327737:K327830 JG327737:JG327830 TC327737:TC327830 ACY327737:ACY327830 AMU327737:AMU327830 AWQ327737:AWQ327830 BGM327737:BGM327830 BQI327737:BQI327830 CAE327737:CAE327830 CKA327737:CKA327830 CTW327737:CTW327830 DDS327737:DDS327830 DNO327737:DNO327830 DXK327737:DXK327830 EHG327737:EHG327830 ERC327737:ERC327830 FAY327737:FAY327830 FKU327737:FKU327830 FUQ327737:FUQ327830 GEM327737:GEM327830 GOI327737:GOI327830 GYE327737:GYE327830 HIA327737:HIA327830 HRW327737:HRW327830 IBS327737:IBS327830 ILO327737:ILO327830 IVK327737:IVK327830 JFG327737:JFG327830 JPC327737:JPC327830 JYY327737:JYY327830 KIU327737:KIU327830 KSQ327737:KSQ327830 LCM327737:LCM327830 LMI327737:LMI327830 LWE327737:LWE327830 MGA327737:MGA327830 MPW327737:MPW327830 MZS327737:MZS327830 NJO327737:NJO327830 NTK327737:NTK327830 ODG327737:ODG327830 ONC327737:ONC327830 OWY327737:OWY327830 PGU327737:PGU327830 PQQ327737:PQQ327830 QAM327737:QAM327830 QKI327737:QKI327830 QUE327737:QUE327830 REA327737:REA327830 RNW327737:RNW327830 RXS327737:RXS327830 SHO327737:SHO327830 SRK327737:SRK327830 TBG327737:TBG327830 TLC327737:TLC327830 TUY327737:TUY327830 UEU327737:UEU327830 UOQ327737:UOQ327830 UYM327737:UYM327830 VII327737:VII327830 VSE327737:VSE327830 WCA327737:WCA327830 WLW327737:WLW327830 WVS327737:WVS327830 K393273:K393366 JG393273:JG393366 TC393273:TC393366 ACY393273:ACY393366 AMU393273:AMU393366 AWQ393273:AWQ393366 BGM393273:BGM393366 BQI393273:BQI393366 CAE393273:CAE393366 CKA393273:CKA393366 CTW393273:CTW393366 DDS393273:DDS393366 DNO393273:DNO393366 DXK393273:DXK393366 EHG393273:EHG393366 ERC393273:ERC393366 FAY393273:FAY393366 FKU393273:FKU393366 FUQ393273:FUQ393366 GEM393273:GEM393366 GOI393273:GOI393366 GYE393273:GYE393366 HIA393273:HIA393366 HRW393273:HRW393366 IBS393273:IBS393366 ILO393273:ILO393366 IVK393273:IVK393366 JFG393273:JFG393366 JPC393273:JPC393366 JYY393273:JYY393366 KIU393273:KIU393366 KSQ393273:KSQ393366 LCM393273:LCM393366 LMI393273:LMI393366 LWE393273:LWE393366 MGA393273:MGA393366 MPW393273:MPW393366 MZS393273:MZS393366 NJO393273:NJO393366 NTK393273:NTK393366 ODG393273:ODG393366 ONC393273:ONC393366 OWY393273:OWY393366 PGU393273:PGU393366 PQQ393273:PQQ393366 QAM393273:QAM393366 QKI393273:QKI393366 QUE393273:QUE393366 REA393273:REA393366 RNW393273:RNW393366 RXS393273:RXS393366 SHO393273:SHO393366 SRK393273:SRK393366 TBG393273:TBG393366 TLC393273:TLC393366 TUY393273:TUY393366 UEU393273:UEU393366 UOQ393273:UOQ393366 UYM393273:UYM393366 VII393273:VII393366 VSE393273:VSE393366 WCA393273:WCA393366 WLW393273:WLW393366 WVS393273:WVS393366 K458809:K458902 JG458809:JG458902 TC458809:TC458902 ACY458809:ACY458902 AMU458809:AMU458902 AWQ458809:AWQ458902 BGM458809:BGM458902 BQI458809:BQI458902 CAE458809:CAE458902 CKA458809:CKA458902 CTW458809:CTW458902 DDS458809:DDS458902 DNO458809:DNO458902 DXK458809:DXK458902 EHG458809:EHG458902 ERC458809:ERC458902 FAY458809:FAY458902 FKU458809:FKU458902 FUQ458809:FUQ458902 GEM458809:GEM458902 GOI458809:GOI458902 GYE458809:GYE458902 HIA458809:HIA458902 HRW458809:HRW458902 IBS458809:IBS458902 ILO458809:ILO458902 IVK458809:IVK458902 JFG458809:JFG458902 JPC458809:JPC458902 JYY458809:JYY458902 KIU458809:KIU458902 KSQ458809:KSQ458902 LCM458809:LCM458902 LMI458809:LMI458902 LWE458809:LWE458902 MGA458809:MGA458902 MPW458809:MPW458902 MZS458809:MZS458902 NJO458809:NJO458902 NTK458809:NTK458902 ODG458809:ODG458902 ONC458809:ONC458902 OWY458809:OWY458902 PGU458809:PGU458902 PQQ458809:PQQ458902 QAM458809:QAM458902 QKI458809:QKI458902 QUE458809:QUE458902 REA458809:REA458902 RNW458809:RNW458902 RXS458809:RXS458902 SHO458809:SHO458902 SRK458809:SRK458902 TBG458809:TBG458902 TLC458809:TLC458902 TUY458809:TUY458902 UEU458809:UEU458902 UOQ458809:UOQ458902 UYM458809:UYM458902 VII458809:VII458902 VSE458809:VSE458902 WCA458809:WCA458902 WLW458809:WLW458902 WVS458809:WVS458902 K524345:K524438 JG524345:JG524438 TC524345:TC524438 ACY524345:ACY524438 AMU524345:AMU524438 AWQ524345:AWQ524438 BGM524345:BGM524438 BQI524345:BQI524438 CAE524345:CAE524438 CKA524345:CKA524438 CTW524345:CTW524438 DDS524345:DDS524438 DNO524345:DNO524438 DXK524345:DXK524438 EHG524345:EHG524438 ERC524345:ERC524438 FAY524345:FAY524438 FKU524345:FKU524438 FUQ524345:FUQ524438 GEM524345:GEM524438 GOI524345:GOI524438 GYE524345:GYE524438 HIA524345:HIA524438 HRW524345:HRW524438 IBS524345:IBS524438 ILO524345:ILO524438 IVK524345:IVK524438 JFG524345:JFG524438 JPC524345:JPC524438 JYY524345:JYY524438 KIU524345:KIU524438 KSQ524345:KSQ524438 LCM524345:LCM524438 LMI524345:LMI524438 LWE524345:LWE524438 MGA524345:MGA524438 MPW524345:MPW524438 MZS524345:MZS524438 NJO524345:NJO524438 NTK524345:NTK524438 ODG524345:ODG524438 ONC524345:ONC524438 OWY524345:OWY524438 PGU524345:PGU524438 PQQ524345:PQQ524438 QAM524345:QAM524438 QKI524345:QKI524438 QUE524345:QUE524438 REA524345:REA524438 RNW524345:RNW524438 RXS524345:RXS524438 SHO524345:SHO524438 SRK524345:SRK524438 TBG524345:TBG524438 TLC524345:TLC524438 TUY524345:TUY524438 UEU524345:UEU524438 UOQ524345:UOQ524438 UYM524345:UYM524438 VII524345:VII524438 VSE524345:VSE524438 WCA524345:WCA524438 WLW524345:WLW524438 WVS524345:WVS524438 K589881:K589974 JG589881:JG589974 TC589881:TC589974 ACY589881:ACY589974 AMU589881:AMU589974 AWQ589881:AWQ589974 BGM589881:BGM589974 BQI589881:BQI589974 CAE589881:CAE589974 CKA589881:CKA589974 CTW589881:CTW589974 DDS589881:DDS589974 DNO589881:DNO589974 DXK589881:DXK589974 EHG589881:EHG589974 ERC589881:ERC589974 FAY589881:FAY589974 FKU589881:FKU589974 FUQ589881:FUQ589974 GEM589881:GEM589974 GOI589881:GOI589974 GYE589881:GYE589974 HIA589881:HIA589974 HRW589881:HRW589974 IBS589881:IBS589974 ILO589881:ILO589974 IVK589881:IVK589974 JFG589881:JFG589974 JPC589881:JPC589974 JYY589881:JYY589974 KIU589881:KIU589974 KSQ589881:KSQ589974 LCM589881:LCM589974 LMI589881:LMI589974 LWE589881:LWE589974 MGA589881:MGA589974 MPW589881:MPW589974 MZS589881:MZS589974 NJO589881:NJO589974 NTK589881:NTK589974 ODG589881:ODG589974 ONC589881:ONC589974 OWY589881:OWY589974 PGU589881:PGU589974 PQQ589881:PQQ589974 QAM589881:QAM589974 QKI589881:QKI589974 QUE589881:QUE589974 REA589881:REA589974 RNW589881:RNW589974 RXS589881:RXS589974 SHO589881:SHO589974 SRK589881:SRK589974 TBG589881:TBG589974 TLC589881:TLC589974 TUY589881:TUY589974 UEU589881:UEU589974 UOQ589881:UOQ589974 UYM589881:UYM589974 VII589881:VII589974 VSE589881:VSE589974 WCA589881:WCA589974 WLW589881:WLW589974 WVS589881:WVS589974 K655417:K655510 JG655417:JG655510 TC655417:TC655510 ACY655417:ACY655510 AMU655417:AMU655510 AWQ655417:AWQ655510 BGM655417:BGM655510 BQI655417:BQI655510 CAE655417:CAE655510 CKA655417:CKA655510 CTW655417:CTW655510 DDS655417:DDS655510 DNO655417:DNO655510 DXK655417:DXK655510 EHG655417:EHG655510 ERC655417:ERC655510 FAY655417:FAY655510 FKU655417:FKU655510 FUQ655417:FUQ655510 GEM655417:GEM655510 GOI655417:GOI655510 GYE655417:GYE655510 HIA655417:HIA655510 HRW655417:HRW655510 IBS655417:IBS655510 ILO655417:ILO655510 IVK655417:IVK655510 JFG655417:JFG655510 JPC655417:JPC655510 JYY655417:JYY655510 KIU655417:KIU655510 KSQ655417:KSQ655510 LCM655417:LCM655510 LMI655417:LMI655510 LWE655417:LWE655510 MGA655417:MGA655510 MPW655417:MPW655510 MZS655417:MZS655510 NJO655417:NJO655510 NTK655417:NTK655510 ODG655417:ODG655510 ONC655417:ONC655510 OWY655417:OWY655510 PGU655417:PGU655510 PQQ655417:PQQ655510 QAM655417:QAM655510 QKI655417:QKI655510 QUE655417:QUE655510 REA655417:REA655510 RNW655417:RNW655510 RXS655417:RXS655510 SHO655417:SHO655510 SRK655417:SRK655510 TBG655417:TBG655510 TLC655417:TLC655510 TUY655417:TUY655510 UEU655417:UEU655510 UOQ655417:UOQ655510 UYM655417:UYM655510 VII655417:VII655510 VSE655417:VSE655510 WCA655417:WCA655510 WLW655417:WLW655510 WVS655417:WVS655510 K720953:K721046 JG720953:JG721046 TC720953:TC721046 ACY720953:ACY721046 AMU720953:AMU721046 AWQ720953:AWQ721046 BGM720953:BGM721046 BQI720953:BQI721046 CAE720953:CAE721046 CKA720953:CKA721046 CTW720953:CTW721046 DDS720953:DDS721046 DNO720953:DNO721046 DXK720953:DXK721046 EHG720953:EHG721046 ERC720953:ERC721046 FAY720953:FAY721046 FKU720953:FKU721046 FUQ720953:FUQ721046 GEM720953:GEM721046 GOI720953:GOI721046 GYE720953:GYE721046 HIA720953:HIA721046 HRW720953:HRW721046 IBS720953:IBS721046 ILO720953:ILO721046 IVK720953:IVK721046 JFG720953:JFG721046 JPC720953:JPC721046 JYY720953:JYY721046 KIU720953:KIU721046 KSQ720953:KSQ721046 LCM720953:LCM721046 LMI720953:LMI721046 LWE720953:LWE721046 MGA720953:MGA721046 MPW720953:MPW721046 MZS720953:MZS721046 NJO720953:NJO721046 NTK720953:NTK721046 ODG720953:ODG721046 ONC720953:ONC721046 OWY720953:OWY721046 PGU720953:PGU721046 PQQ720953:PQQ721046 QAM720953:QAM721046 QKI720953:QKI721046 QUE720953:QUE721046 REA720953:REA721046 RNW720953:RNW721046 RXS720953:RXS721046 SHO720953:SHO721046 SRK720953:SRK721046 TBG720953:TBG721046 TLC720953:TLC721046 TUY720953:TUY721046 UEU720953:UEU721046 UOQ720953:UOQ721046 UYM720953:UYM721046 VII720953:VII721046 VSE720953:VSE721046 WCA720953:WCA721046 WLW720953:WLW721046 WVS720953:WVS721046 K786489:K786582 JG786489:JG786582 TC786489:TC786582 ACY786489:ACY786582 AMU786489:AMU786582 AWQ786489:AWQ786582 BGM786489:BGM786582 BQI786489:BQI786582 CAE786489:CAE786582 CKA786489:CKA786582 CTW786489:CTW786582 DDS786489:DDS786582 DNO786489:DNO786582 DXK786489:DXK786582 EHG786489:EHG786582 ERC786489:ERC786582 FAY786489:FAY786582 FKU786489:FKU786582 FUQ786489:FUQ786582 GEM786489:GEM786582 GOI786489:GOI786582 GYE786489:GYE786582 HIA786489:HIA786582 HRW786489:HRW786582 IBS786489:IBS786582 ILO786489:ILO786582 IVK786489:IVK786582 JFG786489:JFG786582 JPC786489:JPC786582 JYY786489:JYY786582 KIU786489:KIU786582 KSQ786489:KSQ786582 LCM786489:LCM786582 LMI786489:LMI786582 LWE786489:LWE786582 MGA786489:MGA786582 MPW786489:MPW786582 MZS786489:MZS786582 NJO786489:NJO786582 NTK786489:NTK786582 ODG786489:ODG786582 ONC786489:ONC786582 OWY786489:OWY786582 PGU786489:PGU786582 PQQ786489:PQQ786582 QAM786489:QAM786582 QKI786489:QKI786582 QUE786489:QUE786582 REA786489:REA786582 RNW786489:RNW786582 RXS786489:RXS786582 SHO786489:SHO786582 SRK786489:SRK786582 TBG786489:TBG786582 TLC786489:TLC786582 TUY786489:TUY786582 UEU786489:UEU786582 UOQ786489:UOQ786582 UYM786489:UYM786582 VII786489:VII786582 VSE786489:VSE786582 WCA786489:WCA786582 WLW786489:WLW786582 WVS786489:WVS786582 K852025:K852118 JG852025:JG852118 TC852025:TC852118 ACY852025:ACY852118 AMU852025:AMU852118 AWQ852025:AWQ852118 BGM852025:BGM852118 BQI852025:BQI852118 CAE852025:CAE852118 CKA852025:CKA852118 CTW852025:CTW852118 DDS852025:DDS852118 DNO852025:DNO852118 DXK852025:DXK852118 EHG852025:EHG852118 ERC852025:ERC852118 FAY852025:FAY852118 FKU852025:FKU852118 FUQ852025:FUQ852118 GEM852025:GEM852118 GOI852025:GOI852118 GYE852025:GYE852118 HIA852025:HIA852118 HRW852025:HRW852118 IBS852025:IBS852118 ILO852025:ILO852118 IVK852025:IVK852118 JFG852025:JFG852118 JPC852025:JPC852118 JYY852025:JYY852118 KIU852025:KIU852118 KSQ852025:KSQ852118 LCM852025:LCM852118 LMI852025:LMI852118 LWE852025:LWE852118 MGA852025:MGA852118 MPW852025:MPW852118 MZS852025:MZS852118 NJO852025:NJO852118 NTK852025:NTK852118 ODG852025:ODG852118 ONC852025:ONC852118 OWY852025:OWY852118 PGU852025:PGU852118 PQQ852025:PQQ852118 QAM852025:QAM852118 QKI852025:QKI852118 QUE852025:QUE852118 REA852025:REA852118 RNW852025:RNW852118 RXS852025:RXS852118 SHO852025:SHO852118 SRK852025:SRK852118 TBG852025:TBG852118 TLC852025:TLC852118 TUY852025:TUY852118 UEU852025:UEU852118 UOQ852025:UOQ852118 UYM852025:UYM852118 VII852025:VII852118 VSE852025:VSE852118 WCA852025:WCA852118 WLW852025:WLW852118 WVS852025:WVS852118 K917561:K917654 JG917561:JG917654 TC917561:TC917654 ACY917561:ACY917654 AMU917561:AMU917654 AWQ917561:AWQ917654 BGM917561:BGM917654 BQI917561:BQI917654 CAE917561:CAE917654 CKA917561:CKA917654 CTW917561:CTW917654 DDS917561:DDS917654 DNO917561:DNO917654 DXK917561:DXK917654 EHG917561:EHG917654 ERC917561:ERC917654 FAY917561:FAY917654 FKU917561:FKU917654 FUQ917561:FUQ917654 GEM917561:GEM917654 GOI917561:GOI917654 GYE917561:GYE917654 HIA917561:HIA917654 HRW917561:HRW917654 IBS917561:IBS917654 ILO917561:ILO917654 IVK917561:IVK917654 JFG917561:JFG917654 JPC917561:JPC917654 JYY917561:JYY917654 KIU917561:KIU917654 KSQ917561:KSQ917654 LCM917561:LCM917654 LMI917561:LMI917654 LWE917561:LWE917654 MGA917561:MGA917654 MPW917561:MPW917654 MZS917561:MZS917654 NJO917561:NJO917654 NTK917561:NTK917654 ODG917561:ODG917654 ONC917561:ONC917654 OWY917561:OWY917654 PGU917561:PGU917654 PQQ917561:PQQ917654 QAM917561:QAM917654 QKI917561:QKI917654 QUE917561:QUE917654 REA917561:REA917654 RNW917561:RNW917654 RXS917561:RXS917654 SHO917561:SHO917654 SRK917561:SRK917654 TBG917561:TBG917654 TLC917561:TLC917654 TUY917561:TUY917654 UEU917561:UEU917654 UOQ917561:UOQ917654 UYM917561:UYM917654 VII917561:VII917654 VSE917561:VSE917654 WCA917561:WCA917654 WLW917561:WLW917654 WVS917561:WVS917654 K983097:K983190 JG983097:JG983190 TC983097:TC983190 ACY983097:ACY983190 AMU983097:AMU983190 AWQ983097:AWQ983190 BGM983097:BGM983190 BQI983097:BQI983190 CAE983097:CAE983190 CKA983097:CKA983190 CTW983097:CTW983190 DDS983097:DDS983190 DNO983097:DNO983190 DXK983097:DXK983190 EHG983097:EHG983190 ERC983097:ERC983190 FAY983097:FAY983190 FKU983097:FKU983190 FUQ983097:FUQ983190 GEM983097:GEM983190 GOI983097:GOI983190 GYE983097:GYE983190 HIA983097:HIA983190 HRW983097:HRW983190 IBS983097:IBS983190 ILO983097:ILO983190 IVK983097:IVK983190 JFG983097:JFG983190 JPC983097:JPC983190 JYY983097:JYY983190 KIU983097:KIU983190 KSQ983097:KSQ983190 LCM983097:LCM983190 LMI983097:LMI983190 LWE983097:LWE983190 MGA983097:MGA983190 MPW983097:MPW983190 MZS983097:MZS983190 NJO983097:NJO983190 NTK983097:NTK983190 ODG983097:ODG983190 ONC983097:ONC983190 OWY983097:OWY983190 PGU983097:PGU983190 PQQ983097:PQQ983190 QAM983097:QAM983190 QKI983097:QKI983190 QUE983097:QUE983190 REA983097:REA983190 RNW983097:RNW983190 RXS983097:RXS983190 SHO983097:SHO983190 SRK983097:SRK983190 TBG983097:TBG983190 TLC983097:TLC983190 TUY983097:TUY983190 UEU983097:UEU983190 UOQ983097:UOQ983190 UYM983097:UYM983190 VII983097:VII983190 VSE983097:VSE983190 WCA983097:WCA983190 WLW983097:WLW983190 WVS983097:WVS983190 K54:K55 JG54:JG55 TC54:TC55 ACY54:ACY55 AMU54:AMU55 AWQ54:AWQ55 BGM54:BGM55 BQI54:BQI55 CAE54:CAE55 CKA54:CKA55 CTW54:CTW55 DDS54:DDS55 DNO54:DNO55 DXK54:DXK55 EHG54:EHG55 ERC54:ERC55 FAY54:FAY55 FKU54:FKU55 FUQ54:FUQ55 GEM54:GEM55 GOI54:GOI55 GYE54:GYE55 HIA54:HIA55 HRW54:HRW55 IBS54:IBS55 ILO54:ILO55 IVK54:IVK55 JFG54:JFG55 JPC54:JPC55 JYY54:JYY55 KIU54:KIU55 KSQ54:KSQ55 LCM54:LCM55 LMI54:LMI55 LWE54:LWE55 MGA54:MGA55 MPW54:MPW55 MZS54:MZS55 NJO54:NJO55 NTK54:NTK55 ODG54:ODG55 ONC54:ONC55 OWY54:OWY55 PGU54:PGU55 PQQ54:PQQ55 QAM54:QAM55 QKI54:QKI55 QUE54:QUE55 REA54:REA55 RNW54:RNW55 RXS54:RXS55 SHO54:SHO55 SRK54:SRK55 TBG54:TBG55 TLC54:TLC55 TUY54:TUY55 UEU54:UEU55 UOQ54:UOQ55 UYM54:UYM55 VII54:VII55 VSE54:VSE55 WCA54:WCA55 WLW54:WLW55 WVS54:WVS55 K65590:K65591 JG65590:JG65591 TC65590:TC65591 ACY65590:ACY65591 AMU65590:AMU65591 AWQ65590:AWQ65591 BGM65590:BGM65591 BQI65590:BQI65591 CAE65590:CAE65591 CKA65590:CKA65591 CTW65590:CTW65591 DDS65590:DDS65591 DNO65590:DNO65591 DXK65590:DXK65591 EHG65590:EHG65591 ERC65590:ERC65591 FAY65590:FAY65591 FKU65590:FKU65591 FUQ65590:FUQ65591 GEM65590:GEM65591 GOI65590:GOI65591 GYE65590:GYE65591 HIA65590:HIA65591 HRW65590:HRW65591 IBS65590:IBS65591 ILO65590:ILO65591 IVK65590:IVK65591 JFG65590:JFG65591 JPC65590:JPC65591 JYY65590:JYY65591 KIU65590:KIU65591 KSQ65590:KSQ65591 LCM65590:LCM65591 LMI65590:LMI65591 LWE65590:LWE65591 MGA65590:MGA65591 MPW65590:MPW65591 MZS65590:MZS65591 NJO65590:NJO65591 NTK65590:NTK65591 ODG65590:ODG65591 ONC65590:ONC65591 OWY65590:OWY65591 PGU65590:PGU65591 PQQ65590:PQQ65591 QAM65590:QAM65591 QKI65590:QKI65591 QUE65590:QUE65591 REA65590:REA65591 RNW65590:RNW65591 RXS65590:RXS65591 SHO65590:SHO65591 SRK65590:SRK65591 TBG65590:TBG65591 TLC65590:TLC65591 TUY65590:TUY65591 UEU65590:UEU65591 UOQ65590:UOQ65591 UYM65590:UYM65591 VII65590:VII65591 VSE65590:VSE65591 WCA65590:WCA65591 WLW65590:WLW65591 WVS65590:WVS65591 K131126:K131127 JG131126:JG131127 TC131126:TC131127 ACY131126:ACY131127 AMU131126:AMU131127 AWQ131126:AWQ131127 BGM131126:BGM131127 BQI131126:BQI131127 CAE131126:CAE131127 CKA131126:CKA131127 CTW131126:CTW131127 DDS131126:DDS131127 DNO131126:DNO131127 DXK131126:DXK131127 EHG131126:EHG131127 ERC131126:ERC131127 FAY131126:FAY131127 FKU131126:FKU131127 FUQ131126:FUQ131127 GEM131126:GEM131127 GOI131126:GOI131127 GYE131126:GYE131127 HIA131126:HIA131127 HRW131126:HRW131127 IBS131126:IBS131127 ILO131126:ILO131127 IVK131126:IVK131127 JFG131126:JFG131127 JPC131126:JPC131127 JYY131126:JYY131127 KIU131126:KIU131127 KSQ131126:KSQ131127 LCM131126:LCM131127 LMI131126:LMI131127 LWE131126:LWE131127 MGA131126:MGA131127 MPW131126:MPW131127 MZS131126:MZS131127 NJO131126:NJO131127 NTK131126:NTK131127 ODG131126:ODG131127 ONC131126:ONC131127 OWY131126:OWY131127 PGU131126:PGU131127 PQQ131126:PQQ131127 QAM131126:QAM131127 QKI131126:QKI131127 QUE131126:QUE131127 REA131126:REA131127 RNW131126:RNW131127 RXS131126:RXS131127 SHO131126:SHO131127 SRK131126:SRK131127 TBG131126:TBG131127 TLC131126:TLC131127 TUY131126:TUY131127 UEU131126:UEU131127 UOQ131126:UOQ131127 UYM131126:UYM131127 VII131126:VII131127 VSE131126:VSE131127 WCA131126:WCA131127 WLW131126:WLW131127 WVS131126:WVS131127 K196662:K196663 JG196662:JG196663 TC196662:TC196663 ACY196662:ACY196663 AMU196662:AMU196663 AWQ196662:AWQ196663 BGM196662:BGM196663 BQI196662:BQI196663 CAE196662:CAE196663 CKA196662:CKA196663 CTW196662:CTW196663 DDS196662:DDS196663 DNO196662:DNO196663 DXK196662:DXK196663 EHG196662:EHG196663 ERC196662:ERC196663 FAY196662:FAY196663 FKU196662:FKU196663 FUQ196662:FUQ196663 GEM196662:GEM196663 GOI196662:GOI196663 GYE196662:GYE196663 HIA196662:HIA196663 HRW196662:HRW196663 IBS196662:IBS196663 ILO196662:ILO196663 IVK196662:IVK196663 JFG196662:JFG196663 JPC196662:JPC196663 JYY196662:JYY196663 KIU196662:KIU196663 KSQ196662:KSQ196663 LCM196662:LCM196663 LMI196662:LMI196663 LWE196662:LWE196663 MGA196662:MGA196663 MPW196662:MPW196663 MZS196662:MZS196663 NJO196662:NJO196663 NTK196662:NTK196663 ODG196662:ODG196663 ONC196662:ONC196663 OWY196662:OWY196663 PGU196662:PGU196663 PQQ196662:PQQ196663 QAM196662:QAM196663 QKI196662:QKI196663 QUE196662:QUE196663 REA196662:REA196663 RNW196662:RNW196663 RXS196662:RXS196663 SHO196662:SHO196663 SRK196662:SRK196663 TBG196662:TBG196663 TLC196662:TLC196663 TUY196662:TUY196663 UEU196662:UEU196663 UOQ196662:UOQ196663 UYM196662:UYM196663 VII196662:VII196663 VSE196662:VSE196663 WCA196662:WCA196663 WLW196662:WLW196663 WVS196662:WVS196663 K262198:K262199 JG262198:JG262199 TC262198:TC262199 ACY262198:ACY262199 AMU262198:AMU262199 AWQ262198:AWQ262199 BGM262198:BGM262199 BQI262198:BQI262199 CAE262198:CAE262199 CKA262198:CKA262199 CTW262198:CTW262199 DDS262198:DDS262199 DNO262198:DNO262199 DXK262198:DXK262199 EHG262198:EHG262199 ERC262198:ERC262199 FAY262198:FAY262199 FKU262198:FKU262199 FUQ262198:FUQ262199 GEM262198:GEM262199 GOI262198:GOI262199 GYE262198:GYE262199 HIA262198:HIA262199 HRW262198:HRW262199 IBS262198:IBS262199 ILO262198:ILO262199 IVK262198:IVK262199 JFG262198:JFG262199 JPC262198:JPC262199 JYY262198:JYY262199 KIU262198:KIU262199 KSQ262198:KSQ262199 LCM262198:LCM262199 LMI262198:LMI262199 LWE262198:LWE262199 MGA262198:MGA262199 MPW262198:MPW262199 MZS262198:MZS262199 NJO262198:NJO262199 NTK262198:NTK262199 ODG262198:ODG262199 ONC262198:ONC262199 OWY262198:OWY262199 PGU262198:PGU262199 PQQ262198:PQQ262199 QAM262198:QAM262199 QKI262198:QKI262199 QUE262198:QUE262199 REA262198:REA262199 RNW262198:RNW262199 RXS262198:RXS262199 SHO262198:SHO262199 SRK262198:SRK262199 TBG262198:TBG262199 TLC262198:TLC262199 TUY262198:TUY262199 UEU262198:UEU262199 UOQ262198:UOQ262199 UYM262198:UYM262199 VII262198:VII262199 VSE262198:VSE262199 WCA262198:WCA262199 WLW262198:WLW262199 WVS262198:WVS262199 K327734:K327735 JG327734:JG327735 TC327734:TC327735 ACY327734:ACY327735 AMU327734:AMU327735 AWQ327734:AWQ327735 BGM327734:BGM327735 BQI327734:BQI327735 CAE327734:CAE327735 CKA327734:CKA327735 CTW327734:CTW327735 DDS327734:DDS327735 DNO327734:DNO327735 DXK327734:DXK327735 EHG327734:EHG327735 ERC327734:ERC327735 FAY327734:FAY327735 FKU327734:FKU327735 FUQ327734:FUQ327735 GEM327734:GEM327735 GOI327734:GOI327735 GYE327734:GYE327735 HIA327734:HIA327735 HRW327734:HRW327735 IBS327734:IBS327735 ILO327734:ILO327735 IVK327734:IVK327735 JFG327734:JFG327735 JPC327734:JPC327735 JYY327734:JYY327735 KIU327734:KIU327735 KSQ327734:KSQ327735 LCM327734:LCM327735 LMI327734:LMI327735 LWE327734:LWE327735 MGA327734:MGA327735 MPW327734:MPW327735 MZS327734:MZS327735 NJO327734:NJO327735 NTK327734:NTK327735 ODG327734:ODG327735 ONC327734:ONC327735 OWY327734:OWY327735 PGU327734:PGU327735 PQQ327734:PQQ327735 QAM327734:QAM327735 QKI327734:QKI327735 QUE327734:QUE327735 REA327734:REA327735 RNW327734:RNW327735 RXS327734:RXS327735 SHO327734:SHO327735 SRK327734:SRK327735 TBG327734:TBG327735 TLC327734:TLC327735 TUY327734:TUY327735 UEU327734:UEU327735 UOQ327734:UOQ327735 UYM327734:UYM327735 VII327734:VII327735 VSE327734:VSE327735 WCA327734:WCA327735 WLW327734:WLW327735 WVS327734:WVS327735 K393270:K393271 JG393270:JG393271 TC393270:TC393271 ACY393270:ACY393271 AMU393270:AMU393271 AWQ393270:AWQ393271 BGM393270:BGM393271 BQI393270:BQI393271 CAE393270:CAE393271 CKA393270:CKA393271 CTW393270:CTW393271 DDS393270:DDS393271 DNO393270:DNO393271 DXK393270:DXK393271 EHG393270:EHG393271 ERC393270:ERC393271 FAY393270:FAY393271 FKU393270:FKU393271 FUQ393270:FUQ393271 GEM393270:GEM393271 GOI393270:GOI393271 GYE393270:GYE393271 HIA393270:HIA393271 HRW393270:HRW393271 IBS393270:IBS393271 ILO393270:ILO393271 IVK393270:IVK393271 JFG393270:JFG393271 JPC393270:JPC393271 JYY393270:JYY393271 KIU393270:KIU393271 KSQ393270:KSQ393271 LCM393270:LCM393271 LMI393270:LMI393271 LWE393270:LWE393271 MGA393270:MGA393271 MPW393270:MPW393271 MZS393270:MZS393271 NJO393270:NJO393271 NTK393270:NTK393271 ODG393270:ODG393271 ONC393270:ONC393271 OWY393270:OWY393271 PGU393270:PGU393271 PQQ393270:PQQ393271 QAM393270:QAM393271 QKI393270:QKI393271 QUE393270:QUE393271 REA393270:REA393271 RNW393270:RNW393271 RXS393270:RXS393271 SHO393270:SHO393271 SRK393270:SRK393271 TBG393270:TBG393271 TLC393270:TLC393271 TUY393270:TUY393271 UEU393270:UEU393271 UOQ393270:UOQ393271 UYM393270:UYM393271 VII393270:VII393271 VSE393270:VSE393271 WCA393270:WCA393271 WLW393270:WLW393271 WVS393270:WVS393271 K458806:K458807 JG458806:JG458807 TC458806:TC458807 ACY458806:ACY458807 AMU458806:AMU458807 AWQ458806:AWQ458807 BGM458806:BGM458807 BQI458806:BQI458807 CAE458806:CAE458807 CKA458806:CKA458807 CTW458806:CTW458807 DDS458806:DDS458807 DNO458806:DNO458807 DXK458806:DXK458807 EHG458806:EHG458807 ERC458806:ERC458807 FAY458806:FAY458807 FKU458806:FKU458807 FUQ458806:FUQ458807 GEM458806:GEM458807 GOI458806:GOI458807 GYE458806:GYE458807 HIA458806:HIA458807 HRW458806:HRW458807 IBS458806:IBS458807 ILO458806:ILO458807 IVK458806:IVK458807 JFG458806:JFG458807 JPC458806:JPC458807 JYY458806:JYY458807 KIU458806:KIU458807 KSQ458806:KSQ458807 LCM458806:LCM458807 LMI458806:LMI458807 LWE458806:LWE458807 MGA458806:MGA458807 MPW458806:MPW458807 MZS458806:MZS458807 NJO458806:NJO458807 NTK458806:NTK458807 ODG458806:ODG458807 ONC458806:ONC458807 OWY458806:OWY458807 PGU458806:PGU458807 PQQ458806:PQQ458807 QAM458806:QAM458807 QKI458806:QKI458807 QUE458806:QUE458807 REA458806:REA458807 RNW458806:RNW458807 RXS458806:RXS458807 SHO458806:SHO458807 SRK458806:SRK458807 TBG458806:TBG458807 TLC458806:TLC458807 TUY458806:TUY458807 UEU458806:UEU458807 UOQ458806:UOQ458807 UYM458806:UYM458807 VII458806:VII458807 VSE458806:VSE458807 WCA458806:WCA458807 WLW458806:WLW458807 WVS458806:WVS458807 K524342:K524343 JG524342:JG524343 TC524342:TC524343 ACY524342:ACY524343 AMU524342:AMU524343 AWQ524342:AWQ524343 BGM524342:BGM524343 BQI524342:BQI524343 CAE524342:CAE524343 CKA524342:CKA524343 CTW524342:CTW524343 DDS524342:DDS524343 DNO524342:DNO524343 DXK524342:DXK524343 EHG524342:EHG524343 ERC524342:ERC524343 FAY524342:FAY524343 FKU524342:FKU524343 FUQ524342:FUQ524343 GEM524342:GEM524343 GOI524342:GOI524343 GYE524342:GYE524343 HIA524342:HIA524343 HRW524342:HRW524343 IBS524342:IBS524343 ILO524342:ILO524343 IVK524342:IVK524343 JFG524342:JFG524343 JPC524342:JPC524343 JYY524342:JYY524343 KIU524342:KIU524343 KSQ524342:KSQ524343 LCM524342:LCM524343 LMI524342:LMI524343 LWE524342:LWE524343 MGA524342:MGA524343 MPW524342:MPW524343 MZS524342:MZS524343 NJO524342:NJO524343 NTK524342:NTK524343 ODG524342:ODG524343 ONC524342:ONC524343 OWY524342:OWY524343 PGU524342:PGU524343 PQQ524342:PQQ524343 QAM524342:QAM524343 QKI524342:QKI524343 QUE524342:QUE524343 REA524342:REA524343 RNW524342:RNW524343 RXS524342:RXS524343 SHO524342:SHO524343 SRK524342:SRK524343 TBG524342:TBG524343 TLC524342:TLC524343 TUY524342:TUY524343 UEU524342:UEU524343 UOQ524342:UOQ524343 UYM524342:UYM524343 VII524342:VII524343 VSE524342:VSE524343 WCA524342:WCA524343 WLW524342:WLW524343 WVS524342:WVS524343 K589878:K589879 JG589878:JG589879 TC589878:TC589879 ACY589878:ACY589879 AMU589878:AMU589879 AWQ589878:AWQ589879 BGM589878:BGM589879 BQI589878:BQI589879 CAE589878:CAE589879 CKA589878:CKA589879 CTW589878:CTW589879 DDS589878:DDS589879 DNO589878:DNO589879 DXK589878:DXK589879 EHG589878:EHG589879 ERC589878:ERC589879 FAY589878:FAY589879 FKU589878:FKU589879 FUQ589878:FUQ589879 GEM589878:GEM589879 GOI589878:GOI589879 GYE589878:GYE589879 HIA589878:HIA589879 HRW589878:HRW589879 IBS589878:IBS589879 ILO589878:ILO589879 IVK589878:IVK589879 JFG589878:JFG589879 JPC589878:JPC589879 JYY589878:JYY589879 KIU589878:KIU589879 KSQ589878:KSQ589879 LCM589878:LCM589879 LMI589878:LMI589879 LWE589878:LWE589879 MGA589878:MGA589879 MPW589878:MPW589879 MZS589878:MZS589879 NJO589878:NJO589879 NTK589878:NTK589879 ODG589878:ODG589879 ONC589878:ONC589879 OWY589878:OWY589879 PGU589878:PGU589879 PQQ589878:PQQ589879 QAM589878:QAM589879 QKI589878:QKI589879 QUE589878:QUE589879 REA589878:REA589879 RNW589878:RNW589879 RXS589878:RXS589879 SHO589878:SHO589879 SRK589878:SRK589879 TBG589878:TBG589879 TLC589878:TLC589879 TUY589878:TUY589879 UEU589878:UEU589879 UOQ589878:UOQ589879 UYM589878:UYM589879 VII589878:VII589879 VSE589878:VSE589879 WCA589878:WCA589879 WLW589878:WLW589879 WVS589878:WVS589879 K655414:K655415 JG655414:JG655415 TC655414:TC655415 ACY655414:ACY655415 AMU655414:AMU655415 AWQ655414:AWQ655415 BGM655414:BGM655415 BQI655414:BQI655415 CAE655414:CAE655415 CKA655414:CKA655415 CTW655414:CTW655415 DDS655414:DDS655415 DNO655414:DNO655415 DXK655414:DXK655415 EHG655414:EHG655415 ERC655414:ERC655415 FAY655414:FAY655415 FKU655414:FKU655415 FUQ655414:FUQ655415 GEM655414:GEM655415 GOI655414:GOI655415 GYE655414:GYE655415 HIA655414:HIA655415 HRW655414:HRW655415 IBS655414:IBS655415 ILO655414:ILO655415 IVK655414:IVK655415 JFG655414:JFG655415 JPC655414:JPC655415 JYY655414:JYY655415 KIU655414:KIU655415 KSQ655414:KSQ655415 LCM655414:LCM655415 LMI655414:LMI655415 LWE655414:LWE655415 MGA655414:MGA655415 MPW655414:MPW655415 MZS655414:MZS655415 NJO655414:NJO655415 NTK655414:NTK655415 ODG655414:ODG655415 ONC655414:ONC655415 OWY655414:OWY655415 PGU655414:PGU655415 PQQ655414:PQQ655415 QAM655414:QAM655415 QKI655414:QKI655415 QUE655414:QUE655415 REA655414:REA655415 RNW655414:RNW655415 RXS655414:RXS655415 SHO655414:SHO655415 SRK655414:SRK655415 TBG655414:TBG655415 TLC655414:TLC655415 TUY655414:TUY655415 UEU655414:UEU655415 UOQ655414:UOQ655415 UYM655414:UYM655415 VII655414:VII655415 VSE655414:VSE655415 WCA655414:WCA655415 WLW655414:WLW655415 WVS655414:WVS655415 K720950:K720951 JG720950:JG720951 TC720950:TC720951 ACY720950:ACY720951 AMU720950:AMU720951 AWQ720950:AWQ720951 BGM720950:BGM720951 BQI720950:BQI720951 CAE720950:CAE720951 CKA720950:CKA720951 CTW720950:CTW720951 DDS720950:DDS720951 DNO720950:DNO720951 DXK720950:DXK720951 EHG720950:EHG720951 ERC720950:ERC720951 FAY720950:FAY720951 FKU720950:FKU720951 FUQ720950:FUQ720951 GEM720950:GEM720951 GOI720950:GOI720951 GYE720950:GYE720951 HIA720950:HIA720951 HRW720950:HRW720951 IBS720950:IBS720951 ILO720950:ILO720951 IVK720950:IVK720951 JFG720950:JFG720951 JPC720950:JPC720951 JYY720950:JYY720951 KIU720950:KIU720951 KSQ720950:KSQ720951 LCM720950:LCM720951 LMI720950:LMI720951 LWE720950:LWE720951 MGA720950:MGA720951 MPW720950:MPW720951 MZS720950:MZS720951 NJO720950:NJO720951 NTK720950:NTK720951 ODG720950:ODG720951 ONC720950:ONC720951 OWY720950:OWY720951 PGU720950:PGU720951 PQQ720950:PQQ720951 QAM720950:QAM720951 QKI720950:QKI720951 QUE720950:QUE720951 REA720950:REA720951 RNW720950:RNW720951 RXS720950:RXS720951 SHO720950:SHO720951 SRK720950:SRK720951 TBG720950:TBG720951 TLC720950:TLC720951 TUY720950:TUY720951 UEU720950:UEU720951 UOQ720950:UOQ720951 UYM720950:UYM720951 VII720950:VII720951 VSE720950:VSE720951 WCA720950:WCA720951 WLW720950:WLW720951 WVS720950:WVS720951 K786486:K786487 JG786486:JG786487 TC786486:TC786487 ACY786486:ACY786487 AMU786486:AMU786487 AWQ786486:AWQ786487 BGM786486:BGM786487 BQI786486:BQI786487 CAE786486:CAE786487 CKA786486:CKA786487 CTW786486:CTW786487 DDS786486:DDS786487 DNO786486:DNO786487 DXK786486:DXK786487 EHG786486:EHG786487 ERC786486:ERC786487 FAY786486:FAY786487 FKU786486:FKU786487 FUQ786486:FUQ786487 GEM786486:GEM786487 GOI786486:GOI786487 GYE786486:GYE786487 HIA786486:HIA786487 HRW786486:HRW786487 IBS786486:IBS786487 ILO786486:ILO786487 IVK786486:IVK786487 JFG786486:JFG786487 JPC786486:JPC786487 JYY786486:JYY786487 KIU786486:KIU786487 KSQ786486:KSQ786487 LCM786486:LCM786487 LMI786486:LMI786487 LWE786486:LWE786487 MGA786486:MGA786487 MPW786486:MPW786487 MZS786486:MZS786487 NJO786486:NJO786487 NTK786486:NTK786487 ODG786486:ODG786487 ONC786486:ONC786487 OWY786486:OWY786487 PGU786486:PGU786487 PQQ786486:PQQ786487 QAM786486:QAM786487 QKI786486:QKI786487 QUE786486:QUE786487 REA786486:REA786487 RNW786486:RNW786487 RXS786486:RXS786487 SHO786486:SHO786487 SRK786486:SRK786487 TBG786486:TBG786487 TLC786486:TLC786487 TUY786486:TUY786487 UEU786486:UEU786487 UOQ786486:UOQ786487 UYM786486:UYM786487 VII786486:VII786487 VSE786486:VSE786487 WCA786486:WCA786487 WLW786486:WLW786487 WVS786486:WVS786487 K852022:K852023 JG852022:JG852023 TC852022:TC852023 ACY852022:ACY852023 AMU852022:AMU852023 AWQ852022:AWQ852023 BGM852022:BGM852023 BQI852022:BQI852023 CAE852022:CAE852023 CKA852022:CKA852023 CTW852022:CTW852023 DDS852022:DDS852023 DNO852022:DNO852023 DXK852022:DXK852023 EHG852022:EHG852023 ERC852022:ERC852023 FAY852022:FAY852023 FKU852022:FKU852023 FUQ852022:FUQ852023 GEM852022:GEM852023 GOI852022:GOI852023 GYE852022:GYE852023 HIA852022:HIA852023 HRW852022:HRW852023 IBS852022:IBS852023 ILO852022:ILO852023 IVK852022:IVK852023 JFG852022:JFG852023 JPC852022:JPC852023 JYY852022:JYY852023 KIU852022:KIU852023 KSQ852022:KSQ852023 LCM852022:LCM852023 LMI852022:LMI852023 LWE852022:LWE852023 MGA852022:MGA852023 MPW852022:MPW852023 MZS852022:MZS852023 NJO852022:NJO852023 NTK852022:NTK852023 ODG852022:ODG852023 ONC852022:ONC852023 OWY852022:OWY852023 PGU852022:PGU852023 PQQ852022:PQQ852023 QAM852022:QAM852023 QKI852022:QKI852023 QUE852022:QUE852023 REA852022:REA852023 RNW852022:RNW852023 RXS852022:RXS852023 SHO852022:SHO852023 SRK852022:SRK852023 TBG852022:TBG852023 TLC852022:TLC852023 TUY852022:TUY852023 UEU852022:UEU852023 UOQ852022:UOQ852023 UYM852022:UYM852023 VII852022:VII852023 VSE852022:VSE852023 WCA852022:WCA852023 WLW852022:WLW852023 WVS852022:WVS852023 K917558:K917559 JG917558:JG917559 TC917558:TC917559 ACY917558:ACY917559 AMU917558:AMU917559 AWQ917558:AWQ917559 BGM917558:BGM917559 BQI917558:BQI917559 CAE917558:CAE917559 CKA917558:CKA917559 CTW917558:CTW917559 DDS917558:DDS917559 DNO917558:DNO917559 DXK917558:DXK917559 EHG917558:EHG917559 ERC917558:ERC917559 FAY917558:FAY917559 FKU917558:FKU917559 FUQ917558:FUQ917559 GEM917558:GEM917559 GOI917558:GOI917559 GYE917558:GYE917559 HIA917558:HIA917559 HRW917558:HRW917559 IBS917558:IBS917559 ILO917558:ILO917559 IVK917558:IVK917559 JFG917558:JFG917559 JPC917558:JPC917559 JYY917558:JYY917559 KIU917558:KIU917559 KSQ917558:KSQ917559 LCM917558:LCM917559 LMI917558:LMI917559 LWE917558:LWE917559 MGA917558:MGA917559 MPW917558:MPW917559 MZS917558:MZS917559 NJO917558:NJO917559 NTK917558:NTK917559 ODG917558:ODG917559 ONC917558:ONC917559 OWY917558:OWY917559 PGU917558:PGU917559 PQQ917558:PQQ917559 QAM917558:QAM917559 QKI917558:QKI917559 QUE917558:QUE917559 REA917558:REA917559 RNW917558:RNW917559 RXS917558:RXS917559 SHO917558:SHO917559 SRK917558:SRK917559 TBG917558:TBG917559 TLC917558:TLC917559 TUY917558:TUY917559 UEU917558:UEU917559 UOQ917558:UOQ917559 UYM917558:UYM917559 VII917558:VII917559 VSE917558:VSE917559 WCA917558:WCA917559 WLW917558:WLW917559 WVS917558:WVS917559 K983094:K983095 JG983094:JG983095 TC983094:TC983095 ACY983094:ACY983095 AMU983094:AMU983095 AWQ983094:AWQ983095 BGM983094:BGM983095 BQI983094:BQI983095 CAE983094:CAE983095 CKA983094:CKA983095 CTW983094:CTW983095 DDS983094:DDS983095 DNO983094:DNO983095 DXK983094:DXK983095 EHG983094:EHG983095 ERC983094:ERC983095 FAY983094:FAY983095 FKU983094:FKU983095 FUQ983094:FUQ983095 GEM983094:GEM983095 GOI983094:GOI983095 GYE983094:GYE983095 HIA983094:HIA983095 HRW983094:HRW983095 IBS983094:IBS983095 ILO983094:ILO983095 IVK983094:IVK983095 JFG983094:JFG983095 JPC983094:JPC983095 JYY983094:JYY983095 KIU983094:KIU983095 KSQ983094:KSQ983095 LCM983094:LCM983095 LMI983094:LMI983095 LWE983094:LWE983095 MGA983094:MGA983095 MPW983094:MPW983095 MZS983094:MZS983095 NJO983094:NJO983095 NTK983094:NTK983095 ODG983094:ODG983095 ONC983094:ONC983095 OWY983094:OWY983095 PGU983094:PGU983095 PQQ983094:PQQ983095 QAM983094:QAM983095 QKI983094:QKI983095 QUE983094:QUE983095 REA983094:REA983095 RNW983094:RNW983095 RXS983094:RXS983095 SHO983094:SHO983095 SRK983094:SRK983095 TBG983094:TBG983095 TLC983094:TLC983095 TUY983094:TUY983095 UEU983094:UEU983095 UOQ983094:UOQ983095 UYM983094:UYM983095 VII983094:VII983095 VSE983094:VSE983095 WCA983094:WCA983095 WLW983094:WLW983095 WVS983094:WVS983095 L55 JH55 TD55 ACZ55 AMV55 AWR55 BGN55 BQJ55 CAF55 CKB55 CTX55 DDT55 DNP55 DXL55 EHH55 ERD55 FAZ55 FKV55 FUR55 GEN55 GOJ55 GYF55 HIB55 HRX55 IBT55 ILP55 IVL55 JFH55 JPD55 JYZ55 KIV55 KSR55 LCN55 LMJ55 LWF55 MGB55 MPX55 MZT55 NJP55 NTL55 ODH55 OND55 OWZ55 PGV55 PQR55 QAN55 QKJ55 QUF55 REB55 RNX55 RXT55 SHP55 SRL55 TBH55 TLD55 TUZ55 UEV55 UOR55 UYN55 VIJ55 VSF55 WCB55 WLX55 WVT55 L65591 JH65591 TD65591 ACZ65591 AMV65591 AWR65591 BGN65591 BQJ65591 CAF65591 CKB65591 CTX65591 DDT65591 DNP65591 DXL65591 EHH65591 ERD65591 FAZ65591 FKV65591 FUR65591 GEN65591 GOJ65591 GYF65591 HIB65591 HRX65591 IBT65591 ILP65591 IVL65591 JFH65591 JPD65591 JYZ65591 KIV65591 KSR65591 LCN65591 LMJ65591 LWF65591 MGB65591 MPX65591 MZT65591 NJP65591 NTL65591 ODH65591 OND65591 OWZ65591 PGV65591 PQR65591 QAN65591 QKJ65591 QUF65591 REB65591 RNX65591 RXT65591 SHP65591 SRL65591 TBH65591 TLD65591 TUZ65591 UEV65591 UOR65591 UYN65591 VIJ65591 VSF65591 WCB65591 WLX65591 WVT65591 L131127 JH131127 TD131127 ACZ131127 AMV131127 AWR131127 BGN131127 BQJ131127 CAF131127 CKB131127 CTX131127 DDT131127 DNP131127 DXL131127 EHH131127 ERD131127 FAZ131127 FKV131127 FUR131127 GEN131127 GOJ131127 GYF131127 HIB131127 HRX131127 IBT131127 ILP131127 IVL131127 JFH131127 JPD131127 JYZ131127 KIV131127 KSR131127 LCN131127 LMJ131127 LWF131127 MGB131127 MPX131127 MZT131127 NJP131127 NTL131127 ODH131127 OND131127 OWZ131127 PGV131127 PQR131127 QAN131127 QKJ131127 QUF131127 REB131127 RNX131127 RXT131127 SHP131127 SRL131127 TBH131127 TLD131127 TUZ131127 UEV131127 UOR131127 UYN131127 VIJ131127 VSF131127 WCB131127 WLX131127 WVT131127 L196663 JH196663 TD196663 ACZ196663 AMV196663 AWR196663 BGN196663 BQJ196663 CAF196663 CKB196663 CTX196663 DDT196663 DNP196663 DXL196663 EHH196663 ERD196663 FAZ196663 FKV196663 FUR196663 GEN196663 GOJ196663 GYF196663 HIB196663 HRX196663 IBT196663 ILP196663 IVL196663 JFH196663 JPD196663 JYZ196663 KIV196663 KSR196663 LCN196663 LMJ196663 LWF196663 MGB196663 MPX196663 MZT196663 NJP196663 NTL196663 ODH196663 OND196663 OWZ196663 PGV196663 PQR196663 QAN196663 QKJ196663 QUF196663 REB196663 RNX196663 RXT196663 SHP196663 SRL196663 TBH196663 TLD196663 TUZ196663 UEV196663 UOR196663 UYN196663 VIJ196663 VSF196663 WCB196663 WLX196663 WVT196663 L262199 JH262199 TD262199 ACZ262199 AMV262199 AWR262199 BGN262199 BQJ262199 CAF262199 CKB262199 CTX262199 DDT262199 DNP262199 DXL262199 EHH262199 ERD262199 FAZ262199 FKV262199 FUR262199 GEN262199 GOJ262199 GYF262199 HIB262199 HRX262199 IBT262199 ILP262199 IVL262199 JFH262199 JPD262199 JYZ262199 KIV262199 KSR262199 LCN262199 LMJ262199 LWF262199 MGB262199 MPX262199 MZT262199 NJP262199 NTL262199 ODH262199 OND262199 OWZ262199 PGV262199 PQR262199 QAN262199 QKJ262199 QUF262199 REB262199 RNX262199 RXT262199 SHP262199 SRL262199 TBH262199 TLD262199 TUZ262199 UEV262199 UOR262199 UYN262199 VIJ262199 VSF262199 WCB262199 WLX262199 WVT262199 L327735 JH327735 TD327735 ACZ327735 AMV327735 AWR327735 BGN327735 BQJ327735 CAF327735 CKB327735 CTX327735 DDT327735 DNP327735 DXL327735 EHH327735 ERD327735 FAZ327735 FKV327735 FUR327735 GEN327735 GOJ327735 GYF327735 HIB327735 HRX327735 IBT327735 ILP327735 IVL327735 JFH327735 JPD327735 JYZ327735 KIV327735 KSR327735 LCN327735 LMJ327735 LWF327735 MGB327735 MPX327735 MZT327735 NJP327735 NTL327735 ODH327735 OND327735 OWZ327735 PGV327735 PQR327735 QAN327735 QKJ327735 QUF327735 REB327735 RNX327735 RXT327735 SHP327735 SRL327735 TBH327735 TLD327735 TUZ327735 UEV327735 UOR327735 UYN327735 VIJ327735 VSF327735 WCB327735 WLX327735 WVT327735 L393271 JH393271 TD393271 ACZ393271 AMV393271 AWR393271 BGN393271 BQJ393271 CAF393271 CKB393271 CTX393271 DDT393271 DNP393271 DXL393271 EHH393271 ERD393271 FAZ393271 FKV393271 FUR393271 GEN393271 GOJ393271 GYF393271 HIB393271 HRX393271 IBT393271 ILP393271 IVL393271 JFH393271 JPD393271 JYZ393271 KIV393271 KSR393271 LCN393271 LMJ393271 LWF393271 MGB393271 MPX393271 MZT393271 NJP393271 NTL393271 ODH393271 OND393271 OWZ393271 PGV393271 PQR393271 QAN393271 QKJ393271 QUF393271 REB393271 RNX393271 RXT393271 SHP393271 SRL393271 TBH393271 TLD393271 TUZ393271 UEV393271 UOR393271 UYN393271 VIJ393271 VSF393271 WCB393271 WLX393271 WVT393271 L458807 JH458807 TD458807 ACZ458807 AMV458807 AWR458807 BGN458807 BQJ458807 CAF458807 CKB458807 CTX458807 DDT458807 DNP458807 DXL458807 EHH458807 ERD458807 FAZ458807 FKV458807 FUR458807 GEN458807 GOJ458807 GYF458807 HIB458807 HRX458807 IBT458807 ILP458807 IVL458807 JFH458807 JPD458807 JYZ458807 KIV458807 KSR458807 LCN458807 LMJ458807 LWF458807 MGB458807 MPX458807 MZT458807 NJP458807 NTL458807 ODH458807 OND458807 OWZ458807 PGV458807 PQR458807 QAN458807 QKJ458807 QUF458807 REB458807 RNX458807 RXT458807 SHP458807 SRL458807 TBH458807 TLD458807 TUZ458807 UEV458807 UOR458807 UYN458807 VIJ458807 VSF458807 WCB458807 WLX458807 WVT458807 L524343 JH524343 TD524343 ACZ524343 AMV524343 AWR524343 BGN524343 BQJ524343 CAF524343 CKB524343 CTX524343 DDT524343 DNP524343 DXL524343 EHH524343 ERD524343 FAZ524343 FKV524343 FUR524343 GEN524343 GOJ524343 GYF524343 HIB524343 HRX524343 IBT524343 ILP524343 IVL524343 JFH524343 JPD524343 JYZ524343 KIV524343 KSR524343 LCN524343 LMJ524343 LWF524343 MGB524343 MPX524343 MZT524343 NJP524343 NTL524343 ODH524343 OND524343 OWZ524343 PGV524343 PQR524343 QAN524343 QKJ524343 QUF524343 REB524343 RNX524343 RXT524343 SHP524343 SRL524343 TBH524343 TLD524343 TUZ524343 UEV524343 UOR524343 UYN524343 VIJ524343 VSF524343 WCB524343 WLX524343 WVT524343 L589879 JH589879 TD589879 ACZ589879 AMV589879 AWR589879 BGN589879 BQJ589879 CAF589879 CKB589879 CTX589879 DDT589879 DNP589879 DXL589879 EHH589879 ERD589879 FAZ589879 FKV589879 FUR589879 GEN589879 GOJ589879 GYF589879 HIB589879 HRX589879 IBT589879 ILP589879 IVL589879 JFH589879 JPD589879 JYZ589879 KIV589879 KSR589879 LCN589879 LMJ589879 LWF589879 MGB589879 MPX589879 MZT589879 NJP589879 NTL589879 ODH589879 OND589879 OWZ589879 PGV589879 PQR589879 QAN589879 QKJ589879 QUF589879 REB589879 RNX589879 RXT589879 SHP589879 SRL589879 TBH589879 TLD589879 TUZ589879 UEV589879 UOR589879 UYN589879 VIJ589879 VSF589879 WCB589879 WLX589879 WVT589879 L655415 JH655415 TD655415 ACZ655415 AMV655415 AWR655415 BGN655415 BQJ655415 CAF655415 CKB655415 CTX655415 DDT655415 DNP655415 DXL655415 EHH655415 ERD655415 FAZ655415 FKV655415 FUR655415 GEN655415 GOJ655415 GYF655415 HIB655415 HRX655415 IBT655415 ILP655415 IVL655415 JFH655415 JPD655415 JYZ655415 KIV655415 KSR655415 LCN655415 LMJ655415 LWF655415 MGB655415 MPX655415 MZT655415 NJP655415 NTL655415 ODH655415 OND655415 OWZ655415 PGV655415 PQR655415 QAN655415 QKJ655415 QUF655415 REB655415 RNX655415 RXT655415 SHP655415 SRL655415 TBH655415 TLD655415 TUZ655415 UEV655415 UOR655415 UYN655415 VIJ655415 VSF655415 WCB655415 WLX655415 WVT655415 L720951 JH720951 TD720951 ACZ720951 AMV720951 AWR720951 BGN720951 BQJ720951 CAF720951 CKB720951 CTX720951 DDT720951 DNP720951 DXL720951 EHH720951 ERD720951 FAZ720951 FKV720951 FUR720951 GEN720951 GOJ720951 GYF720951 HIB720951 HRX720951 IBT720951 ILP720951 IVL720951 JFH720951 JPD720951 JYZ720951 KIV720951 KSR720951 LCN720951 LMJ720951 LWF720951 MGB720951 MPX720951 MZT720951 NJP720951 NTL720951 ODH720951 OND720951 OWZ720951 PGV720951 PQR720951 QAN720951 QKJ720951 QUF720951 REB720951 RNX720951 RXT720951 SHP720951 SRL720951 TBH720951 TLD720951 TUZ720951 UEV720951 UOR720951 UYN720951 VIJ720951 VSF720951 WCB720951 WLX720951 WVT720951 L786487 JH786487 TD786487 ACZ786487 AMV786487 AWR786487 BGN786487 BQJ786487 CAF786487 CKB786487 CTX786487 DDT786487 DNP786487 DXL786487 EHH786487 ERD786487 FAZ786487 FKV786487 FUR786487 GEN786487 GOJ786487 GYF786487 HIB786487 HRX786487 IBT786487 ILP786487 IVL786487 JFH786487 JPD786487 JYZ786487 KIV786487 KSR786487 LCN786487 LMJ786487 LWF786487 MGB786487 MPX786487 MZT786487 NJP786487 NTL786487 ODH786487 OND786487 OWZ786487 PGV786487 PQR786487 QAN786487 QKJ786487 QUF786487 REB786487 RNX786487 RXT786487 SHP786487 SRL786487 TBH786487 TLD786487 TUZ786487 UEV786487 UOR786487 UYN786487 VIJ786487 VSF786487 WCB786487 WLX786487 WVT786487 L852023 JH852023 TD852023 ACZ852023 AMV852023 AWR852023 BGN852023 BQJ852023 CAF852023 CKB852023 CTX852023 DDT852023 DNP852023 DXL852023 EHH852023 ERD852023 FAZ852023 FKV852023 FUR852023 GEN852023 GOJ852023 GYF852023 HIB852023 HRX852023 IBT852023 ILP852023 IVL852023 JFH852023 JPD852023 JYZ852023 KIV852023 KSR852023 LCN852023 LMJ852023 LWF852023 MGB852023 MPX852023 MZT852023 NJP852023 NTL852023 ODH852023 OND852023 OWZ852023 PGV852023 PQR852023 QAN852023 QKJ852023 QUF852023 REB852023 RNX852023 RXT852023 SHP852023 SRL852023 TBH852023 TLD852023 TUZ852023 UEV852023 UOR852023 UYN852023 VIJ852023 VSF852023 WCB852023 WLX852023 WVT852023 L917559 JH917559 TD917559 ACZ917559 AMV917559 AWR917559 BGN917559 BQJ917559 CAF917559 CKB917559 CTX917559 DDT917559 DNP917559 DXL917559 EHH917559 ERD917559 FAZ917559 FKV917559 FUR917559 GEN917559 GOJ917559 GYF917559 HIB917559 HRX917559 IBT917559 ILP917559 IVL917559 JFH917559 JPD917559 JYZ917559 KIV917559 KSR917559 LCN917559 LMJ917559 LWF917559 MGB917559 MPX917559 MZT917559 NJP917559 NTL917559 ODH917559 OND917559 OWZ917559 PGV917559 PQR917559 QAN917559 QKJ917559 QUF917559 REB917559 RNX917559 RXT917559 SHP917559 SRL917559 TBH917559 TLD917559 TUZ917559 UEV917559 UOR917559 UYN917559 VIJ917559 VSF917559 WCB917559 WLX917559 WVT917559 L983095 JH983095 TD983095 ACZ983095 AMV983095 AWR983095 BGN983095 BQJ983095 CAF983095 CKB983095 CTX983095 DDT983095 DNP983095 DXL983095 EHH983095 ERD983095 FAZ983095 FKV983095 FUR983095 GEN983095 GOJ983095 GYF983095 HIB983095 HRX983095 IBT983095 ILP983095 IVL983095 JFH983095 JPD983095 JYZ983095 KIV983095 KSR983095 LCN983095 LMJ983095 LWF983095 MGB983095 MPX983095 MZT983095 NJP983095 NTL983095 ODH983095 OND983095 OWZ983095 PGV983095 PQR983095 QAN983095 QKJ983095 QUF983095 REB983095 RNX983095 RXT983095 SHP983095 SRL983095 TBH983095 TLD983095 TUZ983095 UEV983095 UOR983095 UYN983095 VIJ983095 VSF983095 WCB983095 WLX983095 WVT983095 V55:AE105 JR55:KA105 TN55:TW105 ADJ55:ADS105 ANF55:ANO105 AXB55:AXK105 BGX55:BHG105 BQT55:BRC105 CAP55:CAY105 CKL55:CKU105 CUH55:CUQ105 DED55:DEM105 DNZ55:DOI105 DXV55:DYE105 EHR55:EIA105 ERN55:ERW105 FBJ55:FBS105 FLF55:FLO105 FVB55:FVK105 GEX55:GFG105 GOT55:GPC105 GYP55:GYY105 HIL55:HIU105 HSH55:HSQ105 ICD55:ICM105 ILZ55:IMI105 IVV55:IWE105 JFR55:JGA105 JPN55:JPW105 JZJ55:JZS105 KJF55:KJO105 KTB55:KTK105 LCX55:LDG105 LMT55:LNC105 LWP55:LWY105 MGL55:MGU105 MQH55:MQQ105 NAD55:NAM105 NJZ55:NKI105 NTV55:NUE105 ODR55:OEA105 ONN55:ONW105 OXJ55:OXS105 PHF55:PHO105 PRB55:PRK105 QAX55:QBG105 QKT55:QLC105 QUP55:QUY105 REL55:REU105 ROH55:ROQ105 RYD55:RYM105 SHZ55:SII105 SRV55:SSE105 TBR55:TCA105 TLN55:TLW105 TVJ55:TVS105 UFF55:UFO105 UPB55:UPK105 UYX55:UZG105 VIT55:VJC105 VSP55:VSY105 WCL55:WCU105 WMH55:WMQ105 WWD55:WWM105 V65591:AE65641 JR65591:KA65641 TN65591:TW65641 ADJ65591:ADS65641 ANF65591:ANO65641 AXB65591:AXK65641 BGX65591:BHG65641 BQT65591:BRC65641 CAP65591:CAY65641 CKL65591:CKU65641 CUH65591:CUQ65641 DED65591:DEM65641 DNZ65591:DOI65641 DXV65591:DYE65641 EHR65591:EIA65641 ERN65591:ERW65641 FBJ65591:FBS65641 FLF65591:FLO65641 FVB65591:FVK65641 GEX65591:GFG65641 GOT65591:GPC65641 GYP65591:GYY65641 HIL65591:HIU65641 HSH65591:HSQ65641 ICD65591:ICM65641 ILZ65591:IMI65641 IVV65591:IWE65641 JFR65591:JGA65641 JPN65591:JPW65641 JZJ65591:JZS65641 KJF65591:KJO65641 KTB65591:KTK65641 LCX65591:LDG65641 LMT65591:LNC65641 LWP65591:LWY65641 MGL65591:MGU65641 MQH65591:MQQ65641 NAD65591:NAM65641 NJZ65591:NKI65641 NTV65591:NUE65641 ODR65591:OEA65641 ONN65591:ONW65641 OXJ65591:OXS65641 PHF65591:PHO65641 PRB65591:PRK65641 QAX65591:QBG65641 QKT65591:QLC65641 QUP65591:QUY65641 REL65591:REU65641 ROH65591:ROQ65641 RYD65591:RYM65641 SHZ65591:SII65641 SRV65591:SSE65641 TBR65591:TCA65641 TLN65591:TLW65641 TVJ65591:TVS65641 UFF65591:UFO65641 UPB65591:UPK65641 UYX65591:UZG65641 VIT65591:VJC65641 VSP65591:VSY65641 WCL65591:WCU65641 WMH65591:WMQ65641 WWD65591:WWM65641 V131127:AE131177 JR131127:KA131177 TN131127:TW131177 ADJ131127:ADS131177 ANF131127:ANO131177 AXB131127:AXK131177 BGX131127:BHG131177 BQT131127:BRC131177 CAP131127:CAY131177 CKL131127:CKU131177 CUH131127:CUQ131177 DED131127:DEM131177 DNZ131127:DOI131177 DXV131127:DYE131177 EHR131127:EIA131177 ERN131127:ERW131177 FBJ131127:FBS131177 FLF131127:FLO131177 FVB131127:FVK131177 GEX131127:GFG131177 GOT131127:GPC131177 GYP131127:GYY131177 HIL131127:HIU131177 HSH131127:HSQ131177 ICD131127:ICM131177 ILZ131127:IMI131177 IVV131127:IWE131177 JFR131127:JGA131177 JPN131127:JPW131177 JZJ131127:JZS131177 KJF131127:KJO131177 KTB131127:KTK131177 LCX131127:LDG131177 LMT131127:LNC131177 LWP131127:LWY131177 MGL131127:MGU131177 MQH131127:MQQ131177 NAD131127:NAM131177 NJZ131127:NKI131177 NTV131127:NUE131177 ODR131127:OEA131177 ONN131127:ONW131177 OXJ131127:OXS131177 PHF131127:PHO131177 PRB131127:PRK131177 QAX131127:QBG131177 QKT131127:QLC131177 QUP131127:QUY131177 REL131127:REU131177 ROH131127:ROQ131177 RYD131127:RYM131177 SHZ131127:SII131177 SRV131127:SSE131177 TBR131127:TCA131177 TLN131127:TLW131177 TVJ131127:TVS131177 UFF131127:UFO131177 UPB131127:UPK131177 UYX131127:UZG131177 VIT131127:VJC131177 VSP131127:VSY131177 WCL131127:WCU131177 WMH131127:WMQ131177 WWD131127:WWM131177 V196663:AE196713 JR196663:KA196713 TN196663:TW196713 ADJ196663:ADS196713 ANF196663:ANO196713 AXB196663:AXK196713 BGX196663:BHG196713 BQT196663:BRC196713 CAP196663:CAY196713 CKL196663:CKU196713 CUH196663:CUQ196713 DED196663:DEM196713 DNZ196663:DOI196713 DXV196663:DYE196713 EHR196663:EIA196713 ERN196663:ERW196713 FBJ196663:FBS196713 FLF196663:FLO196713 FVB196663:FVK196713 GEX196663:GFG196713 GOT196663:GPC196713 GYP196663:GYY196713 HIL196663:HIU196713 HSH196663:HSQ196713 ICD196663:ICM196713 ILZ196663:IMI196713 IVV196663:IWE196713 JFR196663:JGA196713 JPN196663:JPW196713 JZJ196663:JZS196713 KJF196663:KJO196713 KTB196663:KTK196713 LCX196663:LDG196713 LMT196663:LNC196713 LWP196663:LWY196713 MGL196663:MGU196713 MQH196663:MQQ196713 NAD196663:NAM196713 NJZ196663:NKI196713 NTV196663:NUE196713 ODR196663:OEA196713 ONN196663:ONW196713 OXJ196663:OXS196713 PHF196663:PHO196713 PRB196663:PRK196713 QAX196663:QBG196713 QKT196663:QLC196713 QUP196663:QUY196713 REL196663:REU196713 ROH196663:ROQ196713 RYD196663:RYM196713 SHZ196663:SII196713 SRV196663:SSE196713 TBR196663:TCA196713 TLN196663:TLW196713 TVJ196663:TVS196713 UFF196663:UFO196713 UPB196663:UPK196713 UYX196663:UZG196713 VIT196663:VJC196713 VSP196663:VSY196713 WCL196663:WCU196713 WMH196663:WMQ196713 WWD196663:WWM196713 V262199:AE262249 JR262199:KA262249 TN262199:TW262249 ADJ262199:ADS262249 ANF262199:ANO262249 AXB262199:AXK262249 BGX262199:BHG262249 BQT262199:BRC262249 CAP262199:CAY262249 CKL262199:CKU262249 CUH262199:CUQ262249 DED262199:DEM262249 DNZ262199:DOI262249 DXV262199:DYE262249 EHR262199:EIA262249 ERN262199:ERW262249 FBJ262199:FBS262249 FLF262199:FLO262249 FVB262199:FVK262249 GEX262199:GFG262249 GOT262199:GPC262249 GYP262199:GYY262249 HIL262199:HIU262249 HSH262199:HSQ262249 ICD262199:ICM262249 ILZ262199:IMI262249 IVV262199:IWE262249 JFR262199:JGA262249 JPN262199:JPW262249 JZJ262199:JZS262249 KJF262199:KJO262249 KTB262199:KTK262249 LCX262199:LDG262249 LMT262199:LNC262249 LWP262199:LWY262249 MGL262199:MGU262249 MQH262199:MQQ262249 NAD262199:NAM262249 NJZ262199:NKI262249 NTV262199:NUE262249 ODR262199:OEA262249 ONN262199:ONW262249 OXJ262199:OXS262249 PHF262199:PHO262249 PRB262199:PRK262249 QAX262199:QBG262249 QKT262199:QLC262249 QUP262199:QUY262249 REL262199:REU262249 ROH262199:ROQ262249 RYD262199:RYM262249 SHZ262199:SII262249 SRV262199:SSE262249 TBR262199:TCA262249 TLN262199:TLW262249 TVJ262199:TVS262249 UFF262199:UFO262249 UPB262199:UPK262249 UYX262199:UZG262249 VIT262199:VJC262249 VSP262199:VSY262249 WCL262199:WCU262249 WMH262199:WMQ262249 WWD262199:WWM262249 V327735:AE327785 JR327735:KA327785 TN327735:TW327785 ADJ327735:ADS327785 ANF327735:ANO327785 AXB327735:AXK327785 BGX327735:BHG327785 BQT327735:BRC327785 CAP327735:CAY327785 CKL327735:CKU327785 CUH327735:CUQ327785 DED327735:DEM327785 DNZ327735:DOI327785 DXV327735:DYE327785 EHR327735:EIA327785 ERN327735:ERW327785 FBJ327735:FBS327785 FLF327735:FLO327785 FVB327735:FVK327785 GEX327735:GFG327785 GOT327735:GPC327785 GYP327735:GYY327785 HIL327735:HIU327785 HSH327735:HSQ327785 ICD327735:ICM327785 ILZ327735:IMI327785 IVV327735:IWE327785 JFR327735:JGA327785 JPN327735:JPW327785 JZJ327735:JZS327785 KJF327735:KJO327785 KTB327735:KTK327785 LCX327735:LDG327785 LMT327735:LNC327785 LWP327735:LWY327785 MGL327735:MGU327785 MQH327735:MQQ327785 NAD327735:NAM327785 NJZ327735:NKI327785 NTV327735:NUE327785 ODR327735:OEA327785 ONN327735:ONW327785 OXJ327735:OXS327785 PHF327735:PHO327785 PRB327735:PRK327785 QAX327735:QBG327785 QKT327735:QLC327785 QUP327735:QUY327785 REL327735:REU327785 ROH327735:ROQ327785 RYD327735:RYM327785 SHZ327735:SII327785 SRV327735:SSE327785 TBR327735:TCA327785 TLN327735:TLW327785 TVJ327735:TVS327785 UFF327735:UFO327785 UPB327735:UPK327785 UYX327735:UZG327785 VIT327735:VJC327785 VSP327735:VSY327785 WCL327735:WCU327785 WMH327735:WMQ327785 WWD327735:WWM327785 V393271:AE393321 JR393271:KA393321 TN393271:TW393321 ADJ393271:ADS393321 ANF393271:ANO393321 AXB393271:AXK393321 BGX393271:BHG393321 BQT393271:BRC393321 CAP393271:CAY393321 CKL393271:CKU393321 CUH393271:CUQ393321 DED393271:DEM393321 DNZ393271:DOI393321 DXV393271:DYE393321 EHR393271:EIA393321 ERN393271:ERW393321 FBJ393271:FBS393321 FLF393271:FLO393321 FVB393271:FVK393321 GEX393271:GFG393321 GOT393271:GPC393321 GYP393271:GYY393321 HIL393271:HIU393321 HSH393271:HSQ393321 ICD393271:ICM393321 ILZ393271:IMI393321 IVV393271:IWE393321 JFR393271:JGA393321 JPN393271:JPW393321 JZJ393271:JZS393321 KJF393271:KJO393321 KTB393271:KTK393321 LCX393271:LDG393321 LMT393271:LNC393321 LWP393271:LWY393321 MGL393271:MGU393321 MQH393271:MQQ393321 NAD393271:NAM393321 NJZ393271:NKI393321 NTV393271:NUE393321 ODR393271:OEA393321 ONN393271:ONW393321 OXJ393271:OXS393321 PHF393271:PHO393321 PRB393271:PRK393321 QAX393271:QBG393321 QKT393271:QLC393321 QUP393271:QUY393321 REL393271:REU393321 ROH393271:ROQ393321 RYD393271:RYM393321 SHZ393271:SII393321 SRV393271:SSE393321 TBR393271:TCA393321 TLN393271:TLW393321 TVJ393271:TVS393321 UFF393271:UFO393321 UPB393271:UPK393321 UYX393271:UZG393321 VIT393271:VJC393321 VSP393271:VSY393321 WCL393271:WCU393321 WMH393271:WMQ393321 WWD393271:WWM393321 V458807:AE458857 JR458807:KA458857 TN458807:TW458857 ADJ458807:ADS458857 ANF458807:ANO458857 AXB458807:AXK458857 BGX458807:BHG458857 BQT458807:BRC458857 CAP458807:CAY458857 CKL458807:CKU458857 CUH458807:CUQ458857 DED458807:DEM458857 DNZ458807:DOI458857 DXV458807:DYE458857 EHR458807:EIA458857 ERN458807:ERW458857 FBJ458807:FBS458857 FLF458807:FLO458857 FVB458807:FVK458857 GEX458807:GFG458857 GOT458807:GPC458857 GYP458807:GYY458857 HIL458807:HIU458857 HSH458807:HSQ458857 ICD458807:ICM458857 ILZ458807:IMI458857 IVV458807:IWE458857 JFR458807:JGA458857 JPN458807:JPW458857 JZJ458807:JZS458857 KJF458807:KJO458857 KTB458807:KTK458857 LCX458807:LDG458857 LMT458807:LNC458857 LWP458807:LWY458857 MGL458807:MGU458857 MQH458807:MQQ458857 NAD458807:NAM458857 NJZ458807:NKI458857 NTV458807:NUE458857 ODR458807:OEA458857 ONN458807:ONW458857 OXJ458807:OXS458857 PHF458807:PHO458857 PRB458807:PRK458857 QAX458807:QBG458857 QKT458807:QLC458857 QUP458807:QUY458857 REL458807:REU458857 ROH458807:ROQ458857 RYD458807:RYM458857 SHZ458807:SII458857 SRV458807:SSE458857 TBR458807:TCA458857 TLN458807:TLW458857 TVJ458807:TVS458857 UFF458807:UFO458857 UPB458807:UPK458857 UYX458807:UZG458857 VIT458807:VJC458857 VSP458807:VSY458857 WCL458807:WCU458857 WMH458807:WMQ458857 WWD458807:WWM458857 V524343:AE524393 JR524343:KA524393 TN524343:TW524393 ADJ524343:ADS524393 ANF524343:ANO524393 AXB524343:AXK524393 BGX524343:BHG524393 BQT524343:BRC524393 CAP524343:CAY524393 CKL524343:CKU524393 CUH524343:CUQ524393 DED524343:DEM524393 DNZ524343:DOI524393 DXV524343:DYE524393 EHR524343:EIA524393 ERN524343:ERW524393 FBJ524343:FBS524393 FLF524343:FLO524393 FVB524343:FVK524393 GEX524343:GFG524393 GOT524343:GPC524393 GYP524343:GYY524393 HIL524343:HIU524393 HSH524343:HSQ524393 ICD524343:ICM524393 ILZ524343:IMI524393 IVV524343:IWE524393 JFR524343:JGA524393 JPN524343:JPW524393 JZJ524343:JZS524393 KJF524343:KJO524393 KTB524343:KTK524393 LCX524343:LDG524393 LMT524343:LNC524393 LWP524343:LWY524393 MGL524343:MGU524393 MQH524343:MQQ524393 NAD524343:NAM524393 NJZ524343:NKI524393 NTV524343:NUE524393 ODR524343:OEA524393 ONN524343:ONW524393 OXJ524343:OXS524393 PHF524343:PHO524393 PRB524343:PRK524393 QAX524343:QBG524393 QKT524343:QLC524393 QUP524343:QUY524393 REL524343:REU524393 ROH524343:ROQ524393 RYD524343:RYM524393 SHZ524343:SII524393 SRV524343:SSE524393 TBR524343:TCA524393 TLN524343:TLW524393 TVJ524343:TVS524393 UFF524343:UFO524393 UPB524343:UPK524393 UYX524343:UZG524393 VIT524343:VJC524393 VSP524343:VSY524393 WCL524343:WCU524393 WMH524343:WMQ524393 WWD524343:WWM524393 V589879:AE589929 JR589879:KA589929 TN589879:TW589929 ADJ589879:ADS589929 ANF589879:ANO589929 AXB589879:AXK589929 BGX589879:BHG589929 BQT589879:BRC589929 CAP589879:CAY589929 CKL589879:CKU589929 CUH589879:CUQ589929 DED589879:DEM589929 DNZ589879:DOI589929 DXV589879:DYE589929 EHR589879:EIA589929 ERN589879:ERW589929 FBJ589879:FBS589929 FLF589879:FLO589929 FVB589879:FVK589929 GEX589879:GFG589929 GOT589879:GPC589929 GYP589879:GYY589929 HIL589879:HIU589929 HSH589879:HSQ589929 ICD589879:ICM589929 ILZ589879:IMI589929 IVV589879:IWE589929 JFR589879:JGA589929 JPN589879:JPW589929 JZJ589879:JZS589929 KJF589879:KJO589929 KTB589879:KTK589929 LCX589879:LDG589929 LMT589879:LNC589929 LWP589879:LWY589929 MGL589879:MGU589929 MQH589879:MQQ589929 NAD589879:NAM589929 NJZ589879:NKI589929 NTV589879:NUE589929 ODR589879:OEA589929 ONN589879:ONW589929 OXJ589879:OXS589929 PHF589879:PHO589929 PRB589879:PRK589929 QAX589879:QBG589929 QKT589879:QLC589929 QUP589879:QUY589929 REL589879:REU589929 ROH589879:ROQ589929 RYD589879:RYM589929 SHZ589879:SII589929 SRV589879:SSE589929 TBR589879:TCA589929 TLN589879:TLW589929 TVJ589879:TVS589929 UFF589879:UFO589929 UPB589879:UPK589929 UYX589879:UZG589929 VIT589879:VJC589929 VSP589879:VSY589929 WCL589879:WCU589929 WMH589879:WMQ589929 WWD589879:WWM589929 V655415:AE655465 JR655415:KA655465 TN655415:TW655465 ADJ655415:ADS655465 ANF655415:ANO655465 AXB655415:AXK655465 BGX655415:BHG655465 BQT655415:BRC655465 CAP655415:CAY655465 CKL655415:CKU655465 CUH655415:CUQ655465 DED655415:DEM655465 DNZ655415:DOI655465 DXV655415:DYE655465 EHR655415:EIA655465 ERN655415:ERW655465 FBJ655415:FBS655465 FLF655415:FLO655465 FVB655415:FVK655465 GEX655415:GFG655465 GOT655415:GPC655465 GYP655415:GYY655465 HIL655415:HIU655465 HSH655415:HSQ655465 ICD655415:ICM655465 ILZ655415:IMI655465 IVV655415:IWE655465 JFR655415:JGA655465 JPN655415:JPW655465 JZJ655415:JZS655465 KJF655415:KJO655465 KTB655415:KTK655465 LCX655415:LDG655465 LMT655415:LNC655465 LWP655415:LWY655465 MGL655415:MGU655465 MQH655415:MQQ655465 NAD655415:NAM655465 NJZ655415:NKI655465 NTV655415:NUE655465 ODR655415:OEA655465 ONN655415:ONW655465 OXJ655415:OXS655465 PHF655415:PHO655465 PRB655415:PRK655465 QAX655415:QBG655465 QKT655415:QLC655465 QUP655415:QUY655465 REL655415:REU655465 ROH655415:ROQ655465 RYD655415:RYM655465 SHZ655415:SII655465 SRV655415:SSE655465 TBR655415:TCA655465 TLN655415:TLW655465 TVJ655415:TVS655465 UFF655415:UFO655465 UPB655415:UPK655465 UYX655415:UZG655465 VIT655415:VJC655465 VSP655415:VSY655465 WCL655415:WCU655465 WMH655415:WMQ655465 WWD655415:WWM655465 V720951:AE721001 JR720951:KA721001 TN720951:TW721001 ADJ720951:ADS721001 ANF720951:ANO721001 AXB720951:AXK721001 BGX720951:BHG721001 BQT720951:BRC721001 CAP720951:CAY721001 CKL720951:CKU721001 CUH720951:CUQ721001 DED720951:DEM721001 DNZ720951:DOI721001 DXV720951:DYE721001 EHR720951:EIA721001 ERN720951:ERW721001 FBJ720951:FBS721001 FLF720951:FLO721001 FVB720951:FVK721001 GEX720951:GFG721001 GOT720951:GPC721001 GYP720951:GYY721001 HIL720951:HIU721001 HSH720951:HSQ721001 ICD720951:ICM721001 ILZ720951:IMI721001 IVV720951:IWE721001 JFR720951:JGA721001 JPN720951:JPW721001 JZJ720951:JZS721001 KJF720951:KJO721001 KTB720951:KTK721001 LCX720951:LDG721001 LMT720951:LNC721001 LWP720951:LWY721001 MGL720951:MGU721001 MQH720951:MQQ721001 NAD720951:NAM721001 NJZ720951:NKI721001 NTV720951:NUE721001 ODR720951:OEA721001 ONN720951:ONW721001 OXJ720951:OXS721001 PHF720951:PHO721001 PRB720951:PRK721001 QAX720951:QBG721001 QKT720951:QLC721001 QUP720951:QUY721001 REL720951:REU721001 ROH720951:ROQ721001 RYD720951:RYM721001 SHZ720951:SII721001 SRV720951:SSE721001 TBR720951:TCA721001 TLN720951:TLW721001 TVJ720951:TVS721001 UFF720951:UFO721001 UPB720951:UPK721001 UYX720951:UZG721001 VIT720951:VJC721001 VSP720951:VSY721001 WCL720951:WCU721001 WMH720951:WMQ721001 WWD720951:WWM721001 V786487:AE786537 JR786487:KA786537 TN786487:TW786537 ADJ786487:ADS786537 ANF786487:ANO786537 AXB786487:AXK786537 BGX786487:BHG786537 BQT786487:BRC786537 CAP786487:CAY786537 CKL786487:CKU786537 CUH786487:CUQ786537 DED786487:DEM786537 DNZ786487:DOI786537 DXV786487:DYE786537 EHR786487:EIA786537 ERN786487:ERW786537 FBJ786487:FBS786537 FLF786487:FLO786537 FVB786487:FVK786537 GEX786487:GFG786537 GOT786487:GPC786537 GYP786487:GYY786537 HIL786487:HIU786537 HSH786487:HSQ786537 ICD786487:ICM786537 ILZ786487:IMI786537 IVV786487:IWE786537 JFR786487:JGA786537 JPN786487:JPW786537 JZJ786487:JZS786537 KJF786487:KJO786537 KTB786487:KTK786537 LCX786487:LDG786537 LMT786487:LNC786537 LWP786487:LWY786537 MGL786487:MGU786537 MQH786487:MQQ786537 NAD786487:NAM786537 NJZ786487:NKI786537 NTV786487:NUE786537 ODR786487:OEA786537 ONN786487:ONW786537 OXJ786487:OXS786537 PHF786487:PHO786537 PRB786487:PRK786537 QAX786487:QBG786537 QKT786487:QLC786537 QUP786487:QUY786537 REL786487:REU786537 ROH786487:ROQ786537 RYD786487:RYM786537 SHZ786487:SII786537 SRV786487:SSE786537 TBR786487:TCA786537 TLN786487:TLW786537 TVJ786487:TVS786537 UFF786487:UFO786537 UPB786487:UPK786537 UYX786487:UZG786537 VIT786487:VJC786537 VSP786487:VSY786537 WCL786487:WCU786537 WMH786487:WMQ786537 WWD786487:WWM786537 V852023:AE852073 JR852023:KA852073 TN852023:TW852073 ADJ852023:ADS852073 ANF852023:ANO852073 AXB852023:AXK852073 BGX852023:BHG852073 BQT852023:BRC852073 CAP852023:CAY852073 CKL852023:CKU852073 CUH852023:CUQ852073 DED852023:DEM852073 DNZ852023:DOI852073 DXV852023:DYE852073 EHR852023:EIA852073 ERN852023:ERW852073 FBJ852023:FBS852073 FLF852023:FLO852073 FVB852023:FVK852073 GEX852023:GFG852073 GOT852023:GPC852073 GYP852023:GYY852073 HIL852023:HIU852073 HSH852023:HSQ852073 ICD852023:ICM852073 ILZ852023:IMI852073 IVV852023:IWE852073 JFR852023:JGA852073 JPN852023:JPW852073 JZJ852023:JZS852073 KJF852023:KJO852073 KTB852023:KTK852073 LCX852023:LDG852073 LMT852023:LNC852073 LWP852023:LWY852073 MGL852023:MGU852073 MQH852023:MQQ852073 NAD852023:NAM852073 NJZ852023:NKI852073 NTV852023:NUE852073 ODR852023:OEA852073 ONN852023:ONW852073 OXJ852023:OXS852073 PHF852023:PHO852073 PRB852023:PRK852073 QAX852023:QBG852073 QKT852023:QLC852073 QUP852023:QUY852073 REL852023:REU852073 ROH852023:ROQ852073 RYD852023:RYM852073 SHZ852023:SII852073 SRV852023:SSE852073 TBR852023:TCA852073 TLN852023:TLW852073 TVJ852023:TVS852073 UFF852023:UFO852073 UPB852023:UPK852073 UYX852023:UZG852073 VIT852023:VJC852073 VSP852023:VSY852073 WCL852023:WCU852073 WMH852023:WMQ852073 WWD852023:WWM852073 V917559:AE917609 JR917559:KA917609 TN917559:TW917609 ADJ917559:ADS917609 ANF917559:ANO917609 AXB917559:AXK917609 BGX917559:BHG917609 BQT917559:BRC917609 CAP917559:CAY917609 CKL917559:CKU917609 CUH917559:CUQ917609 DED917559:DEM917609 DNZ917559:DOI917609 DXV917559:DYE917609 EHR917559:EIA917609 ERN917559:ERW917609 FBJ917559:FBS917609 FLF917559:FLO917609 FVB917559:FVK917609 GEX917559:GFG917609 GOT917559:GPC917609 GYP917559:GYY917609 HIL917559:HIU917609 HSH917559:HSQ917609 ICD917559:ICM917609 ILZ917559:IMI917609 IVV917559:IWE917609 JFR917559:JGA917609 JPN917559:JPW917609 JZJ917559:JZS917609 KJF917559:KJO917609 KTB917559:KTK917609 LCX917559:LDG917609 LMT917559:LNC917609 LWP917559:LWY917609 MGL917559:MGU917609 MQH917559:MQQ917609 NAD917559:NAM917609 NJZ917559:NKI917609 NTV917559:NUE917609 ODR917559:OEA917609 ONN917559:ONW917609 OXJ917559:OXS917609 PHF917559:PHO917609 PRB917559:PRK917609 QAX917559:QBG917609 QKT917559:QLC917609 QUP917559:QUY917609 REL917559:REU917609 ROH917559:ROQ917609 RYD917559:RYM917609 SHZ917559:SII917609 SRV917559:SSE917609 TBR917559:TCA917609 TLN917559:TLW917609 TVJ917559:TVS917609 UFF917559:UFO917609 UPB917559:UPK917609 UYX917559:UZG917609 VIT917559:VJC917609 VSP917559:VSY917609 WCL917559:WCU917609 WMH917559:WMQ917609 WWD917559:WWM917609 V983095:AE983145 JR983095:KA983145 TN983095:TW983145 ADJ983095:ADS983145 ANF983095:ANO983145 AXB983095:AXK983145 BGX983095:BHG983145 BQT983095:BRC983145 CAP983095:CAY983145 CKL983095:CKU983145 CUH983095:CUQ983145 DED983095:DEM983145 DNZ983095:DOI983145 DXV983095:DYE983145 EHR983095:EIA983145 ERN983095:ERW983145 FBJ983095:FBS983145 FLF983095:FLO983145 FVB983095:FVK983145 GEX983095:GFG983145 GOT983095:GPC983145 GYP983095:GYY983145 HIL983095:HIU983145 HSH983095:HSQ983145 ICD983095:ICM983145 ILZ983095:IMI983145 IVV983095:IWE983145 JFR983095:JGA983145 JPN983095:JPW983145 JZJ983095:JZS983145 KJF983095:KJO983145 KTB983095:KTK983145 LCX983095:LDG983145 LMT983095:LNC983145 LWP983095:LWY983145 MGL983095:MGU983145 MQH983095:MQQ983145 NAD983095:NAM983145 NJZ983095:NKI983145 NTV983095:NUE983145 ODR983095:OEA983145 ONN983095:ONW983145 OXJ983095:OXS983145 PHF983095:PHO983145 PRB983095:PRK983145 QAX983095:QBG983145 QKT983095:QLC983145 QUP983095:QUY983145 REL983095:REU983145 ROH983095:ROQ983145 RYD983095:RYM983145 SHZ983095:SII983145 SRV983095:SSE983145 TBR983095:TCA983145 TLN983095:TLW983145 TVJ983095:TVS983145 UFF983095:UFO983145 UPB983095:UPK983145 UYX983095:UZG983145 VIT983095:VJC983145 VSP983095:VSY983145 WCL983095:WCU983145 WMH983095:WMQ983145 WWD983095:WWM983145 P55:Q149 JL55:JM149 TH55:TI149 ADD55:ADE149 AMZ55:ANA149 AWV55:AWW149 BGR55:BGS149 BQN55:BQO149 CAJ55:CAK149 CKF55:CKG149 CUB55:CUC149 DDX55:DDY149 DNT55:DNU149 DXP55:DXQ149 EHL55:EHM149 ERH55:ERI149 FBD55:FBE149 FKZ55:FLA149 FUV55:FUW149 GER55:GES149 GON55:GOO149 GYJ55:GYK149 HIF55:HIG149 HSB55:HSC149 IBX55:IBY149 ILT55:ILU149 IVP55:IVQ149 JFL55:JFM149 JPH55:JPI149 JZD55:JZE149 KIZ55:KJA149 KSV55:KSW149 LCR55:LCS149 LMN55:LMO149 LWJ55:LWK149 MGF55:MGG149 MQB55:MQC149 MZX55:MZY149 NJT55:NJU149 NTP55:NTQ149 ODL55:ODM149 ONH55:ONI149 OXD55:OXE149 PGZ55:PHA149 PQV55:PQW149 QAR55:QAS149 QKN55:QKO149 QUJ55:QUK149 REF55:REG149 ROB55:ROC149 RXX55:RXY149 SHT55:SHU149 SRP55:SRQ149 TBL55:TBM149 TLH55:TLI149 TVD55:TVE149 UEZ55:UFA149 UOV55:UOW149 UYR55:UYS149 VIN55:VIO149 VSJ55:VSK149 WCF55:WCG149 WMB55:WMC149 WVX55:WVY149 P65591:Q65685 JL65591:JM65685 TH65591:TI65685 ADD65591:ADE65685 AMZ65591:ANA65685 AWV65591:AWW65685 BGR65591:BGS65685 BQN65591:BQO65685 CAJ65591:CAK65685 CKF65591:CKG65685 CUB65591:CUC65685 DDX65591:DDY65685 DNT65591:DNU65685 DXP65591:DXQ65685 EHL65591:EHM65685 ERH65591:ERI65685 FBD65591:FBE65685 FKZ65591:FLA65685 FUV65591:FUW65685 GER65591:GES65685 GON65591:GOO65685 GYJ65591:GYK65685 HIF65591:HIG65685 HSB65591:HSC65685 IBX65591:IBY65685 ILT65591:ILU65685 IVP65591:IVQ65685 JFL65591:JFM65685 JPH65591:JPI65685 JZD65591:JZE65685 KIZ65591:KJA65685 KSV65591:KSW65685 LCR65591:LCS65685 LMN65591:LMO65685 LWJ65591:LWK65685 MGF65591:MGG65685 MQB65591:MQC65685 MZX65591:MZY65685 NJT65591:NJU65685 NTP65591:NTQ65685 ODL65591:ODM65685 ONH65591:ONI65685 OXD65591:OXE65685 PGZ65591:PHA65685 PQV65591:PQW65685 QAR65591:QAS65685 QKN65591:QKO65685 QUJ65591:QUK65685 REF65591:REG65685 ROB65591:ROC65685 RXX65591:RXY65685 SHT65591:SHU65685 SRP65591:SRQ65685 TBL65591:TBM65685 TLH65591:TLI65685 TVD65591:TVE65685 UEZ65591:UFA65685 UOV65591:UOW65685 UYR65591:UYS65685 VIN65591:VIO65685 VSJ65591:VSK65685 WCF65591:WCG65685 WMB65591:WMC65685 WVX65591:WVY65685 P131127:Q131221 JL131127:JM131221 TH131127:TI131221 ADD131127:ADE131221 AMZ131127:ANA131221 AWV131127:AWW131221 BGR131127:BGS131221 BQN131127:BQO131221 CAJ131127:CAK131221 CKF131127:CKG131221 CUB131127:CUC131221 DDX131127:DDY131221 DNT131127:DNU131221 DXP131127:DXQ131221 EHL131127:EHM131221 ERH131127:ERI131221 FBD131127:FBE131221 FKZ131127:FLA131221 FUV131127:FUW131221 GER131127:GES131221 GON131127:GOO131221 GYJ131127:GYK131221 HIF131127:HIG131221 HSB131127:HSC131221 IBX131127:IBY131221 ILT131127:ILU131221 IVP131127:IVQ131221 JFL131127:JFM131221 JPH131127:JPI131221 JZD131127:JZE131221 KIZ131127:KJA131221 KSV131127:KSW131221 LCR131127:LCS131221 LMN131127:LMO131221 LWJ131127:LWK131221 MGF131127:MGG131221 MQB131127:MQC131221 MZX131127:MZY131221 NJT131127:NJU131221 NTP131127:NTQ131221 ODL131127:ODM131221 ONH131127:ONI131221 OXD131127:OXE131221 PGZ131127:PHA131221 PQV131127:PQW131221 QAR131127:QAS131221 QKN131127:QKO131221 QUJ131127:QUK131221 REF131127:REG131221 ROB131127:ROC131221 RXX131127:RXY131221 SHT131127:SHU131221 SRP131127:SRQ131221 TBL131127:TBM131221 TLH131127:TLI131221 TVD131127:TVE131221 UEZ131127:UFA131221 UOV131127:UOW131221 UYR131127:UYS131221 VIN131127:VIO131221 VSJ131127:VSK131221 WCF131127:WCG131221 WMB131127:WMC131221 WVX131127:WVY131221 P196663:Q196757 JL196663:JM196757 TH196663:TI196757 ADD196663:ADE196757 AMZ196663:ANA196757 AWV196663:AWW196757 BGR196663:BGS196757 BQN196663:BQO196757 CAJ196663:CAK196757 CKF196663:CKG196757 CUB196663:CUC196757 DDX196663:DDY196757 DNT196663:DNU196757 DXP196663:DXQ196757 EHL196663:EHM196757 ERH196663:ERI196757 FBD196663:FBE196757 FKZ196663:FLA196757 FUV196663:FUW196757 GER196663:GES196757 GON196663:GOO196757 GYJ196663:GYK196757 HIF196663:HIG196757 HSB196663:HSC196757 IBX196663:IBY196757 ILT196663:ILU196757 IVP196663:IVQ196757 JFL196663:JFM196757 JPH196663:JPI196757 JZD196663:JZE196757 KIZ196663:KJA196757 KSV196663:KSW196757 LCR196663:LCS196757 LMN196663:LMO196757 LWJ196663:LWK196757 MGF196663:MGG196757 MQB196663:MQC196757 MZX196663:MZY196757 NJT196663:NJU196757 NTP196663:NTQ196757 ODL196663:ODM196757 ONH196663:ONI196757 OXD196663:OXE196757 PGZ196663:PHA196757 PQV196663:PQW196757 QAR196663:QAS196757 QKN196663:QKO196757 QUJ196663:QUK196757 REF196663:REG196757 ROB196663:ROC196757 RXX196663:RXY196757 SHT196663:SHU196757 SRP196663:SRQ196757 TBL196663:TBM196757 TLH196663:TLI196757 TVD196663:TVE196757 UEZ196663:UFA196757 UOV196663:UOW196757 UYR196663:UYS196757 VIN196663:VIO196757 VSJ196663:VSK196757 WCF196663:WCG196757 WMB196663:WMC196757 WVX196663:WVY196757 P262199:Q262293 JL262199:JM262293 TH262199:TI262293 ADD262199:ADE262293 AMZ262199:ANA262293 AWV262199:AWW262293 BGR262199:BGS262293 BQN262199:BQO262293 CAJ262199:CAK262293 CKF262199:CKG262293 CUB262199:CUC262293 DDX262199:DDY262293 DNT262199:DNU262293 DXP262199:DXQ262293 EHL262199:EHM262293 ERH262199:ERI262293 FBD262199:FBE262293 FKZ262199:FLA262293 FUV262199:FUW262293 GER262199:GES262293 GON262199:GOO262293 GYJ262199:GYK262293 HIF262199:HIG262293 HSB262199:HSC262293 IBX262199:IBY262293 ILT262199:ILU262293 IVP262199:IVQ262293 JFL262199:JFM262293 JPH262199:JPI262293 JZD262199:JZE262293 KIZ262199:KJA262293 KSV262199:KSW262293 LCR262199:LCS262293 LMN262199:LMO262293 LWJ262199:LWK262293 MGF262199:MGG262293 MQB262199:MQC262293 MZX262199:MZY262293 NJT262199:NJU262293 NTP262199:NTQ262293 ODL262199:ODM262293 ONH262199:ONI262293 OXD262199:OXE262293 PGZ262199:PHA262293 PQV262199:PQW262293 QAR262199:QAS262293 QKN262199:QKO262293 QUJ262199:QUK262293 REF262199:REG262293 ROB262199:ROC262293 RXX262199:RXY262293 SHT262199:SHU262293 SRP262199:SRQ262293 TBL262199:TBM262293 TLH262199:TLI262293 TVD262199:TVE262293 UEZ262199:UFA262293 UOV262199:UOW262293 UYR262199:UYS262293 VIN262199:VIO262293 VSJ262199:VSK262293 WCF262199:WCG262293 WMB262199:WMC262293 WVX262199:WVY262293 P327735:Q327829 JL327735:JM327829 TH327735:TI327829 ADD327735:ADE327829 AMZ327735:ANA327829 AWV327735:AWW327829 BGR327735:BGS327829 BQN327735:BQO327829 CAJ327735:CAK327829 CKF327735:CKG327829 CUB327735:CUC327829 DDX327735:DDY327829 DNT327735:DNU327829 DXP327735:DXQ327829 EHL327735:EHM327829 ERH327735:ERI327829 FBD327735:FBE327829 FKZ327735:FLA327829 FUV327735:FUW327829 GER327735:GES327829 GON327735:GOO327829 GYJ327735:GYK327829 HIF327735:HIG327829 HSB327735:HSC327829 IBX327735:IBY327829 ILT327735:ILU327829 IVP327735:IVQ327829 JFL327735:JFM327829 JPH327735:JPI327829 JZD327735:JZE327829 KIZ327735:KJA327829 KSV327735:KSW327829 LCR327735:LCS327829 LMN327735:LMO327829 LWJ327735:LWK327829 MGF327735:MGG327829 MQB327735:MQC327829 MZX327735:MZY327829 NJT327735:NJU327829 NTP327735:NTQ327829 ODL327735:ODM327829 ONH327735:ONI327829 OXD327735:OXE327829 PGZ327735:PHA327829 PQV327735:PQW327829 QAR327735:QAS327829 QKN327735:QKO327829 QUJ327735:QUK327829 REF327735:REG327829 ROB327735:ROC327829 RXX327735:RXY327829 SHT327735:SHU327829 SRP327735:SRQ327829 TBL327735:TBM327829 TLH327735:TLI327829 TVD327735:TVE327829 UEZ327735:UFA327829 UOV327735:UOW327829 UYR327735:UYS327829 VIN327735:VIO327829 VSJ327735:VSK327829 WCF327735:WCG327829 WMB327735:WMC327829 WVX327735:WVY327829 P393271:Q393365 JL393271:JM393365 TH393271:TI393365 ADD393271:ADE393365 AMZ393271:ANA393365 AWV393271:AWW393365 BGR393271:BGS393365 BQN393271:BQO393365 CAJ393271:CAK393365 CKF393271:CKG393365 CUB393271:CUC393365 DDX393271:DDY393365 DNT393271:DNU393365 DXP393271:DXQ393365 EHL393271:EHM393365 ERH393271:ERI393365 FBD393271:FBE393365 FKZ393271:FLA393365 FUV393271:FUW393365 GER393271:GES393365 GON393271:GOO393365 GYJ393271:GYK393365 HIF393271:HIG393365 HSB393271:HSC393365 IBX393271:IBY393365 ILT393271:ILU393365 IVP393271:IVQ393365 JFL393271:JFM393365 JPH393271:JPI393365 JZD393271:JZE393365 KIZ393271:KJA393365 KSV393271:KSW393365 LCR393271:LCS393365 LMN393271:LMO393365 LWJ393271:LWK393365 MGF393271:MGG393365 MQB393271:MQC393365 MZX393271:MZY393365 NJT393271:NJU393365 NTP393271:NTQ393365 ODL393271:ODM393365 ONH393271:ONI393365 OXD393271:OXE393365 PGZ393271:PHA393365 PQV393271:PQW393365 QAR393271:QAS393365 QKN393271:QKO393365 QUJ393271:QUK393365 REF393271:REG393365 ROB393271:ROC393365 RXX393271:RXY393365 SHT393271:SHU393365 SRP393271:SRQ393365 TBL393271:TBM393365 TLH393271:TLI393365 TVD393271:TVE393365 UEZ393271:UFA393365 UOV393271:UOW393365 UYR393271:UYS393365 VIN393271:VIO393365 VSJ393271:VSK393365 WCF393271:WCG393365 WMB393271:WMC393365 WVX393271:WVY393365 P458807:Q458901 JL458807:JM458901 TH458807:TI458901 ADD458807:ADE458901 AMZ458807:ANA458901 AWV458807:AWW458901 BGR458807:BGS458901 BQN458807:BQO458901 CAJ458807:CAK458901 CKF458807:CKG458901 CUB458807:CUC458901 DDX458807:DDY458901 DNT458807:DNU458901 DXP458807:DXQ458901 EHL458807:EHM458901 ERH458807:ERI458901 FBD458807:FBE458901 FKZ458807:FLA458901 FUV458807:FUW458901 GER458807:GES458901 GON458807:GOO458901 GYJ458807:GYK458901 HIF458807:HIG458901 HSB458807:HSC458901 IBX458807:IBY458901 ILT458807:ILU458901 IVP458807:IVQ458901 JFL458807:JFM458901 JPH458807:JPI458901 JZD458807:JZE458901 KIZ458807:KJA458901 KSV458807:KSW458901 LCR458807:LCS458901 LMN458807:LMO458901 LWJ458807:LWK458901 MGF458807:MGG458901 MQB458807:MQC458901 MZX458807:MZY458901 NJT458807:NJU458901 NTP458807:NTQ458901 ODL458807:ODM458901 ONH458807:ONI458901 OXD458807:OXE458901 PGZ458807:PHA458901 PQV458807:PQW458901 QAR458807:QAS458901 QKN458807:QKO458901 QUJ458807:QUK458901 REF458807:REG458901 ROB458807:ROC458901 RXX458807:RXY458901 SHT458807:SHU458901 SRP458807:SRQ458901 TBL458807:TBM458901 TLH458807:TLI458901 TVD458807:TVE458901 UEZ458807:UFA458901 UOV458807:UOW458901 UYR458807:UYS458901 VIN458807:VIO458901 VSJ458807:VSK458901 WCF458807:WCG458901 WMB458807:WMC458901 WVX458807:WVY458901 P524343:Q524437 JL524343:JM524437 TH524343:TI524437 ADD524343:ADE524437 AMZ524343:ANA524437 AWV524343:AWW524437 BGR524343:BGS524437 BQN524343:BQO524437 CAJ524343:CAK524437 CKF524343:CKG524437 CUB524343:CUC524437 DDX524343:DDY524437 DNT524343:DNU524437 DXP524343:DXQ524437 EHL524343:EHM524437 ERH524343:ERI524437 FBD524343:FBE524437 FKZ524343:FLA524437 FUV524343:FUW524437 GER524343:GES524437 GON524343:GOO524437 GYJ524343:GYK524437 HIF524343:HIG524437 HSB524343:HSC524437 IBX524343:IBY524437 ILT524343:ILU524437 IVP524343:IVQ524437 JFL524343:JFM524437 JPH524343:JPI524437 JZD524343:JZE524437 KIZ524343:KJA524437 KSV524343:KSW524437 LCR524343:LCS524437 LMN524343:LMO524437 LWJ524343:LWK524437 MGF524343:MGG524437 MQB524343:MQC524437 MZX524343:MZY524437 NJT524343:NJU524437 NTP524343:NTQ524437 ODL524343:ODM524437 ONH524343:ONI524437 OXD524343:OXE524437 PGZ524343:PHA524437 PQV524343:PQW524437 QAR524343:QAS524437 QKN524343:QKO524437 QUJ524343:QUK524437 REF524343:REG524437 ROB524343:ROC524437 RXX524343:RXY524437 SHT524343:SHU524437 SRP524343:SRQ524437 TBL524343:TBM524437 TLH524343:TLI524437 TVD524343:TVE524437 UEZ524343:UFA524437 UOV524343:UOW524437 UYR524343:UYS524437 VIN524343:VIO524437 VSJ524343:VSK524437 WCF524343:WCG524437 WMB524343:WMC524437 WVX524343:WVY524437 P589879:Q589973 JL589879:JM589973 TH589879:TI589973 ADD589879:ADE589973 AMZ589879:ANA589973 AWV589879:AWW589973 BGR589879:BGS589973 BQN589879:BQO589973 CAJ589879:CAK589973 CKF589879:CKG589973 CUB589879:CUC589973 DDX589879:DDY589973 DNT589879:DNU589973 DXP589879:DXQ589973 EHL589879:EHM589973 ERH589879:ERI589973 FBD589879:FBE589973 FKZ589879:FLA589973 FUV589879:FUW589973 GER589879:GES589973 GON589879:GOO589973 GYJ589879:GYK589973 HIF589879:HIG589973 HSB589879:HSC589973 IBX589879:IBY589973 ILT589879:ILU589973 IVP589879:IVQ589973 JFL589879:JFM589973 JPH589879:JPI589973 JZD589879:JZE589973 KIZ589879:KJA589973 KSV589879:KSW589973 LCR589879:LCS589973 LMN589879:LMO589973 LWJ589879:LWK589973 MGF589879:MGG589973 MQB589879:MQC589973 MZX589879:MZY589973 NJT589879:NJU589973 NTP589879:NTQ589973 ODL589879:ODM589973 ONH589879:ONI589973 OXD589879:OXE589973 PGZ589879:PHA589973 PQV589879:PQW589973 QAR589879:QAS589973 QKN589879:QKO589973 QUJ589879:QUK589973 REF589879:REG589973 ROB589879:ROC589973 RXX589879:RXY589973 SHT589879:SHU589973 SRP589879:SRQ589973 TBL589879:TBM589973 TLH589879:TLI589973 TVD589879:TVE589973 UEZ589879:UFA589973 UOV589879:UOW589973 UYR589879:UYS589973 VIN589879:VIO589973 VSJ589879:VSK589973 WCF589879:WCG589973 WMB589879:WMC589973 WVX589879:WVY589973 P655415:Q655509 JL655415:JM655509 TH655415:TI655509 ADD655415:ADE655509 AMZ655415:ANA655509 AWV655415:AWW655509 BGR655415:BGS655509 BQN655415:BQO655509 CAJ655415:CAK655509 CKF655415:CKG655509 CUB655415:CUC655509 DDX655415:DDY655509 DNT655415:DNU655509 DXP655415:DXQ655509 EHL655415:EHM655509 ERH655415:ERI655509 FBD655415:FBE655509 FKZ655415:FLA655509 FUV655415:FUW655509 GER655415:GES655509 GON655415:GOO655509 GYJ655415:GYK655509 HIF655415:HIG655509 HSB655415:HSC655509 IBX655415:IBY655509 ILT655415:ILU655509 IVP655415:IVQ655509 JFL655415:JFM655509 JPH655415:JPI655509 JZD655415:JZE655509 KIZ655415:KJA655509 KSV655415:KSW655509 LCR655415:LCS655509 LMN655415:LMO655509 LWJ655415:LWK655509 MGF655415:MGG655509 MQB655415:MQC655509 MZX655415:MZY655509 NJT655415:NJU655509 NTP655415:NTQ655509 ODL655415:ODM655509 ONH655415:ONI655509 OXD655415:OXE655509 PGZ655415:PHA655509 PQV655415:PQW655509 QAR655415:QAS655509 QKN655415:QKO655509 QUJ655415:QUK655509 REF655415:REG655509 ROB655415:ROC655509 RXX655415:RXY655509 SHT655415:SHU655509 SRP655415:SRQ655509 TBL655415:TBM655509 TLH655415:TLI655509 TVD655415:TVE655509 UEZ655415:UFA655509 UOV655415:UOW655509 UYR655415:UYS655509 VIN655415:VIO655509 VSJ655415:VSK655509 WCF655415:WCG655509 WMB655415:WMC655509 WVX655415:WVY655509 P720951:Q721045 JL720951:JM721045 TH720951:TI721045 ADD720951:ADE721045 AMZ720951:ANA721045 AWV720951:AWW721045 BGR720951:BGS721045 BQN720951:BQO721045 CAJ720951:CAK721045 CKF720951:CKG721045 CUB720951:CUC721045 DDX720951:DDY721045 DNT720951:DNU721045 DXP720951:DXQ721045 EHL720951:EHM721045 ERH720951:ERI721045 FBD720951:FBE721045 FKZ720951:FLA721045 FUV720951:FUW721045 GER720951:GES721045 GON720951:GOO721045 GYJ720951:GYK721045 HIF720951:HIG721045 HSB720951:HSC721045 IBX720951:IBY721045 ILT720951:ILU721045 IVP720951:IVQ721045 JFL720951:JFM721045 JPH720951:JPI721045 JZD720951:JZE721045 KIZ720951:KJA721045 KSV720951:KSW721045 LCR720951:LCS721045 LMN720951:LMO721045 LWJ720951:LWK721045 MGF720951:MGG721045 MQB720951:MQC721045 MZX720951:MZY721045 NJT720951:NJU721045 NTP720951:NTQ721045 ODL720951:ODM721045 ONH720951:ONI721045 OXD720951:OXE721045 PGZ720951:PHA721045 PQV720951:PQW721045 QAR720951:QAS721045 QKN720951:QKO721045 QUJ720951:QUK721045 REF720951:REG721045 ROB720951:ROC721045 RXX720951:RXY721045 SHT720951:SHU721045 SRP720951:SRQ721045 TBL720951:TBM721045 TLH720951:TLI721045 TVD720951:TVE721045 UEZ720951:UFA721045 UOV720951:UOW721045 UYR720951:UYS721045 VIN720951:VIO721045 VSJ720951:VSK721045 WCF720951:WCG721045 WMB720951:WMC721045 WVX720951:WVY721045 P786487:Q786581 JL786487:JM786581 TH786487:TI786581 ADD786487:ADE786581 AMZ786487:ANA786581 AWV786487:AWW786581 BGR786487:BGS786581 BQN786487:BQO786581 CAJ786487:CAK786581 CKF786487:CKG786581 CUB786487:CUC786581 DDX786487:DDY786581 DNT786487:DNU786581 DXP786487:DXQ786581 EHL786487:EHM786581 ERH786487:ERI786581 FBD786487:FBE786581 FKZ786487:FLA786581 FUV786487:FUW786581 GER786487:GES786581 GON786487:GOO786581 GYJ786487:GYK786581 HIF786487:HIG786581 HSB786487:HSC786581 IBX786487:IBY786581 ILT786487:ILU786581 IVP786487:IVQ786581 JFL786487:JFM786581 JPH786487:JPI786581 JZD786487:JZE786581 KIZ786487:KJA786581 KSV786487:KSW786581 LCR786487:LCS786581 LMN786487:LMO786581 LWJ786487:LWK786581 MGF786487:MGG786581 MQB786487:MQC786581 MZX786487:MZY786581 NJT786487:NJU786581 NTP786487:NTQ786581 ODL786487:ODM786581 ONH786487:ONI786581 OXD786487:OXE786581 PGZ786487:PHA786581 PQV786487:PQW786581 QAR786487:QAS786581 QKN786487:QKO786581 QUJ786487:QUK786581 REF786487:REG786581 ROB786487:ROC786581 RXX786487:RXY786581 SHT786487:SHU786581 SRP786487:SRQ786581 TBL786487:TBM786581 TLH786487:TLI786581 TVD786487:TVE786581 UEZ786487:UFA786581 UOV786487:UOW786581 UYR786487:UYS786581 VIN786487:VIO786581 VSJ786487:VSK786581 WCF786487:WCG786581 WMB786487:WMC786581 WVX786487:WVY786581 P852023:Q852117 JL852023:JM852117 TH852023:TI852117 ADD852023:ADE852117 AMZ852023:ANA852117 AWV852023:AWW852117 BGR852023:BGS852117 BQN852023:BQO852117 CAJ852023:CAK852117 CKF852023:CKG852117 CUB852023:CUC852117 DDX852023:DDY852117 DNT852023:DNU852117 DXP852023:DXQ852117 EHL852023:EHM852117 ERH852023:ERI852117 FBD852023:FBE852117 FKZ852023:FLA852117 FUV852023:FUW852117 GER852023:GES852117 GON852023:GOO852117 GYJ852023:GYK852117 HIF852023:HIG852117 HSB852023:HSC852117 IBX852023:IBY852117 ILT852023:ILU852117 IVP852023:IVQ852117 JFL852023:JFM852117 JPH852023:JPI852117 JZD852023:JZE852117 KIZ852023:KJA852117 KSV852023:KSW852117 LCR852023:LCS852117 LMN852023:LMO852117 LWJ852023:LWK852117 MGF852023:MGG852117 MQB852023:MQC852117 MZX852023:MZY852117 NJT852023:NJU852117 NTP852023:NTQ852117 ODL852023:ODM852117 ONH852023:ONI852117 OXD852023:OXE852117 PGZ852023:PHA852117 PQV852023:PQW852117 QAR852023:QAS852117 QKN852023:QKO852117 QUJ852023:QUK852117 REF852023:REG852117 ROB852023:ROC852117 RXX852023:RXY852117 SHT852023:SHU852117 SRP852023:SRQ852117 TBL852023:TBM852117 TLH852023:TLI852117 TVD852023:TVE852117 UEZ852023:UFA852117 UOV852023:UOW852117 UYR852023:UYS852117 VIN852023:VIO852117 VSJ852023:VSK852117 WCF852023:WCG852117 WMB852023:WMC852117 WVX852023:WVY852117 P917559:Q917653 JL917559:JM917653 TH917559:TI917653 ADD917559:ADE917653 AMZ917559:ANA917653 AWV917559:AWW917653 BGR917559:BGS917653 BQN917559:BQO917653 CAJ917559:CAK917653 CKF917559:CKG917653 CUB917559:CUC917653 DDX917559:DDY917653 DNT917559:DNU917653 DXP917559:DXQ917653 EHL917559:EHM917653 ERH917559:ERI917653 FBD917559:FBE917653 FKZ917559:FLA917653 FUV917559:FUW917653 GER917559:GES917653 GON917559:GOO917653 GYJ917559:GYK917653 HIF917559:HIG917653 HSB917559:HSC917653 IBX917559:IBY917653 ILT917559:ILU917653 IVP917559:IVQ917653 JFL917559:JFM917653 JPH917559:JPI917653 JZD917559:JZE917653 KIZ917559:KJA917653 KSV917559:KSW917653 LCR917559:LCS917653 LMN917559:LMO917653 LWJ917559:LWK917653 MGF917559:MGG917653 MQB917559:MQC917653 MZX917559:MZY917653 NJT917559:NJU917653 NTP917559:NTQ917653 ODL917559:ODM917653 ONH917559:ONI917653 OXD917559:OXE917653 PGZ917559:PHA917653 PQV917559:PQW917653 QAR917559:QAS917653 QKN917559:QKO917653 QUJ917559:QUK917653 REF917559:REG917653 ROB917559:ROC917653 RXX917559:RXY917653 SHT917559:SHU917653 SRP917559:SRQ917653 TBL917559:TBM917653 TLH917559:TLI917653 TVD917559:TVE917653 UEZ917559:UFA917653 UOV917559:UOW917653 UYR917559:UYS917653 VIN917559:VIO917653 VSJ917559:VSK917653 WCF917559:WCG917653 WMB917559:WMC917653 WVX917559:WVY917653 P983095:Q983189 JL983095:JM983189 TH983095:TI983189 ADD983095:ADE983189 AMZ983095:ANA983189 AWV983095:AWW983189 BGR983095:BGS983189 BQN983095:BQO983189 CAJ983095:CAK983189 CKF983095:CKG983189 CUB983095:CUC983189 DDX983095:DDY983189 DNT983095:DNU983189 DXP983095:DXQ983189 EHL983095:EHM983189 ERH983095:ERI983189 FBD983095:FBE983189 FKZ983095:FLA983189 FUV983095:FUW983189 GER983095:GES983189 GON983095:GOO983189 GYJ983095:GYK983189 HIF983095:HIG983189 HSB983095:HSC983189 IBX983095:IBY983189 ILT983095:ILU983189 IVP983095:IVQ983189 JFL983095:JFM983189 JPH983095:JPI983189 JZD983095:JZE983189 KIZ983095:KJA983189 KSV983095:KSW983189 LCR983095:LCS983189 LMN983095:LMO983189 LWJ983095:LWK983189 MGF983095:MGG983189 MQB983095:MQC983189 MZX983095:MZY983189 NJT983095:NJU983189 NTP983095:NTQ983189 ODL983095:ODM983189 ONH983095:ONI983189 OXD983095:OXE983189 PGZ983095:PHA983189 PQV983095:PQW983189 QAR983095:QAS983189 QKN983095:QKO983189 QUJ983095:QUK983189 REF983095:REG983189 ROB983095:ROC983189 RXX983095:RXY983189 SHT983095:SHU983189 SRP983095:SRQ983189 TBL983095:TBM983189 TLH983095:TLI983189 TVD983095:TVE983189 UEZ983095:UFA983189 UOV983095:UOW983189 UYR983095:UYS983189 VIN983095:VIO983189 VSJ983095:VSK983189 WCF983095:WCG983189 WMB983095:WMC983189 WVX983095:WVY983189 P11:Q53 JL11:JM53 TH11:TI53 ADD11:ADE53 AMZ11:ANA53 AWV11:AWW53 BGR11:BGS53 BQN11:BQO53 CAJ11:CAK53 CKF11:CKG53 CUB11:CUC53 DDX11:DDY53 DNT11:DNU53 DXP11:DXQ53 EHL11:EHM53 ERH11:ERI53 FBD11:FBE53 FKZ11:FLA53 FUV11:FUW53 GER11:GES53 GON11:GOO53 GYJ11:GYK53 HIF11:HIG53 HSB11:HSC53 IBX11:IBY53 ILT11:ILU53 IVP11:IVQ53 JFL11:JFM53 JPH11:JPI53 JZD11:JZE53 KIZ11:KJA53 KSV11:KSW53 LCR11:LCS53 LMN11:LMO53 LWJ11:LWK53 MGF11:MGG53 MQB11:MQC53 MZX11:MZY53 NJT11:NJU53 NTP11:NTQ53 ODL11:ODM53 ONH11:ONI53 OXD11:OXE53 PGZ11:PHA53 PQV11:PQW53 QAR11:QAS53 QKN11:QKO53 QUJ11:QUK53 REF11:REG53 ROB11:ROC53 RXX11:RXY53 SHT11:SHU53 SRP11:SRQ53 TBL11:TBM53 TLH11:TLI53 TVD11:TVE53 UEZ11:UFA53 UOV11:UOW53 UYR11:UYS53 VIN11:VIO53 VSJ11:VSK53 WCF11:WCG53 WMB11:WMC53 WVX11:WVY53 P65547:Q65589 JL65547:JM65589 TH65547:TI65589 ADD65547:ADE65589 AMZ65547:ANA65589 AWV65547:AWW65589 BGR65547:BGS65589 BQN65547:BQO65589 CAJ65547:CAK65589 CKF65547:CKG65589 CUB65547:CUC65589 DDX65547:DDY65589 DNT65547:DNU65589 DXP65547:DXQ65589 EHL65547:EHM65589 ERH65547:ERI65589 FBD65547:FBE65589 FKZ65547:FLA65589 FUV65547:FUW65589 GER65547:GES65589 GON65547:GOO65589 GYJ65547:GYK65589 HIF65547:HIG65589 HSB65547:HSC65589 IBX65547:IBY65589 ILT65547:ILU65589 IVP65547:IVQ65589 JFL65547:JFM65589 JPH65547:JPI65589 JZD65547:JZE65589 KIZ65547:KJA65589 KSV65547:KSW65589 LCR65547:LCS65589 LMN65547:LMO65589 LWJ65547:LWK65589 MGF65547:MGG65589 MQB65547:MQC65589 MZX65547:MZY65589 NJT65547:NJU65589 NTP65547:NTQ65589 ODL65547:ODM65589 ONH65547:ONI65589 OXD65547:OXE65589 PGZ65547:PHA65589 PQV65547:PQW65589 QAR65547:QAS65589 QKN65547:QKO65589 QUJ65547:QUK65589 REF65547:REG65589 ROB65547:ROC65589 RXX65547:RXY65589 SHT65547:SHU65589 SRP65547:SRQ65589 TBL65547:TBM65589 TLH65547:TLI65589 TVD65547:TVE65589 UEZ65547:UFA65589 UOV65547:UOW65589 UYR65547:UYS65589 VIN65547:VIO65589 VSJ65547:VSK65589 WCF65547:WCG65589 WMB65547:WMC65589 WVX65547:WVY65589 P131083:Q131125 JL131083:JM131125 TH131083:TI131125 ADD131083:ADE131125 AMZ131083:ANA131125 AWV131083:AWW131125 BGR131083:BGS131125 BQN131083:BQO131125 CAJ131083:CAK131125 CKF131083:CKG131125 CUB131083:CUC131125 DDX131083:DDY131125 DNT131083:DNU131125 DXP131083:DXQ131125 EHL131083:EHM131125 ERH131083:ERI131125 FBD131083:FBE131125 FKZ131083:FLA131125 FUV131083:FUW131125 GER131083:GES131125 GON131083:GOO131125 GYJ131083:GYK131125 HIF131083:HIG131125 HSB131083:HSC131125 IBX131083:IBY131125 ILT131083:ILU131125 IVP131083:IVQ131125 JFL131083:JFM131125 JPH131083:JPI131125 JZD131083:JZE131125 KIZ131083:KJA131125 KSV131083:KSW131125 LCR131083:LCS131125 LMN131083:LMO131125 LWJ131083:LWK131125 MGF131083:MGG131125 MQB131083:MQC131125 MZX131083:MZY131125 NJT131083:NJU131125 NTP131083:NTQ131125 ODL131083:ODM131125 ONH131083:ONI131125 OXD131083:OXE131125 PGZ131083:PHA131125 PQV131083:PQW131125 QAR131083:QAS131125 QKN131083:QKO131125 QUJ131083:QUK131125 REF131083:REG131125 ROB131083:ROC131125 RXX131083:RXY131125 SHT131083:SHU131125 SRP131083:SRQ131125 TBL131083:TBM131125 TLH131083:TLI131125 TVD131083:TVE131125 UEZ131083:UFA131125 UOV131083:UOW131125 UYR131083:UYS131125 VIN131083:VIO131125 VSJ131083:VSK131125 WCF131083:WCG131125 WMB131083:WMC131125 WVX131083:WVY131125 P196619:Q196661 JL196619:JM196661 TH196619:TI196661 ADD196619:ADE196661 AMZ196619:ANA196661 AWV196619:AWW196661 BGR196619:BGS196661 BQN196619:BQO196661 CAJ196619:CAK196661 CKF196619:CKG196661 CUB196619:CUC196661 DDX196619:DDY196661 DNT196619:DNU196661 DXP196619:DXQ196661 EHL196619:EHM196661 ERH196619:ERI196661 FBD196619:FBE196661 FKZ196619:FLA196661 FUV196619:FUW196661 GER196619:GES196661 GON196619:GOO196661 GYJ196619:GYK196661 HIF196619:HIG196661 HSB196619:HSC196661 IBX196619:IBY196661 ILT196619:ILU196661 IVP196619:IVQ196661 JFL196619:JFM196661 JPH196619:JPI196661 JZD196619:JZE196661 KIZ196619:KJA196661 KSV196619:KSW196661 LCR196619:LCS196661 LMN196619:LMO196661 LWJ196619:LWK196661 MGF196619:MGG196661 MQB196619:MQC196661 MZX196619:MZY196661 NJT196619:NJU196661 NTP196619:NTQ196661 ODL196619:ODM196661 ONH196619:ONI196661 OXD196619:OXE196661 PGZ196619:PHA196661 PQV196619:PQW196661 QAR196619:QAS196661 QKN196619:QKO196661 QUJ196619:QUK196661 REF196619:REG196661 ROB196619:ROC196661 RXX196619:RXY196661 SHT196619:SHU196661 SRP196619:SRQ196661 TBL196619:TBM196661 TLH196619:TLI196661 TVD196619:TVE196661 UEZ196619:UFA196661 UOV196619:UOW196661 UYR196619:UYS196661 VIN196619:VIO196661 VSJ196619:VSK196661 WCF196619:WCG196661 WMB196619:WMC196661 WVX196619:WVY196661 P262155:Q262197 JL262155:JM262197 TH262155:TI262197 ADD262155:ADE262197 AMZ262155:ANA262197 AWV262155:AWW262197 BGR262155:BGS262197 BQN262155:BQO262197 CAJ262155:CAK262197 CKF262155:CKG262197 CUB262155:CUC262197 DDX262155:DDY262197 DNT262155:DNU262197 DXP262155:DXQ262197 EHL262155:EHM262197 ERH262155:ERI262197 FBD262155:FBE262197 FKZ262155:FLA262197 FUV262155:FUW262197 GER262155:GES262197 GON262155:GOO262197 GYJ262155:GYK262197 HIF262155:HIG262197 HSB262155:HSC262197 IBX262155:IBY262197 ILT262155:ILU262197 IVP262155:IVQ262197 JFL262155:JFM262197 JPH262155:JPI262197 JZD262155:JZE262197 KIZ262155:KJA262197 KSV262155:KSW262197 LCR262155:LCS262197 LMN262155:LMO262197 LWJ262155:LWK262197 MGF262155:MGG262197 MQB262155:MQC262197 MZX262155:MZY262197 NJT262155:NJU262197 NTP262155:NTQ262197 ODL262155:ODM262197 ONH262155:ONI262197 OXD262155:OXE262197 PGZ262155:PHA262197 PQV262155:PQW262197 QAR262155:QAS262197 QKN262155:QKO262197 QUJ262155:QUK262197 REF262155:REG262197 ROB262155:ROC262197 RXX262155:RXY262197 SHT262155:SHU262197 SRP262155:SRQ262197 TBL262155:TBM262197 TLH262155:TLI262197 TVD262155:TVE262197 UEZ262155:UFA262197 UOV262155:UOW262197 UYR262155:UYS262197 VIN262155:VIO262197 VSJ262155:VSK262197 WCF262155:WCG262197 WMB262155:WMC262197 WVX262155:WVY262197 P327691:Q327733 JL327691:JM327733 TH327691:TI327733 ADD327691:ADE327733 AMZ327691:ANA327733 AWV327691:AWW327733 BGR327691:BGS327733 BQN327691:BQO327733 CAJ327691:CAK327733 CKF327691:CKG327733 CUB327691:CUC327733 DDX327691:DDY327733 DNT327691:DNU327733 DXP327691:DXQ327733 EHL327691:EHM327733 ERH327691:ERI327733 FBD327691:FBE327733 FKZ327691:FLA327733 FUV327691:FUW327733 GER327691:GES327733 GON327691:GOO327733 GYJ327691:GYK327733 HIF327691:HIG327733 HSB327691:HSC327733 IBX327691:IBY327733 ILT327691:ILU327733 IVP327691:IVQ327733 JFL327691:JFM327733 JPH327691:JPI327733 JZD327691:JZE327733 KIZ327691:KJA327733 KSV327691:KSW327733 LCR327691:LCS327733 LMN327691:LMO327733 LWJ327691:LWK327733 MGF327691:MGG327733 MQB327691:MQC327733 MZX327691:MZY327733 NJT327691:NJU327733 NTP327691:NTQ327733 ODL327691:ODM327733 ONH327691:ONI327733 OXD327691:OXE327733 PGZ327691:PHA327733 PQV327691:PQW327733 QAR327691:QAS327733 QKN327691:QKO327733 QUJ327691:QUK327733 REF327691:REG327733 ROB327691:ROC327733 RXX327691:RXY327733 SHT327691:SHU327733 SRP327691:SRQ327733 TBL327691:TBM327733 TLH327691:TLI327733 TVD327691:TVE327733 UEZ327691:UFA327733 UOV327691:UOW327733 UYR327691:UYS327733 VIN327691:VIO327733 VSJ327691:VSK327733 WCF327691:WCG327733 WMB327691:WMC327733 WVX327691:WVY327733 P393227:Q393269 JL393227:JM393269 TH393227:TI393269 ADD393227:ADE393269 AMZ393227:ANA393269 AWV393227:AWW393269 BGR393227:BGS393269 BQN393227:BQO393269 CAJ393227:CAK393269 CKF393227:CKG393269 CUB393227:CUC393269 DDX393227:DDY393269 DNT393227:DNU393269 DXP393227:DXQ393269 EHL393227:EHM393269 ERH393227:ERI393269 FBD393227:FBE393269 FKZ393227:FLA393269 FUV393227:FUW393269 GER393227:GES393269 GON393227:GOO393269 GYJ393227:GYK393269 HIF393227:HIG393269 HSB393227:HSC393269 IBX393227:IBY393269 ILT393227:ILU393269 IVP393227:IVQ393269 JFL393227:JFM393269 JPH393227:JPI393269 JZD393227:JZE393269 KIZ393227:KJA393269 KSV393227:KSW393269 LCR393227:LCS393269 LMN393227:LMO393269 LWJ393227:LWK393269 MGF393227:MGG393269 MQB393227:MQC393269 MZX393227:MZY393269 NJT393227:NJU393269 NTP393227:NTQ393269 ODL393227:ODM393269 ONH393227:ONI393269 OXD393227:OXE393269 PGZ393227:PHA393269 PQV393227:PQW393269 QAR393227:QAS393269 QKN393227:QKO393269 QUJ393227:QUK393269 REF393227:REG393269 ROB393227:ROC393269 RXX393227:RXY393269 SHT393227:SHU393269 SRP393227:SRQ393269 TBL393227:TBM393269 TLH393227:TLI393269 TVD393227:TVE393269 UEZ393227:UFA393269 UOV393227:UOW393269 UYR393227:UYS393269 VIN393227:VIO393269 VSJ393227:VSK393269 WCF393227:WCG393269 WMB393227:WMC393269 WVX393227:WVY393269 P458763:Q458805 JL458763:JM458805 TH458763:TI458805 ADD458763:ADE458805 AMZ458763:ANA458805 AWV458763:AWW458805 BGR458763:BGS458805 BQN458763:BQO458805 CAJ458763:CAK458805 CKF458763:CKG458805 CUB458763:CUC458805 DDX458763:DDY458805 DNT458763:DNU458805 DXP458763:DXQ458805 EHL458763:EHM458805 ERH458763:ERI458805 FBD458763:FBE458805 FKZ458763:FLA458805 FUV458763:FUW458805 GER458763:GES458805 GON458763:GOO458805 GYJ458763:GYK458805 HIF458763:HIG458805 HSB458763:HSC458805 IBX458763:IBY458805 ILT458763:ILU458805 IVP458763:IVQ458805 JFL458763:JFM458805 JPH458763:JPI458805 JZD458763:JZE458805 KIZ458763:KJA458805 KSV458763:KSW458805 LCR458763:LCS458805 LMN458763:LMO458805 LWJ458763:LWK458805 MGF458763:MGG458805 MQB458763:MQC458805 MZX458763:MZY458805 NJT458763:NJU458805 NTP458763:NTQ458805 ODL458763:ODM458805 ONH458763:ONI458805 OXD458763:OXE458805 PGZ458763:PHA458805 PQV458763:PQW458805 QAR458763:QAS458805 QKN458763:QKO458805 QUJ458763:QUK458805 REF458763:REG458805 ROB458763:ROC458805 RXX458763:RXY458805 SHT458763:SHU458805 SRP458763:SRQ458805 TBL458763:TBM458805 TLH458763:TLI458805 TVD458763:TVE458805 UEZ458763:UFA458805 UOV458763:UOW458805 UYR458763:UYS458805 VIN458763:VIO458805 VSJ458763:VSK458805 WCF458763:WCG458805 WMB458763:WMC458805 WVX458763:WVY458805 P524299:Q524341 JL524299:JM524341 TH524299:TI524341 ADD524299:ADE524341 AMZ524299:ANA524341 AWV524299:AWW524341 BGR524299:BGS524341 BQN524299:BQO524341 CAJ524299:CAK524341 CKF524299:CKG524341 CUB524299:CUC524341 DDX524299:DDY524341 DNT524299:DNU524341 DXP524299:DXQ524341 EHL524299:EHM524341 ERH524299:ERI524341 FBD524299:FBE524341 FKZ524299:FLA524341 FUV524299:FUW524341 GER524299:GES524341 GON524299:GOO524341 GYJ524299:GYK524341 HIF524299:HIG524341 HSB524299:HSC524341 IBX524299:IBY524341 ILT524299:ILU524341 IVP524299:IVQ524341 JFL524299:JFM524341 JPH524299:JPI524341 JZD524299:JZE524341 KIZ524299:KJA524341 KSV524299:KSW524341 LCR524299:LCS524341 LMN524299:LMO524341 LWJ524299:LWK524341 MGF524299:MGG524341 MQB524299:MQC524341 MZX524299:MZY524341 NJT524299:NJU524341 NTP524299:NTQ524341 ODL524299:ODM524341 ONH524299:ONI524341 OXD524299:OXE524341 PGZ524299:PHA524341 PQV524299:PQW524341 QAR524299:QAS524341 QKN524299:QKO524341 QUJ524299:QUK524341 REF524299:REG524341 ROB524299:ROC524341 RXX524299:RXY524341 SHT524299:SHU524341 SRP524299:SRQ524341 TBL524299:TBM524341 TLH524299:TLI524341 TVD524299:TVE524341 UEZ524299:UFA524341 UOV524299:UOW524341 UYR524299:UYS524341 VIN524299:VIO524341 VSJ524299:VSK524341 WCF524299:WCG524341 WMB524299:WMC524341 WVX524299:WVY524341 P589835:Q589877 JL589835:JM589877 TH589835:TI589877 ADD589835:ADE589877 AMZ589835:ANA589877 AWV589835:AWW589877 BGR589835:BGS589877 BQN589835:BQO589877 CAJ589835:CAK589877 CKF589835:CKG589877 CUB589835:CUC589877 DDX589835:DDY589877 DNT589835:DNU589877 DXP589835:DXQ589877 EHL589835:EHM589877 ERH589835:ERI589877 FBD589835:FBE589877 FKZ589835:FLA589877 FUV589835:FUW589877 GER589835:GES589877 GON589835:GOO589877 GYJ589835:GYK589877 HIF589835:HIG589877 HSB589835:HSC589877 IBX589835:IBY589877 ILT589835:ILU589877 IVP589835:IVQ589877 JFL589835:JFM589877 JPH589835:JPI589877 JZD589835:JZE589877 KIZ589835:KJA589877 KSV589835:KSW589877 LCR589835:LCS589877 LMN589835:LMO589877 LWJ589835:LWK589877 MGF589835:MGG589877 MQB589835:MQC589877 MZX589835:MZY589877 NJT589835:NJU589877 NTP589835:NTQ589877 ODL589835:ODM589877 ONH589835:ONI589877 OXD589835:OXE589877 PGZ589835:PHA589877 PQV589835:PQW589877 QAR589835:QAS589877 QKN589835:QKO589877 QUJ589835:QUK589877 REF589835:REG589877 ROB589835:ROC589877 RXX589835:RXY589877 SHT589835:SHU589877 SRP589835:SRQ589877 TBL589835:TBM589877 TLH589835:TLI589877 TVD589835:TVE589877 UEZ589835:UFA589877 UOV589835:UOW589877 UYR589835:UYS589877 VIN589835:VIO589877 VSJ589835:VSK589877 WCF589835:WCG589877 WMB589835:WMC589877 WVX589835:WVY589877 P655371:Q655413 JL655371:JM655413 TH655371:TI655413 ADD655371:ADE655413 AMZ655371:ANA655413 AWV655371:AWW655413 BGR655371:BGS655413 BQN655371:BQO655413 CAJ655371:CAK655413 CKF655371:CKG655413 CUB655371:CUC655413 DDX655371:DDY655413 DNT655371:DNU655413 DXP655371:DXQ655413 EHL655371:EHM655413 ERH655371:ERI655413 FBD655371:FBE655413 FKZ655371:FLA655413 FUV655371:FUW655413 GER655371:GES655413 GON655371:GOO655413 GYJ655371:GYK655413 HIF655371:HIG655413 HSB655371:HSC655413 IBX655371:IBY655413 ILT655371:ILU655413 IVP655371:IVQ655413 JFL655371:JFM655413 JPH655371:JPI655413 JZD655371:JZE655413 KIZ655371:KJA655413 KSV655371:KSW655413 LCR655371:LCS655413 LMN655371:LMO655413 LWJ655371:LWK655413 MGF655371:MGG655413 MQB655371:MQC655413 MZX655371:MZY655413 NJT655371:NJU655413 NTP655371:NTQ655413 ODL655371:ODM655413 ONH655371:ONI655413 OXD655371:OXE655413 PGZ655371:PHA655413 PQV655371:PQW655413 QAR655371:QAS655413 QKN655371:QKO655413 QUJ655371:QUK655413 REF655371:REG655413 ROB655371:ROC655413 RXX655371:RXY655413 SHT655371:SHU655413 SRP655371:SRQ655413 TBL655371:TBM655413 TLH655371:TLI655413 TVD655371:TVE655413 UEZ655371:UFA655413 UOV655371:UOW655413 UYR655371:UYS655413 VIN655371:VIO655413 VSJ655371:VSK655413 WCF655371:WCG655413 WMB655371:WMC655413 WVX655371:WVY655413 P720907:Q720949 JL720907:JM720949 TH720907:TI720949 ADD720907:ADE720949 AMZ720907:ANA720949 AWV720907:AWW720949 BGR720907:BGS720949 BQN720907:BQO720949 CAJ720907:CAK720949 CKF720907:CKG720949 CUB720907:CUC720949 DDX720907:DDY720949 DNT720907:DNU720949 DXP720907:DXQ720949 EHL720907:EHM720949 ERH720907:ERI720949 FBD720907:FBE720949 FKZ720907:FLA720949 FUV720907:FUW720949 GER720907:GES720949 GON720907:GOO720949 GYJ720907:GYK720949 HIF720907:HIG720949 HSB720907:HSC720949 IBX720907:IBY720949 ILT720907:ILU720949 IVP720907:IVQ720949 JFL720907:JFM720949 JPH720907:JPI720949 JZD720907:JZE720949 KIZ720907:KJA720949 KSV720907:KSW720949 LCR720907:LCS720949 LMN720907:LMO720949 LWJ720907:LWK720949 MGF720907:MGG720949 MQB720907:MQC720949 MZX720907:MZY720949 NJT720907:NJU720949 NTP720907:NTQ720949 ODL720907:ODM720949 ONH720907:ONI720949 OXD720907:OXE720949 PGZ720907:PHA720949 PQV720907:PQW720949 QAR720907:QAS720949 QKN720907:QKO720949 QUJ720907:QUK720949 REF720907:REG720949 ROB720907:ROC720949 RXX720907:RXY720949 SHT720907:SHU720949 SRP720907:SRQ720949 TBL720907:TBM720949 TLH720907:TLI720949 TVD720907:TVE720949 UEZ720907:UFA720949 UOV720907:UOW720949 UYR720907:UYS720949 VIN720907:VIO720949 VSJ720907:VSK720949 WCF720907:WCG720949 WMB720907:WMC720949 WVX720907:WVY720949 P786443:Q786485 JL786443:JM786485 TH786443:TI786485 ADD786443:ADE786485 AMZ786443:ANA786485 AWV786443:AWW786485 BGR786443:BGS786485 BQN786443:BQO786485 CAJ786443:CAK786485 CKF786443:CKG786485 CUB786443:CUC786485 DDX786443:DDY786485 DNT786443:DNU786485 DXP786443:DXQ786485 EHL786443:EHM786485 ERH786443:ERI786485 FBD786443:FBE786485 FKZ786443:FLA786485 FUV786443:FUW786485 GER786443:GES786485 GON786443:GOO786485 GYJ786443:GYK786485 HIF786443:HIG786485 HSB786443:HSC786485 IBX786443:IBY786485 ILT786443:ILU786485 IVP786443:IVQ786485 JFL786443:JFM786485 JPH786443:JPI786485 JZD786443:JZE786485 KIZ786443:KJA786485 KSV786443:KSW786485 LCR786443:LCS786485 LMN786443:LMO786485 LWJ786443:LWK786485 MGF786443:MGG786485 MQB786443:MQC786485 MZX786443:MZY786485 NJT786443:NJU786485 NTP786443:NTQ786485 ODL786443:ODM786485 ONH786443:ONI786485 OXD786443:OXE786485 PGZ786443:PHA786485 PQV786443:PQW786485 QAR786443:QAS786485 QKN786443:QKO786485 QUJ786443:QUK786485 REF786443:REG786485 ROB786443:ROC786485 RXX786443:RXY786485 SHT786443:SHU786485 SRP786443:SRQ786485 TBL786443:TBM786485 TLH786443:TLI786485 TVD786443:TVE786485 UEZ786443:UFA786485 UOV786443:UOW786485 UYR786443:UYS786485 VIN786443:VIO786485 VSJ786443:VSK786485 WCF786443:WCG786485 WMB786443:WMC786485 WVX786443:WVY786485 P851979:Q852021 JL851979:JM852021 TH851979:TI852021 ADD851979:ADE852021 AMZ851979:ANA852021 AWV851979:AWW852021 BGR851979:BGS852021 BQN851979:BQO852021 CAJ851979:CAK852021 CKF851979:CKG852021 CUB851979:CUC852021 DDX851979:DDY852021 DNT851979:DNU852021 DXP851979:DXQ852021 EHL851979:EHM852021 ERH851979:ERI852021 FBD851979:FBE852021 FKZ851979:FLA852021 FUV851979:FUW852021 GER851979:GES852021 GON851979:GOO852021 GYJ851979:GYK852021 HIF851979:HIG852021 HSB851979:HSC852021 IBX851979:IBY852021 ILT851979:ILU852021 IVP851979:IVQ852021 JFL851979:JFM852021 JPH851979:JPI852021 JZD851979:JZE852021 KIZ851979:KJA852021 KSV851979:KSW852021 LCR851979:LCS852021 LMN851979:LMO852021 LWJ851979:LWK852021 MGF851979:MGG852021 MQB851979:MQC852021 MZX851979:MZY852021 NJT851979:NJU852021 NTP851979:NTQ852021 ODL851979:ODM852021 ONH851979:ONI852021 OXD851979:OXE852021 PGZ851979:PHA852021 PQV851979:PQW852021 QAR851979:QAS852021 QKN851979:QKO852021 QUJ851979:QUK852021 REF851979:REG852021 ROB851979:ROC852021 RXX851979:RXY852021 SHT851979:SHU852021 SRP851979:SRQ852021 TBL851979:TBM852021 TLH851979:TLI852021 TVD851979:TVE852021 UEZ851979:UFA852021 UOV851979:UOW852021 UYR851979:UYS852021 VIN851979:VIO852021 VSJ851979:VSK852021 WCF851979:WCG852021 WMB851979:WMC852021 WVX851979:WVY852021 P917515:Q917557 JL917515:JM917557 TH917515:TI917557 ADD917515:ADE917557 AMZ917515:ANA917557 AWV917515:AWW917557 BGR917515:BGS917557 BQN917515:BQO917557 CAJ917515:CAK917557 CKF917515:CKG917557 CUB917515:CUC917557 DDX917515:DDY917557 DNT917515:DNU917557 DXP917515:DXQ917557 EHL917515:EHM917557 ERH917515:ERI917557 FBD917515:FBE917557 FKZ917515:FLA917557 FUV917515:FUW917557 GER917515:GES917557 GON917515:GOO917557 GYJ917515:GYK917557 HIF917515:HIG917557 HSB917515:HSC917557 IBX917515:IBY917557 ILT917515:ILU917557 IVP917515:IVQ917557 JFL917515:JFM917557 JPH917515:JPI917557 JZD917515:JZE917557 KIZ917515:KJA917557 KSV917515:KSW917557 LCR917515:LCS917557 LMN917515:LMO917557 LWJ917515:LWK917557 MGF917515:MGG917557 MQB917515:MQC917557 MZX917515:MZY917557 NJT917515:NJU917557 NTP917515:NTQ917557 ODL917515:ODM917557 ONH917515:ONI917557 OXD917515:OXE917557 PGZ917515:PHA917557 PQV917515:PQW917557 QAR917515:QAS917557 QKN917515:QKO917557 QUJ917515:QUK917557 REF917515:REG917557 ROB917515:ROC917557 RXX917515:RXY917557 SHT917515:SHU917557 SRP917515:SRQ917557 TBL917515:TBM917557 TLH917515:TLI917557 TVD917515:TVE917557 UEZ917515:UFA917557 UOV917515:UOW917557 UYR917515:UYS917557 VIN917515:VIO917557 VSJ917515:VSK917557 WCF917515:WCG917557 WMB917515:WMC917557 WVX917515:WVY917557 P983051:Q983093 JL983051:JM983093 TH983051:TI983093 ADD983051:ADE983093 AMZ983051:ANA983093 AWV983051:AWW983093 BGR983051:BGS983093 BQN983051:BQO983093 CAJ983051:CAK983093 CKF983051:CKG983093 CUB983051:CUC983093 DDX983051:DDY983093 DNT983051:DNU983093 DXP983051:DXQ983093 EHL983051:EHM983093 ERH983051:ERI983093 FBD983051:FBE983093 FKZ983051:FLA983093 FUV983051:FUW983093 GER983051:GES983093 GON983051:GOO983093 GYJ983051:GYK983093 HIF983051:HIG983093 HSB983051:HSC983093 IBX983051:IBY983093 ILT983051:ILU983093 IVP983051:IVQ983093 JFL983051:JFM983093 JPH983051:JPI983093 JZD983051:JZE983093 KIZ983051:KJA983093 KSV983051:KSW983093 LCR983051:LCS983093 LMN983051:LMO983093 LWJ983051:LWK983093 MGF983051:MGG983093 MQB983051:MQC983093 MZX983051:MZY983093 NJT983051:NJU983093 NTP983051:NTQ983093 ODL983051:ODM983093 ONH983051:ONI983093 OXD983051:OXE983093 PGZ983051:PHA983093 PQV983051:PQW983093 QAR983051:QAS983093 QKN983051:QKO983093 QUJ983051:QUK983093 REF983051:REG983093 ROB983051:ROC983093 RXX983051:RXY983093 SHT983051:SHU983093 SRP983051:SRQ983093 TBL983051:TBM983093 TLH983051:TLI983093 TVD983051:TVE983093 UEZ983051:UFA983093 UOV983051:UOW983093 UYR983051:UYS983093 VIN983051:VIO983093 VSJ983051:VSK983093 WCF983051:WCG983093 WMB983051:WMC983093 WVX983051:WVY983093</xm:sqref>
        </x14:dataValidation>
        <x14:dataValidation type="whole" operator="greaterThanOrEqual" allowBlank="1" showInputMessage="1" showErrorMessage="1">
          <x14:formula1>
            <xm:f>1</xm:f>
          </x14:formula1>
          <xm:sqref>AM11 KI11 UE11 AEA11 ANW11 AXS11 BHO11 BRK11 CBG11 CLC11 CUY11 DEU11 DOQ11 DYM11 EII11 ESE11 FCA11 FLW11 FVS11 GFO11 GPK11 GZG11 HJC11 HSY11 ICU11 IMQ11 IWM11 JGI11 JQE11 KAA11 KJW11 KTS11 LDO11 LNK11 LXG11 MHC11 MQY11 NAU11 NKQ11 NUM11 OEI11 OOE11 OYA11 PHW11 PRS11 QBO11 QLK11 QVG11 RFC11 ROY11 RYU11 SIQ11 SSM11 TCI11 TME11 TWA11 UFW11 UPS11 UZO11 VJK11 VTG11 WDC11 WMY11 WWU11 AM65547 KI65547 UE65547 AEA65547 ANW65547 AXS65547 BHO65547 BRK65547 CBG65547 CLC65547 CUY65547 DEU65547 DOQ65547 DYM65547 EII65547 ESE65547 FCA65547 FLW65547 FVS65547 GFO65547 GPK65547 GZG65547 HJC65547 HSY65547 ICU65547 IMQ65547 IWM65547 JGI65547 JQE65547 KAA65547 KJW65547 KTS65547 LDO65547 LNK65547 LXG65547 MHC65547 MQY65547 NAU65547 NKQ65547 NUM65547 OEI65547 OOE65547 OYA65547 PHW65547 PRS65547 QBO65547 QLK65547 QVG65547 RFC65547 ROY65547 RYU65547 SIQ65547 SSM65547 TCI65547 TME65547 TWA65547 UFW65547 UPS65547 UZO65547 VJK65547 VTG65547 WDC65547 WMY65547 WWU65547 AM131083 KI131083 UE131083 AEA131083 ANW131083 AXS131083 BHO131083 BRK131083 CBG131083 CLC131083 CUY131083 DEU131083 DOQ131083 DYM131083 EII131083 ESE131083 FCA131083 FLW131083 FVS131083 GFO131083 GPK131083 GZG131083 HJC131083 HSY131083 ICU131083 IMQ131083 IWM131083 JGI131083 JQE131083 KAA131083 KJW131083 KTS131083 LDO131083 LNK131083 LXG131083 MHC131083 MQY131083 NAU131083 NKQ131083 NUM131083 OEI131083 OOE131083 OYA131083 PHW131083 PRS131083 QBO131083 QLK131083 QVG131083 RFC131083 ROY131083 RYU131083 SIQ131083 SSM131083 TCI131083 TME131083 TWA131083 UFW131083 UPS131083 UZO131083 VJK131083 VTG131083 WDC131083 WMY131083 WWU131083 AM196619 KI196619 UE196619 AEA196619 ANW196619 AXS196619 BHO196619 BRK196619 CBG196619 CLC196619 CUY196619 DEU196619 DOQ196619 DYM196619 EII196619 ESE196619 FCA196619 FLW196619 FVS196619 GFO196619 GPK196619 GZG196619 HJC196619 HSY196619 ICU196619 IMQ196619 IWM196619 JGI196619 JQE196619 KAA196619 KJW196619 KTS196619 LDO196619 LNK196619 LXG196619 MHC196619 MQY196619 NAU196619 NKQ196619 NUM196619 OEI196619 OOE196619 OYA196619 PHW196619 PRS196619 QBO196619 QLK196619 QVG196619 RFC196619 ROY196619 RYU196619 SIQ196619 SSM196619 TCI196619 TME196619 TWA196619 UFW196619 UPS196619 UZO196619 VJK196619 VTG196619 WDC196619 WMY196619 WWU196619 AM262155 KI262155 UE262155 AEA262155 ANW262155 AXS262155 BHO262155 BRK262155 CBG262155 CLC262155 CUY262155 DEU262155 DOQ262155 DYM262155 EII262155 ESE262155 FCA262155 FLW262155 FVS262155 GFO262155 GPK262155 GZG262155 HJC262155 HSY262155 ICU262155 IMQ262155 IWM262155 JGI262155 JQE262155 KAA262155 KJW262155 KTS262155 LDO262155 LNK262155 LXG262155 MHC262155 MQY262155 NAU262155 NKQ262155 NUM262155 OEI262155 OOE262155 OYA262155 PHW262155 PRS262155 QBO262155 QLK262155 QVG262155 RFC262155 ROY262155 RYU262155 SIQ262155 SSM262155 TCI262155 TME262155 TWA262155 UFW262155 UPS262155 UZO262155 VJK262155 VTG262155 WDC262155 WMY262155 WWU262155 AM327691 KI327691 UE327691 AEA327691 ANW327691 AXS327691 BHO327691 BRK327691 CBG327691 CLC327691 CUY327691 DEU327691 DOQ327691 DYM327691 EII327691 ESE327691 FCA327691 FLW327691 FVS327691 GFO327691 GPK327691 GZG327691 HJC327691 HSY327691 ICU327691 IMQ327691 IWM327691 JGI327691 JQE327691 KAA327691 KJW327691 KTS327691 LDO327691 LNK327691 LXG327691 MHC327691 MQY327691 NAU327691 NKQ327691 NUM327691 OEI327691 OOE327691 OYA327691 PHW327691 PRS327691 QBO327691 QLK327691 QVG327691 RFC327691 ROY327691 RYU327691 SIQ327691 SSM327691 TCI327691 TME327691 TWA327691 UFW327691 UPS327691 UZO327691 VJK327691 VTG327691 WDC327691 WMY327691 WWU327691 AM393227 KI393227 UE393227 AEA393227 ANW393227 AXS393227 BHO393227 BRK393227 CBG393227 CLC393227 CUY393227 DEU393227 DOQ393227 DYM393227 EII393227 ESE393227 FCA393227 FLW393227 FVS393227 GFO393227 GPK393227 GZG393227 HJC393227 HSY393227 ICU393227 IMQ393227 IWM393227 JGI393227 JQE393227 KAA393227 KJW393227 KTS393227 LDO393227 LNK393227 LXG393227 MHC393227 MQY393227 NAU393227 NKQ393227 NUM393227 OEI393227 OOE393227 OYA393227 PHW393227 PRS393227 QBO393227 QLK393227 QVG393227 RFC393227 ROY393227 RYU393227 SIQ393227 SSM393227 TCI393227 TME393227 TWA393227 UFW393227 UPS393227 UZO393227 VJK393227 VTG393227 WDC393227 WMY393227 WWU393227 AM458763 KI458763 UE458763 AEA458763 ANW458763 AXS458763 BHO458763 BRK458763 CBG458763 CLC458763 CUY458763 DEU458763 DOQ458763 DYM458763 EII458763 ESE458763 FCA458763 FLW458763 FVS458763 GFO458763 GPK458763 GZG458763 HJC458763 HSY458763 ICU458763 IMQ458763 IWM458763 JGI458763 JQE458763 KAA458763 KJW458763 KTS458763 LDO458763 LNK458763 LXG458763 MHC458763 MQY458763 NAU458763 NKQ458763 NUM458763 OEI458763 OOE458763 OYA458763 PHW458763 PRS458763 QBO458763 QLK458763 QVG458763 RFC458763 ROY458763 RYU458763 SIQ458763 SSM458763 TCI458763 TME458763 TWA458763 UFW458763 UPS458763 UZO458763 VJK458763 VTG458763 WDC458763 WMY458763 WWU458763 AM524299 KI524299 UE524299 AEA524299 ANW524299 AXS524299 BHO524299 BRK524299 CBG524299 CLC524299 CUY524299 DEU524299 DOQ524299 DYM524299 EII524299 ESE524299 FCA524299 FLW524299 FVS524299 GFO524299 GPK524299 GZG524299 HJC524299 HSY524299 ICU524299 IMQ524299 IWM524299 JGI524299 JQE524299 KAA524299 KJW524299 KTS524299 LDO524299 LNK524299 LXG524299 MHC524299 MQY524299 NAU524299 NKQ524299 NUM524299 OEI524299 OOE524299 OYA524299 PHW524299 PRS524299 QBO524299 QLK524299 QVG524299 RFC524299 ROY524299 RYU524299 SIQ524299 SSM524299 TCI524299 TME524299 TWA524299 UFW524299 UPS524299 UZO524299 VJK524299 VTG524299 WDC524299 WMY524299 WWU524299 AM589835 KI589835 UE589835 AEA589835 ANW589835 AXS589835 BHO589835 BRK589835 CBG589835 CLC589835 CUY589835 DEU589835 DOQ589835 DYM589835 EII589835 ESE589835 FCA589835 FLW589835 FVS589835 GFO589835 GPK589835 GZG589835 HJC589835 HSY589835 ICU589835 IMQ589835 IWM589835 JGI589835 JQE589835 KAA589835 KJW589835 KTS589835 LDO589835 LNK589835 LXG589835 MHC589835 MQY589835 NAU589835 NKQ589835 NUM589835 OEI589835 OOE589835 OYA589835 PHW589835 PRS589835 QBO589835 QLK589835 QVG589835 RFC589835 ROY589835 RYU589835 SIQ589835 SSM589835 TCI589835 TME589835 TWA589835 UFW589835 UPS589835 UZO589835 VJK589835 VTG589835 WDC589835 WMY589835 WWU589835 AM655371 KI655371 UE655371 AEA655371 ANW655371 AXS655371 BHO655371 BRK655371 CBG655371 CLC655371 CUY655371 DEU655371 DOQ655371 DYM655371 EII655371 ESE655371 FCA655371 FLW655371 FVS655371 GFO655371 GPK655371 GZG655371 HJC655371 HSY655371 ICU655371 IMQ655371 IWM655371 JGI655371 JQE655371 KAA655371 KJW655371 KTS655371 LDO655371 LNK655371 LXG655371 MHC655371 MQY655371 NAU655371 NKQ655371 NUM655371 OEI655371 OOE655371 OYA655371 PHW655371 PRS655371 QBO655371 QLK655371 QVG655371 RFC655371 ROY655371 RYU655371 SIQ655371 SSM655371 TCI655371 TME655371 TWA655371 UFW655371 UPS655371 UZO655371 VJK655371 VTG655371 WDC655371 WMY655371 WWU655371 AM720907 KI720907 UE720907 AEA720907 ANW720907 AXS720907 BHO720907 BRK720907 CBG720907 CLC720907 CUY720907 DEU720907 DOQ720907 DYM720907 EII720907 ESE720907 FCA720907 FLW720907 FVS720907 GFO720907 GPK720907 GZG720907 HJC720907 HSY720907 ICU720907 IMQ720907 IWM720907 JGI720907 JQE720907 KAA720907 KJW720907 KTS720907 LDO720907 LNK720907 LXG720907 MHC720907 MQY720907 NAU720907 NKQ720907 NUM720907 OEI720907 OOE720907 OYA720907 PHW720907 PRS720907 QBO720907 QLK720907 QVG720907 RFC720907 ROY720907 RYU720907 SIQ720907 SSM720907 TCI720907 TME720907 TWA720907 UFW720907 UPS720907 UZO720907 VJK720907 VTG720907 WDC720907 WMY720907 WWU720907 AM786443 KI786443 UE786443 AEA786443 ANW786443 AXS786443 BHO786443 BRK786443 CBG786443 CLC786443 CUY786443 DEU786443 DOQ786443 DYM786443 EII786443 ESE786443 FCA786443 FLW786443 FVS786443 GFO786443 GPK786443 GZG786443 HJC786443 HSY786443 ICU786443 IMQ786443 IWM786443 JGI786443 JQE786443 KAA786443 KJW786443 KTS786443 LDO786443 LNK786443 LXG786443 MHC786443 MQY786443 NAU786443 NKQ786443 NUM786443 OEI786443 OOE786443 OYA786443 PHW786443 PRS786443 QBO786443 QLK786443 QVG786443 RFC786443 ROY786443 RYU786443 SIQ786443 SSM786443 TCI786443 TME786443 TWA786443 UFW786443 UPS786443 UZO786443 VJK786443 VTG786443 WDC786443 WMY786443 WWU786443 AM851979 KI851979 UE851979 AEA851979 ANW851979 AXS851979 BHO851979 BRK851979 CBG851979 CLC851979 CUY851979 DEU851979 DOQ851979 DYM851979 EII851979 ESE851979 FCA851979 FLW851979 FVS851979 GFO851979 GPK851979 GZG851979 HJC851979 HSY851979 ICU851979 IMQ851979 IWM851979 JGI851979 JQE851979 KAA851979 KJW851979 KTS851979 LDO851979 LNK851979 LXG851979 MHC851979 MQY851979 NAU851979 NKQ851979 NUM851979 OEI851979 OOE851979 OYA851979 PHW851979 PRS851979 QBO851979 QLK851979 QVG851979 RFC851979 ROY851979 RYU851979 SIQ851979 SSM851979 TCI851979 TME851979 TWA851979 UFW851979 UPS851979 UZO851979 VJK851979 VTG851979 WDC851979 WMY851979 WWU851979 AM917515 KI917515 UE917515 AEA917515 ANW917515 AXS917515 BHO917515 BRK917515 CBG917515 CLC917515 CUY917515 DEU917515 DOQ917515 DYM917515 EII917515 ESE917515 FCA917515 FLW917515 FVS917515 GFO917515 GPK917515 GZG917515 HJC917515 HSY917515 ICU917515 IMQ917515 IWM917515 JGI917515 JQE917515 KAA917515 KJW917515 KTS917515 LDO917515 LNK917515 LXG917515 MHC917515 MQY917515 NAU917515 NKQ917515 NUM917515 OEI917515 OOE917515 OYA917515 PHW917515 PRS917515 QBO917515 QLK917515 QVG917515 RFC917515 ROY917515 RYU917515 SIQ917515 SSM917515 TCI917515 TME917515 TWA917515 UFW917515 UPS917515 UZO917515 VJK917515 VTG917515 WDC917515 WMY917515 WWU917515 AM983051 KI983051 UE983051 AEA983051 ANW983051 AXS983051 BHO983051 BRK983051 CBG983051 CLC983051 CUY983051 DEU983051 DOQ983051 DYM983051 EII983051 ESE983051 FCA983051 FLW983051 FVS983051 GFO983051 GPK983051 GZG983051 HJC983051 HSY983051 ICU983051 IMQ983051 IWM983051 JGI983051 JQE983051 KAA983051 KJW983051 KTS983051 LDO983051 LNK983051 LXG983051 MHC983051 MQY983051 NAU983051 NKQ983051 NUM983051 OEI983051 OOE983051 OYA983051 PHW983051 PRS983051 QBO983051 QLK983051 QVG983051 RFC983051 ROY983051 RYU983051 SIQ983051 SSM983051 TCI983051 TME983051 TWA983051 UFW983051 UPS983051 UZO983051 VJK983051 VTG983051 WDC983051 WMY983051 WWU983051 I48:I49 JE48:JE49 TA48:TA49 ACW48:ACW49 AMS48:AMS49 AWO48:AWO49 BGK48:BGK49 BQG48:BQG49 CAC48:CAC49 CJY48:CJY49 CTU48:CTU49 DDQ48:DDQ49 DNM48:DNM49 DXI48:DXI49 EHE48:EHE49 ERA48:ERA49 FAW48:FAW49 FKS48:FKS49 FUO48:FUO49 GEK48:GEK49 GOG48:GOG49 GYC48:GYC49 HHY48:HHY49 HRU48:HRU49 IBQ48:IBQ49 ILM48:ILM49 IVI48:IVI49 JFE48:JFE49 JPA48:JPA49 JYW48:JYW49 KIS48:KIS49 KSO48:KSO49 LCK48:LCK49 LMG48:LMG49 LWC48:LWC49 MFY48:MFY49 MPU48:MPU49 MZQ48:MZQ49 NJM48:NJM49 NTI48:NTI49 ODE48:ODE49 ONA48:ONA49 OWW48:OWW49 PGS48:PGS49 PQO48:PQO49 QAK48:QAK49 QKG48:QKG49 QUC48:QUC49 RDY48:RDY49 RNU48:RNU49 RXQ48:RXQ49 SHM48:SHM49 SRI48:SRI49 TBE48:TBE49 TLA48:TLA49 TUW48:TUW49 UES48:UES49 UOO48:UOO49 UYK48:UYK49 VIG48:VIG49 VSC48:VSC49 WBY48:WBY49 WLU48:WLU49 WVQ48:WVQ49 I65584:I65585 JE65584:JE65585 TA65584:TA65585 ACW65584:ACW65585 AMS65584:AMS65585 AWO65584:AWO65585 BGK65584:BGK65585 BQG65584:BQG65585 CAC65584:CAC65585 CJY65584:CJY65585 CTU65584:CTU65585 DDQ65584:DDQ65585 DNM65584:DNM65585 DXI65584:DXI65585 EHE65584:EHE65585 ERA65584:ERA65585 FAW65584:FAW65585 FKS65584:FKS65585 FUO65584:FUO65585 GEK65584:GEK65585 GOG65584:GOG65585 GYC65584:GYC65585 HHY65584:HHY65585 HRU65584:HRU65585 IBQ65584:IBQ65585 ILM65584:ILM65585 IVI65584:IVI65585 JFE65584:JFE65585 JPA65584:JPA65585 JYW65584:JYW65585 KIS65584:KIS65585 KSO65584:KSO65585 LCK65584:LCK65585 LMG65584:LMG65585 LWC65584:LWC65585 MFY65584:MFY65585 MPU65584:MPU65585 MZQ65584:MZQ65585 NJM65584:NJM65585 NTI65584:NTI65585 ODE65584:ODE65585 ONA65584:ONA65585 OWW65584:OWW65585 PGS65584:PGS65585 PQO65584:PQO65585 QAK65584:QAK65585 QKG65584:QKG65585 QUC65584:QUC65585 RDY65584:RDY65585 RNU65584:RNU65585 RXQ65584:RXQ65585 SHM65584:SHM65585 SRI65584:SRI65585 TBE65584:TBE65585 TLA65584:TLA65585 TUW65584:TUW65585 UES65584:UES65585 UOO65584:UOO65585 UYK65584:UYK65585 VIG65584:VIG65585 VSC65584:VSC65585 WBY65584:WBY65585 WLU65584:WLU65585 WVQ65584:WVQ65585 I131120:I131121 JE131120:JE131121 TA131120:TA131121 ACW131120:ACW131121 AMS131120:AMS131121 AWO131120:AWO131121 BGK131120:BGK131121 BQG131120:BQG131121 CAC131120:CAC131121 CJY131120:CJY131121 CTU131120:CTU131121 DDQ131120:DDQ131121 DNM131120:DNM131121 DXI131120:DXI131121 EHE131120:EHE131121 ERA131120:ERA131121 FAW131120:FAW131121 FKS131120:FKS131121 FUO131120:FUO131121 GEK131120:GEK131121 GOG131120:GOG131121 GYC131120:GYC131121 HHY131120:HHY131121 HRU131120:HRU131121 IBQ131120:IBQ131121 ILM131120:ILM131121 IVI131120:IVI131121 JFE131120:JFE131121 JPA131120:JPA131121 JYW131120:JYW131121 KIS131120:KIS131121 KSO131120:KSO131121 LCK131120:LCK131121 LMG131120:LMG131121 LWC131120:LWC131121 MFY131120:MFY131121 MPU131120:MPU131121 MZQ131120:MZQ131121 NJM131120:NJM131121 NTI131120:NTI131121 ODE131120:ODE131121 ONA131120:ONA131121 OWW131120:OWW131121 PGS131120:PGS131121 PQO131120:PQO131121 QAK131120:QAK131121 QKG131120:QKG131121 QUC131120:QUC131121 RDY131120:RDY131121 RNU131120:RNU131121 RXQ131120:RXQ131121 SHM131120:SHM131121 SRI131120:SRI131121 TBE131120:TBE131121 TLA131120:TLA131121 TUW131120:TUW131121 UES131120:UES131121 UOO131120:UOO131121 UYK131120:UYK131121 VIG131120:VIG131121 VSC131120:VSC131121 WBY131120:WBY131121 WLU131120:WLU131121 WVQ131120:WVQ131121 I196656:I196657 JE196656:JE196657 TA196656:TA196657 ACW196656:ACW196657 AMS196656:AMS196657 AWO196656:AWO196657 BGK196656:BGK196657 BQG196656:BQG196657 CAC196656:CAC196657 CJY196656:CJY196657 CTU196656:CTU196657 DDQ196656:DDQ196657 DNM196656:DNM196657 DXI196656:DXI196657 EHE196656:EHE196657 ERA196656:ERA196657 FAW196656:FAW196657 FKS196656:FKS196657 FUO196656:FUO196657 GEK196656:GEK196657 GOG196656:GOG196657 GYC196656:GYC196657 HHY196656:HHY196657 HRU196656:HRU196657 IBQ196656:IBQ196657 ILM196656:ILM196657 IVI196656:IVI196657 JFE196656:JFE196657 JPA196656:JPA196657 JYW196656:JYW196657 KIS196656:KIS196657 KSO196656:KSO196657 LCK196656:LCK196657 LMG196656:LMG196657 LWC196656:LWC196657 MFY196656:MFY196657 MPU196656:MPU196657 MZQ196656:MZQ196657 NJM196656:NJM196657 NTI196656:NTI196657 ODE196656:ODE196657 ONA196656:ONA196657 OWW196656:OWW196657 PGS196656:PGS196657 PQO196656:PQO196657 QAK196656:QAK196657 QKG196656:QKG196657 QUC196656:QUC196657 RDY196656:RDY196657 RNU196656:RNU196657 RXQ196656:RXQ196657 SHM196656:SHM196657 SRI196656:SRI196657 TBE196656:TBE196657 TLA196656:TLA196657 TUW196656:TUW196657 UES196656:UES196657 UOO196656:UOO196657 UYK196656:UYK196657 VIG196656:VIG196657 VSC196656:VSC196657 WBY196656:WBY196657 WLU196656:WLU196657 WVQ196656:WVQ196657 I262192:I262193 JE262192:JE262193 TA262192:TA262193 ACW262192:ACW262193 AMS262192:AMS262193 AWO262192:AWO262193 BGK262192:BGK262193 BQG262192:BQG262193 CAC262192:CAC262193 CJY262192:CJY262193 CTU262192:CTU262193 DDQ262192:DDQ262193 DNM262192:DNM262193 DXI262192:DXI262193 EHE262192:EHE262193 ERA262192:ERA262193 FAW262192:FAW262193 FKS262192:FKS262193 FUO262192:FUO262193 GEK262192:GEK262193 GOG262192:GOG262193 GYC262192:GYC262193 HHY262192:HHY262193 HRU262192:HRU262193 IBQ262192:IBQ262193 ILM262192:ILM262193 IVI262192:IVI262193 JFE262192:JFE262193 JPA262192:JPA262193 JYW262192:JYW262193 KIS262192:KIS262193 KSO262192:KSO262193 LCK262192:LCK262193 LMG262192:LMG262193 LWC262192:LWC262193 MFY262192:MFY262193 MPU262192:MPU262193 MZQ262192:MZQ262193 NJM262192:NJM262193 NTI262192:NTI262193 ODE262192:ODE262193 ONA262192:ONA262193 OWW262192:OWW262193 PGS262192:PGS262193 PQO262192:PQO262193 QAK262192:QAK262193 QKG262192:QKG262193 QUC262192:QUC262193 RDY262192:RDY262193 RNU262192:RNU262193 RXQ262192:RXQ262193 SHM262192:SHM262193 SRI262192:SRI262193 TBE262192:TBE262193 TLA262192:TLA262193 TUW262192:TUW262193 UES262192:UES262193 UOO262192:UOO262193 UYK262192:UYK262193 VIG262192:VIG262193 VSC262192:VSC262193 WBY262192:WBY262193 WLU262192:WLU262193 WVQ262192:WVQ262193 I327728:I327729 JE327728:JE327729 TA327728:TA327729 ACW327728:ACW327729 AMS327728:AMS327729 AWO327728:AWO327729 BGK327728:BGK327729 BQG327728:BQG327729 CAC327728:CAC327729 CJY327728:CJY327729 CTU327728:CTU327729 DDQ327728:DDQ327729 DNM327728:DNM327729 DXI327728:DXI327729 EHE327728:EHE327729 ERA327728:ERA327729 FAW327728:FAW327729 FKS327728:FKS327729 FUO327728:FUO327729 GEK327728:GEK327729 GOG327728:GOG327729 GYC327728:GYC327729 HHY327728:HHY327729 HRU327728:HRU327729 IBQ327728:IBQ327729 ILM327728:ILM327729 IVI327728:IVI327729 JFE327728:JFE327729 JPA327728:JPA327729 JYW327728:JYW327729 KIS327728:KIS327729 KSO327728:KSO327729 LCK327728:LCK327729 LMG327728:LMG327729 LWC327728:LWC327729 MFY327728:MFY327729 MPU327728:MPU327729 MZQ327728:MZQ327729 NJM327728:NJM327729 NTI327728:NTI327729 ODE327728:ODE327729 ONA327728:ONA327729 OWW327728:OWW327729 PGS327728:PGS327729 PQO327728:PQO327729 QAK327728:QAK327729 QKG327728:QKG327729 QUC327728:QUC327729 RDY327728:RDY327729 RNU327728:RNU327729 RXQ327728:RXQ327729 SHM327728:SHM327729 SRI327728:SRI327729 TBE327728:TBE327729 TLA327728:TLA327729 TUW327728:TUW327729 UES327728:UES327729 UOO327728:UOO327729 UYK327728:UYK327729 VIG327728:VIG327729 VSC327728:VSC327729 WBY327728:WBY327729 WLU327728:WLU327729 WVQ327728:WVQ327729 I393264:I393265 JE393264:JE393265 TA393264:TA393265 ACW393264:ACW393265 AMS393264:AMS393265 AWO393264:AWO393265 BGK393264:BGK393265 BQG393264:BQG393265 CAC393264:CAC393265 CJY393264:CJY393265 CTU393264:CTU393265 DDQ393264:DDQ393265 DNM393264:DNM393265 DXI393264:DXI393265 EHE393264:EHE393265 ERA393264:ERA393265 FAW393264:FAW393265 FKS393264:FKS393265 FUO393264:FUO393265 GEK393264:GEK393265 GOG393264:GOG393265 GYC393264:GYC393265 HHY393264:HHY393265 HRU393264:HRU393265 IBQ393264:IBQ393265 ILM393264:ILM393265 IVI393264:IVI393265 JFE393264:JFE393265 JPA393264:JPA393265 JYW393264:JYW393265 KIS393264:KIS393265 KSO393264:KSO393265 LCK393264:LCK393265 LMG393264:LMG393265 LWC393264:LWC393265 MFY393264:MFY393265 MPU393264:MPU393265 MZQ393264:MZQ393265 NJM393264:NJM393265 NTI393264:NTI393265 ODE393264:ODE393265 ONA393264:ONA393265 OWW393264:OWW393265 PGS393264:PGS393265 PQO393264:PQO393265 QAK393264:QAK393265 QKG393264:QKG393265 QUC393264:QUC393265 RDY393264:RDY393265 RNU393264:RNU393265 RXQ393264:RXQ393265 SHM393264:SHM393265 SRI393264:SRI393265 TBE393264:TBE393265 TLA393264:TLA393265 TUW393264:TUW393265 UES393264:UES393265 UOO393264:UOO393265 UYK393264:UYK393265 VIG393264:VIG393265 VSC393264:VSC393265 WBY393264:WBY393265 WLU393264:WLU393265 WVQ393264:WVQ393265 I458800:I458801 JE458800:JE458801 TA458800:TA458801 ACW458800:ACW458801 AMS458800:AMS458801 AWO458800:AWO458801 BGK458800:BGK458801 BQG458800:BQG458801 CAC458800:CAC458801 CJY458800:CJY458801 CTU458800:CTU458801 DDQ458800:DDQ458801 DNM458800:DNM458801 DXI458800:DXI458801 EHE458800:EHE458801 ERA458800:ERA458801 FAW458800:FAW458801 FKS458800:FKS458801 FUO458800:FUO458801 GEK458800:GEK458801 GOG458800:GOG458801 GYC458800:GYC458801 HHY458800:HHY458801 HRU458800:HRU458801 IBQ458800:IBQ458801 ILM458800:ILM458801 IVI458800:IVI458801 JFE458800:JFE458801 JPA458800:JPA458801 JYW458800:JYW458801 KIS458800:KIS458801 KSO458800:KSO458801 LCK458800:LCK458801 LMG458800:LMG458801 LWC458800:LWC458801 MFY458800:MFY458801 MPU458800:MPU458801 MZQ458800:MZQ458801 NJM458800:NJM458801 NTI458800:NTI458801 ODE458800:ODE458801 ONA458800:ONA458801 OWW458800:OWW458801 PGS458800:PGS458801 PQO458800:PQO458801 QAK458800:QAK458801 QKG458800:QKG458801 QUC458800:QUC458801 RDY458800:RDY458801 RNU458800:RNU458801 RXQ458800:RXQ458801 SHM458800:SHM458801 SRI458800:SRI458801 TBE458800:TBE458801 TLA458800:TLA458801 TUW458800:TUW458801 UES458800:UES458801 UOO458800:UOO458801 UYK458800:UYK458801 VIG458800:VIG458801 VSC458800:VSC458801 WBY458800:WBY458801 WLU458800:WLU458801 WVQ458800:WVQ458801 I524336:I524337 JE524336:JE524337 TA524336:TA524337 ACW524336:ACW524337 AMS524336:AMS524337 AWO524336:AWO524337 BGK524336:BGK524337 BQG524336:BQG524337 CAC524336:CAC524337 CJY524336:CJY524337 CTU524336:CTU524337 DDQ524336:DDQ524337 DNM524336:DNM524337 DXI524336:DXI524337 EHE524336:EHE524337 ERA524336:ERA524337 FAW524336:FAW524337 FKS524336:FKS524337 FUO524336:FUO524337 GEK524336:GEK524337 GOG524336:GOG524337 GYC524336:GYC524337 HHY524336:HHY524337 HRU524336:HRU524337 IBQ524336:IBQ524337 ILM524336:ILM524337 IVI524336:IVI524337 JFE524336:JFE524337 JPA524336:JPA524337 JYW524336:JYW524337 KIS524336:KIS524337 KSO524336:KSO524337 LCK524336:LCK524337 LMG524336:LMG524337 LWC524336:LWC524337 MFY524336:MFY524337 MPU524336:MPU524337 MZQ524336:MZQ524337 NJM524336:NJM524337 NTI524336:NTI524337 ODE524336:ODE524337 ONA524336:ONA524337 OWW524336:OWW524337 PGS524336:PGS524337 PQO524336:PQO524337 QAK524336:QAK524337 QKG524336:QKG524337 QUC524336:QUC524337 RDY524336:RDY524337 RNU524336:RNU524337 RXQ524336:RXQ524337 SHM524336:SHM524337 SRI524336:SRI524337 TBE524336:TBE524337 TLA524336:TLA524337 TUW524336:TUW524337 UES524336:UES524337 UOO524336:UOO524337 UYK524336:UYK524337 VIG524336:VIG524337 VSC524336:VSC524337 WBY524336:WBY524337 WLU524336:WLU524337 WVQ524336:WVQ524337 I589872:I589873 JE589872:JE589873 TA589872:TA589873 ACW589872:ACW589873 AMS589872:AMS589873 AWO589872:AWO589873 BGK589872:BGK589873 BQG589872:BQG589873 CAC589872:CAC589873 CJY589872:CJY589873 CTU589872:CTU589873 DDQ589872:DDQ589873 DNM589872:DNM589873 DXI589872:DXI589873 EHE589872:EHE589873 ERA589872:ERA589873 FAW589872:FAW589873 FKS589872:FKS589873 FUO589872:FUO589873 GEK589872:GEK589873 GOG589872:GOG589873 GYC589872:GYC589873 HHY589872:HHY589873 HRU589872:HRU589873 IBQ589872:IBQ589873 ILM589872:ILM589873 IVI589872:IVI589873 JFE589872:JFE589873 JPA589872:JPA589873 JYW589872:JYW589873 KIS589872:KIS589873 KSO589872:KSO589873 LCK589872:LCK589873 LMG589872:LMG589873 LWC589872:LWC589873 MFY589872:MFY589873 MPU589872:MPU589873 MZQ589872:MZQ589873 NJM589872:NJM589873 NTI589872:NTI589873 ODE589872:ODE589873 ONA589872:ONA589873 OWW589872:OWW589873 PGS589872:PGS589873 PQO589872:PQO589873 QAK589872:QAK589873 QKG589872:QKG589873 QUC589872:QUC589873 RDY589872:RDY589873 RNU589872:RNU589873 RXQ589872:RXQ589873 SHM589872:SHM589873 SRI589872:SRI589873 TBE589872:TBE589873 TLA589872:TLA589873 TUW589872:TUW589873 UES589872:UES589873 UOO589872:UOO589873 UYK589872:UYK589873 VIG589872:VIG589873 VSC589872:VSC589873 WBY589872:WBY589873 WLU589872:WLU589873 WVQ589872:WVQ589873 I655408:I655409 JE655408:JE655409 TA655408:TA655409 ACW655408:ACW655409 AMS655408:AMS655409 AWO655408:AWO655409 BGK655408:BGK655409 BQG655408:BQG655409 CAC655408:CAC655409 CJY655408:CJY655409 CTU655408:CTU655409 DDQ655408:DDQ655409 DNM655408:DNM655409 DXI655408:DXI655409 EHE655408:EHE655409 ERA655408:ERA655409 FAW655408:FAW655409 FKS655408:FKS655409 FUO655408:FUO655409 GEK655408:GEK655409 GOG655408:GOG655409 GYC655408:GYC655409 HHY655408:HHY655409 HRU655408:HRU655409 IBQ655408:IBQ655409 ILM655408:ILM655409 IVI655408:IVI655409 JFE655408:JFE655409 JPA655408:JPA655409 JYW655408:JYW655409 KIS655408:KIS655409 KSO655408:KSO655409 LCK655408:LCK655409 LMG655408:LMG655409 LWC655408:LWC655409 MFY655408:MFY655409 MPU655408:MPU655409 MZQ655408:MZQ655409 NJM655408:NJM655409 NTI655408:NTI655409 ODE655408:ODE655409 ONA655408:ONA655409 OWW655408:OWW655409 PGS655408:PGS655409 PQO655408:PQO655409 QAK655408:QAK655409 QKG655408:QKG655409 QUC655408:QUC655409 RDY655408:RDY655409 RNU655408:RNU655409 RXQ655408:RXQ655409 SHM655408:SHM655409 SRI655408:SRI655409 TBE655408:TBE655409 TLA655408:TLA655409 TUW655408:TUW655409 UES655408:UES655409 UOO655408:UOO655409 UYK655408:UYK655409 VIG655408:VIG655409 VSC655408:VSC655409 WBY655408:WBY655409 WLU655408:WLU655409 WVQ655408:WVQ655409 I720944:I720945 JE720944:JE720945 TA720944:TA720945 ACW720944:ACW720945 AMS720944:AMS720945 AWO720944:AWO720945 BGK720944:BGK720945 BQG720944:BQG720945 CAC720944:CAC720945 CJY720944:CJY720945 CTU720944:CTU720945 DDQ720944:DDQ720945 DNM720944:DNM720945 DXI720944:DXI720945 EHE720944:EHE720945 ERA720944:ERA720945 FAW720944:FAW720945 FKS720944:FKS720945 FUO720944:FUO720945 GEK720944:GEK720945 GOG720944:GOG720945 GYC720944:GYC720945 HHY720944:HHY720945 HRU720944:HRU720945 IBQ720944:IBQ720945 ILM720944:ILM720945 IVI720944:IVI720945 JFE720944:JFE720945 JPA720944:JPA720945 JYW720944:JYW720945 KIS720944:KIS720945 KSO720944:KSO720945 LCK720944:LCK720945 LMG720944:LMG720945 LWC720944:LWC720945 MFY720944:MFY720945 MPU720944:MPU720945 MZQ720944:MZQ720945 NJM720944:NJM720945 NTI720944:NTI720945 ODE720944:ODE720945 ONA720944:ONA720945 OWW720944:OWW720945 PGS720944:PGS720945 PQO720944:PQO720945 QAK720944:QAK720945 QKG720944:QKG720945 QUC720944:QUC720945 RDY720944:RDY720945 RNU720944:RNU720945 RXQ720944:RXQ720945 SHM720944:SHM720945 SRI720944:SRI720945 TBE720944:TBE720945 TLA720944:TLA720945 TUW720944:TUW720945 UES720944:UES720945 UOO720944:UOO720945 UYK720944:UYK720945 VIG720944:VIG720945 VSC720944:VSC720945 WBY720944:WBY720945 WLU720944:WLU720945 WVQ720944:WVQ720945 I786480:I786481 JE786480:JE786481 TA786480:TA786481 ACW786480:ACW786481 AMS786480:AMS786481 AWO786480:AWO786481 BGK786480:BGK786481 BQG786480:BQG786481 CAC786480:CAC786481 CJY786480:CJY786481 CTU786480:CTU786481 DDQ786480:DDQ786481 DNM786480:DNM786481 DXI786480:DXI786481 EHE786480:EHE786481 ERA786480:ERA786481 FAW786480:FAW786481 FKS786480:FKS786481 FUO786480:FUO786481 GEK786480:GEK786481 GOG786480:GOG786481 GYC786480:GYC786481 HHY786480:HHY786481 HRU786480:HRU786481 IBQ786480:IBQ786481 ILM786480:ILM786481 IVI786480:IVI786481 JFE786480:JFE786481 JPA786480:JPA786481 JYW786480:JYW786481 KIS786480:KIS786481 KSO786480:KSO786481 LCK786480:LCK786481 LMG786480:LMG786481 LWC786480:LWC786481 MFY786480:MFY786481 MPU786480:MPU786481 MZQ786480:MZQ786481 NJM786480:NJM786481 NTI786480:NTI786481 ODE786480:ODE786481 ONA786480:ONA786481 OWW786480:OWW786481 PGS786480:PGS786481 PQO786480:PQO786481 QAK786480:QAK786481 QKG786480:QKG786481 QUC786480:QUC786481 RDY786480:RDY786481 RNU786480:RNU786481 RXQ786480:RXQ786481 SHM786480:SHM786481 SRI786480:SRI786481 TBE786480:TBE786481 TLA786480:TLA786481 TUW786480:TUW786481 UES786480:UES786481 UOO786480:UOO786481 UYK786480:UYK786481 VIG786480:VIG786481 VSC786480:VSC786481 WBY786480:WBY786481 WLU786480:WLU786481 WVQ786480:WVQ786481 I852016:I852017 JE852016:JE852017 TA852016:TA852017 ACW852016:ACW852017 AMS852016:AMS852017 AWO852016:AWO852017 BGK852016:BGK852017 BQG852016:BQG852017 CAC852016:CAC852017 CJY852016:CJY852017 CTU852016:CTU852017 DDQ852016:DDQ852017 DNM852016:DNM852017 DXI852016:DXI852017 EHE852016:EHE852017 ERA852016:ERA852017 FAW852016:FAW852017 FKS852016:FKS852017 FUO852016:FUO852017 GEK852016:GEK852017 GOG852016:GOG852017 GYC852016:GYC852017 HHY852016:HHY852017 HRU852016:HRU852017 IBQ852016:IBQ852017 ILM852016:ILM852017 IVI852016:IVI852017 JFE852016:JFE852017 JPA852016:JPA852017 JYW852016:JYW852017 KIS852016:KIS852017 KSO852016:KSO852017 LCK852016:LCK852017 LMG852016:LMG852017 LWC852016:LWC852017 MFY852016:MFY852017 MPU852016:MPU852017 MZQ852016:MZQ852017 NJM852016:NJM852017 NTI852016:NTI852017 ODE852016:ODE852017 ONA852016:ONA852017 OWW852016:OWW852017 PGS852016:PGS852017 PQO852016:PQO852017 QAK852016:QAK852017 QKG852016:QKG852017 QUC852016:QUC852017 RDY852016:RDY852017 RNU852016:RNU852017 RXQ852016:RXQ852017 SHM852016:SHM852017 SRI852016:SRI852017 TBE852016:TBE852017 TLA852016:TLA852017 TUW852016:TUW852017 UES852016:UES852017 UOO852016:UOO852017 UYK852016:UYK852017 VIG852016:VIG852017 VSC852016:VSC852017 WBY852016:WBY852017 WLU852016:WLU852017 WVQ852016:WVQ852017 I917552:I917553 JE917552:JE917553 TA917552:TA917553 ACW917552:ACW917553 AMS917552:AMS917553 AWO917552:AWO917553 BGK917552:BGK917553 BQG917552:BQG917553 CAC917552:CAC917553 CJY917552:CJY917553 CTU917552:CTU917553 DDQ917552:DDQ917553 DNM917552:DNM917553 DXI917552:DXI917553 EHE917552:EHE917553 ERA917552:ERA917553 FAW917552:FAW917553 FKS917552:FKS917553 FUO917552:FUO917553 GEK917552:GEK917553 GOG917552:GOG917553 GYC917552:GYC917553 HHY917552:HHY917553 HRU917552:HRU917553 IBQ917552:IBQ917553 ILM917552:ILM917553 IVI917552:IVI917553 JFE917552:JFE917553 JPA917552:JPA917553 JYW917552:JYW917553 KIS917552:KIS917553 KSO917552:KSO917553 LCK917552:LCK917553 LMG917552:LMG917553 LWC917552:LWC917553 MFY917552:MFY917553 MPU917552:MPU917553 MZQ917552:MZQ917553 NJM917552:NJM917553 NTI917552:NTI917553 ODE917552:ODE917553 ONA917552:ONA917553 OWW917552:OWW917553 PGS917552:PGS917553 PQO917552:PQO917553 QAK917552:QAK917553 QKG917552:QKG917553 QUC917552:QUC917553 RDY917552:RDY917553 RNU917552:RNU917553 RXQ917552:RXQ917553 SHM917552:SHM917553 SRI917552:SRI917553 TBE917552:TBE917553 TLA917552:TLA917553 TUW917552:TUW917553 UES917552:UES917553 UOO917552:UOO917553 UYK917552:UYK917553 VIG917552:VIG917553 VSC917552:VSC917553 WBY917552:WBY917553 WLU917552:WLU917553 WVQ917552:WVQ917553 I983088:I983089 JE983088:JE983089 TA983088:TA983089 ACW983088:ACW983089 AMS983088:AMS983089 AWO983088:AWO983089 BGK983088:BGK983089 BQG983088:BQG983089 CAC983088:CAC983089 CJY983088:CJY983089 CTU983088:CTU983089 DDQ983088:DDQ983089 DNM983088:DNM983089 DXI983088:DXI983089 EHE983088:EHE983089 ERA983088:ERA983089 FAW983088:FAW983089 FKS983088:FKS983089 FUO983088:FUO983089 GEK983088:GEK983089 GOG983088:GOG983089 GYC983088:GYC983089 HHY983088:HHY983089 HRU983088:HRU983089 IBQ983088:IBQ983089 ILM983088:ILM983089 IVI983088:IVI983089 JFE983088:JFE983089 JPA983088:JPA983089 JYW983088:JYW983089 KIS983088:KIS983089 KSO983088:KSO983089 LCK983088:LCK983089 LMG983088:LMG983089 LWC983088:LWC983089 MFY983088:MFY983089 MPU983088:MPU983089 MZQ983088:MZQ983089 NJM983088:NJM983089 NTI983088:NTI983089 ODE983088:ODE983089 ONA983088:ONA983089 OWW983088:OWW983089 PGS983088:PGS983089 PQO983088:PQO983089 QAK983088:QAK983089 QKG983088:QKG983089 QUC983088:QUC983089 RDY983088:RDY983089 RNU983088:RNU983089 RXQ983088:RXQ983089 SHM983088:SHM983089 SRI983088:SRI983089 TBE983088:TBE983089 TLA983088:TLA983089 TUW983088:TUW983089 UES983088:UES983089 UOO983088:UOO983089 UYK983088:UYK983089 VIG983088:VIG983089 VSC983088:VSC983089 WBY983088:WBY983089 WLU983088:WLU983089 WVQ983088:WVQ983089 H158 JD158 SZ158 ACV158 AMR158 AWN158 BGJ158 BQF158 CAB158 CJX158 CTT158 DDP158 DNL158 DXH158 EHD158 EQZ158 FAV158 FKR158 FUN158 GEJ158 GOF158 GYB158 HHX158 HRT158 IBP158 ILL158 IVH158 JFD158 JOZ158 JYV158 KIR158 KSN158 LCJ158 LMF158 LWB158 MFX158 MPT158 MZP158 NJL158 NTH158 ODD158 OMZ158 OWV158 PGR158 PQN158 QAJ158 QKF158 QUB158 RDX158 RNT158 RXP158 SHL158 SRH158 TBD158 TKZ158 TUV158 UER158 UON158 UYJ158 VIF158 VSB158 WBX158 WLT158 WVP158 H65694 JD65694 SZ65694 ACV65694 AMR65694 AWN65694 BGJ65694 BQF65694 CAB65694 CJX65694 CTT65694 DDP65694 DNL65694 DXH65694 EHD65694 EQZ65694 FAV65694 FKR65694 FUN65694 GEJ65694 GOF65694 GYB65694 HHX65694 HRT65694 IBP65694 ILL65694 IVH65694 JFD65694 JOZ65694 JYV65694 KIR65694 KSN65694 LCJ65694 LMF65694 LWB65694 MFX65694 MPT65694 MZP65694 NJL65694 NTH65694 ODD65694 OMZ65694 OWV65694 PGR65694 PQN65694 QAJ65694 QKF65694 QUB65694 RDX65694 RNT65694 RXP65694 SHL65694 SRH65694 TBD65694 TKZ65694 TUV65694 UER65694 UON65694 UYJ65694 VIF65694 VSB65694 WBX65694 WLT65694 WVP65694 H131230 JD131230 SZ131230 ACV131230 AMR131230 AWN131230 BGJ131230 BQF131230 CAB131230 CJX131230 CTT131230 DDP131230 DNL131230 DXH131230 EHD131230 EQZ131230 FAV131230 FKR131230 FUN131230 GEJ131230 GOF131230 GYB131230 HHX131230 HRT131230 IBP131230 ILL131230 IVH131230 JFD131230 JOZ131230 JYV131230 KIR131230 KSN131230 LCJ131230 LMF131230 LWB131230 MFX131230 MPT131230 MZP131230 NJL131230 NTH131230 ODD131230 OMZ131230 OWV131230 PGR131230 PQN131230 QAJ131230 QKF131230 QUB131230 RDX131230 RNT131230 RXP131230 SHL131230 SRH131230 TBD131230 TKZ131230 TUV131230 UER131230 UON131230 UYJ131230 VIF131230 VSB131230 WBX131230 WLT131230 WVP131230 H196766 JD196766 SZ196766 ACV196766 AMR196766 AWN196766 BGJ196766 BQF196766 CAB196766 CJX196766 CTT196766 DDP196766 DNL196766 DXH196766 EHD196766 EQZ196766 FAV196766 FKR196766 FUN196766 GEJ196766 GOF196766 GYB196766 HHX196766 HRT196766 IBP196766 ILL196766 IVH196766 JFD196766 JOZ196766 JYV196766 KIR196766 KSN196766 LCJ196766 LMF196766 LWB196766 MFX196766 MPT196766 MZP196766 NJL196766 NTH196766 ODD196766 OMZ196766 OWV196766 PGR196766 PQN196766 QAJ196766 QKF196766 QUB196766 RDX196766 RNT196766 RXP196766 SHL196766 SRH196766 TBD196766 TKZ196766 TUV196766 UER196766 UON196766 UYJ196766 VIF196766 VSB196766 WBX196766 WLT196766 WVP196766 H262302 JD262302 SZ262302 ACV262302 AMR262302 AWN262302 BGJ262302 BQF262302 CAB262302 CJX262302 CTT262302 DDP262302 DNL262302 DXH262302 EHD262302 EQZ262302 FAV262302 FKR262302 FUN262302 GEJ262302 GOF262302 GYB262302 HHX262302 HRT262302 IBP262302 ILL262302 IVH262302 JFD262302 JOZ262302 JYV262302 KIR262302 KSN262302 LCJ262302 LMF262302 LWB262302 MFX262302 MPT262302 MZP262302 NJL262302 NTH262302 ODD262302 OMZ262302 OWV262302 PGR262302 PQN262302 QAJ262302 QKF262302 QUB262302 RDX262302 RNT262302 RXP262302 SHL262302 SRH262302 TBD262302 TKZ262302 TUV262302 UER262302 UON262302 UYJ262302 VIF262302 VSB262302 WBX262302 WLT262302 WVP262302 H327838 JD327838 SZ327838 ACV327838 AMR327838 AWN327838 BGJ327838 BQF327838 CAB327838 CJX327838 CTT327838 DDP327838 DNL327838 DXH327838 EHD327838 EQZ327838 FAV327838 FKR327838 FUN327838 GEJ327838 GOF327838 GYB327838 HHX327838 HRT327838 IBP327838 ILL327838 IVH327838 JFD327838 JOZ327838 JYV327838 KIR327838 KSN327838 LCJ327838 LMF327838 LWB327838 MFX327838 MPT327838 MZP327838 NJL327838 NTH327838 ODD327838 OMZ327838 OWV327838 PGR327838 PQN327838 QAJ327838 QKF327838 QUB327838 RDX327838 RNT327838 RXP327838 SHL327838 SRH327838 TBD327838 TKZ327838 TUV327838 UER327838 UON327838 UYJ327838 VIF327838 VSB327838 WBX327838 WLT327838 WVP327838 H393374 JD393374 SZ393374 ACV393374 AMR393374 AWN393374 BGJ393374 BQF393374 CAB393374 CJX393374 CTT393374 DDP393374 DNL393374 DXH393374 EHD393374 EQZ393374 FAV393374 FKR393374 FUN393374 GEJ393374 GOF393374 GYB393374 HHX393374 HRT393374 IBP393374 ILL393374 IVH393374 JFD393374 JOZ393374 JYV393374 KIR393374 KSN393374 LCJ393374 LMF393374 LWB393374 MFX393374 MPT393374 MZP393374 NJL393374 NTH393374 ODD393374 OMZ393374 OWV393374 PGR393374 PQN393374 QAJ393374 QKF393374 QUB393374 RDX393374 RNT393374 RXP393374 SHL393374 SRH393374 TBD393374 TKZ393374 TUV393374 UER393374 UON393374 UYJ393374 VIF393374 VSB393374 WBX393374 WLT393374 WVP393374 H458910 JD458910 SZ458910 ACV458910 AMR458910 AWN458910 BGJ458910 BQF458910 CAB458910 CJX458910 CTT458910 DDP458910 DNL458910 DXH458910 EHD458910 EQZ458910 FAV458910 FKR458910 FUN458910 GEJ458910 GOF458910 GYB458910 HHX458910 HRT458910 IBP458910 ILL458910 IVH458910 JFD458910 JOZ458910 JYV458910 KIR458910 KSN458910 LCJ458910 LMF458910 LWB458910 MFX458910 MPT458910 MZP458910 NJL458910 NTH458910 ODD458910 OMZ458910 OWV458910 PGR458910 PQN458910 QAJ458910 QKF458910 QUB458910 RDX458910 RNT458910 RXP458910 SHL458910 SRH458910 TBD458910 TKZ458910 TUV458910 UER458910 UON458910 UYJ458910 VIF458910 VSB458910 WBX458910 WLT458910 WVP458910 H524446 JD524446 SZ524446 ACV524446 AMR524446 AWN524446 BGJ524446 BQF524446 CAB524446 CJX524446 CTT524446 DDP524446 DNL524446 DXH524446 EHD524446 EQZ524446 FAV524446 FKR524446 FUN524446 GEJ524446 GOF524446 GYB524446 HHX524446 HRT524446 IBP524446 ILL524446 IVH524446 JFD524446 JOZ524446 JYV524446 KIR524446 KSN524446 LCJ524446 LMF524446 LWB524446 MFX524446 MPT524446 MZP524446 NJL524446 NTH524446 ODD524446 OMZ524446 OWV524446 PGR524446 PQN524446 QAJ524446 QKF524446 QUB524446 RDX524446 RNT524446 RXP524446 SHL524446 SRH524446 TBD524446 TKZ524446 TUV524446 UER524446 UON524446 UYJ524446 VIF524446 VSB524446 WBX524446 WLT524446 WVP524446 H589982 JD589982 SZ589982 ACV589982 AMR589982 AWN589982 BGJ589982 BQF589982 CAB589982 CJX589982 CTT589982 DDP589982 DNL589982 DXH589982 EHD589982 EQZ589982 FAV589982 FKR589982 FUN589982 GEJ589982 GOF589982 GYB589982 HHX589982 HRT589982 IBP589982 ILL589982 IVH589982 JFD589982 JOZ589982 JYV589982 KIR589982 KSN589982 LCJ589982 LMF589982 LWB589982 MFX589982 MPT589982 MZP589982 NJL589982 NTH589982 ODD589982 OMZ589982 OWV589982 PGR589982 PQN589982 QAJ589982 QKF589982 QUB589982 RDX589982 RNT589982 RXP589982 SHL589982 SRH589982 TBD589982 TKZ589982 TUV589982 UER589982 UON589982 UYJ589982 VIF589982 VSB589982 WBX589982 WLT589982 WVP589982 H655518 JD655518 SZ655518 ACV655518 AMR655518 AWN655518 BGJ655518 BQF655518 CAB655518 CJX655518 CTT655518 DDP655518 DNL655518 DXH655518 EHD655518 EQZ655518 FAV655518 FKR655518 FUN655518 GEJ655518 GOF655518 GYB655518 HHX655518 HRT655518 IBP655518 ILL655518 IVH655518 JFD655518 JOZ655518 JYV655518 KIR655518 KSN655518 LCJ655518 LMF655518 LWB655518 MFX655518 MPT655518 MZP655518 NJL655518 NTH655518 ODD655518 OMZ655518 OWV655518 PGR655518 PQN655518 QAJ655518 QKF655518 QUB655518 RDX655518 RNT655518 RXP655518 SHL655518 SRH655518 TBD655518 TKZ655518 TUV655518 UER655518 UON655518 UYJ655518 VIF655518 VSB655518 WBX655518 WLT655518 WVP655518 H721054 JD721054 SZ721054 ACV721054 AMR721054 AWN721054 BGJ721054 BQF721054 CAB721054 CJX721054 CTT721054 DDP721054 DNL721054 DXH721054 EHD721054 EQZ721054 FAV721054 FKR721054 FUN721054 GEJ721054 GOF721054 GYB721054 HHX721054 HRT721054 IBP721054 ILL721054 IVH721054 JFD721054 JOZ721054 JYV721054 KIR721054 KSN721054 LCJ721054 LMF721054 LWB721054 MFX721054 MPT721054 MZP721054 NJL721054 NTH721054 ODD721054 OMZ721054 OWV721054 PGR721054 PQN721054 QAJ721054 QKF721054 QUB721054 RDX721054 RNT721054 RXP721054 SHL721054 SRH721054 TBD721054 TKZ721054 TUV721054 UER721054 UON721054 UYJ721054 VIF721054 VSB721054 WBX721054 WLT721054 WVP721054 H786590 JD786590 SZ786590 ACV786590 AMR786590 AWN786590 BGJ786590 BQF786590 CAB786590 CJX786590 CTT786590 DDP786590 DNL786590 DXH786590 EHD786590 EQZ786590 FAV786590 FKR786590 FUN786590 GEJ786590 GOF786590 GYB786590 HHX786590 HRT786590 IBP786590 ILL786590 IVH786590 JFD786590 JOZ786590 JYV786590 KIR786590 KSN786590 LCJ786590 LMF786590 LWB786590 MFX786590 MPT786590 MZP786590 NJL786590 NTH786590 ODD786590 OMZ786590 OWV786590 PGR786590 PQN786590 QAJ786590 QKF786590 QUB786590 RDX786590 RNT786590 RXP786590 SHL786590 SRH786590 TBD786590 TKZ786590 TUV786590 UER786590 UON786590 UYJ786590 VIF786590 VSB786590 WBX786590 WLT786590 WVP786590 H852126 JD852126 SZ852126 ACV852126 AMR852126 AWN852126 BGJ852126 BQF852126 CAB852126 CJX852126 CTT852126 DDP852126 DNL852126 DXH852126 EHD852126 EQZ852126 FAV852126 FKR852126 FUN852126 GEJ852126 GOF852126 GYB852126 HHX852126 HRT852126 IBP852126 ILL852126 IVH852126 JFD852126 JOZ852126 JYV852126 KIR852126 KSN852126 LCJ852126 LMF852126 LWB852126 MFX852126 MPT852126 MZP852126 NJL852126 NTH852126 ODD852126 OMZ852126 OWV852126 PGR852126 PQN852126 QAJ852126 QKF852126 QUB852126 RDX852126 RNT852126 RXP852126 SHL852126 SRH852126 TBD852126 TKZ852126 TUV852126 UER852126 UON852126 UYJ852126 VIF852126 VSB852126 WBX852126 WLT852126 WVP852126 H917662 JD917662 SZ917662 ACV917662 AMR917662 AWN917662 BGJ917662 BQF917662 CAB917662 CJX917662 CTT917662 DDP917662 DNL917662 DXH917662 EHD917662 EQZ917662 FAV917662 FKR917662 FUN917662 GEJ917662 GOF917662 GYB917662 HHX917662 HRT917662 IBP917662 ILL917662 IVH917662 JFD917662 JOZ917662 JYV917662 KIR917662 KSN917662 LCJ917662 LMF917662 LWB917662 MFX917662 MPT917662 MZP917662 NJL917662 NTH917662 ODD917662 OMZ917662 OWV917662 PGR917662 PQN917662 QAJ917662 QKF917662 QUB917662 RDX917662 RNT917662 RXP917662 SHL917662 SRH917662 TBD917662 TKZ917662 TUV917662 UER917662 UON917662 UYJ917662 VIF917662 VSB917662 WBX917662 WLT917662 WVP917662 H983198 JD983198 SZ983198 ACV983198 AMR983198 AWN983198 BGJ983198 BQF983198 CAB983198 CJX983198 CTT983198 DDP983198 DNL983198 DXH983198 EHD983198 EQZ983198 FAV983198 FKR983198 FUN983198 GEJ983198 GOF983198 GYB983198 HHX983198 HRT983198 IBP983198 ILL983198 IVH983198 JFD983198 JOZ983198 JYV983198 KIR983198 KSN983198 LCJ983198 LMF983198 LWB983198 MFX983198 MPT983198 MZP983198 NJL983198 NTH983198 ODD983198 OMZ983198 OWV983198 PGR983198 PQN983198 QAJ983198 QKF983198 QUB983198 RDX983198 RNT983198 RXP983198 SHL983198 SRH983198 TBD983198 TKZ983198 TUV983198 UER983198 UON983198 UYJ983198 VIF983198 VSB983198 WBX983198 WLT983198 WVP983198 H50:I53 JD50:JE53 SZ50:TA53 ACV50:ACW53 AMR50:AMS53 AWN50:AWO53 BGJ50:BGK53 BQF50:BQG53 CAB50:CAC53 CJX50:CJY53 CTT50:CTU53 DDP50:DDQ53 DNL50:DNM53 DXH50:DXI53 EHD50:EHE53 EQZ50:ERA53 FAV50:FAW53 FKR50:FKS53 FUN50:FUO53 GEJ50:GEK53 GOF50:GOG53 GYB50:GYC53 HHX50:HHY53 HRT50:HRU53 IBP50:IBQ53 ILL50:ILM53 IVH50:IVI53 JFD50:JFE53 JOZ50:JPA53 JYV50:JYW53 KIR50:KIS53 KSN50:KSO53 LCJ50:LCK53 LMF50:LMG53 LWB50:LWC53 MFX50:MFY53 MPT50:MPU53 MZP50:MZQ53 NJL50:NJM53 NTH50:NTI53 ODD50:ODE53 OMZ50:ONA53 OWV50:OWW53 PGR50:PGS53 PQN50:PQO53 QAJ50:QAK53 QKF50:QKG53 QUB50:QUC53 RDX50:RDY53 RNT50:RNU53 RXP50:RXQ53 SHL50:SHM53 SRH50:SRI53 TBD50:TBE53 TKZ50:TLA53 TUV50:TUW53 UER50:UES53 UON50:UOO53 UYJ50:UYK53 VIF50:VIG53 VSB50:VSC53 WBX50:WBY53 WLT50:WLU53 WVP50:WVQ53 H65586:I65589 JD65586:JE65589 SZ65586:TA65589 ACV65586:ACW65589 AMR65586:AMS65589 AWN65586:AWO65589 BGJ65586:BGK65589 BQF65586:BQG65589 CAB65586:CAC65589 CJX65586:CJY65589 CTT65586:CTU65589 DDP65586:DDQ65589 DNL65586:DNM65589 DXH65586:DXI65589 EHD65586:EHE65589 EQZ65586:ERA65589 FAV65586:FAW65589 FKR65586:FKS65589 FUN65586:FUO65589 GEJ65586:GEK65589 GOF65586:GOG65589 GYB65586:GYC65589 HHX65586:HHY65589 HRT65586:HRU65589 IBP65586:IBQ65589 ILL65586:ILM65589 IVH65586:IVI65589 JFD65586:JFE65589 JOZ65586:JPA65589 JYV65586:JYW65589 KIR65586:KIS65589 KSN65586:KSO65589 LCJ65586:LCK65589 LMF65586:LMG65589 LWB65586:LWC65589 MFX65586:MFY65589 MPT65586:MPU65589 MZP65586:MZQ65589 NJL65586:NJM65589 NTH65586:NTI65589 ODD65586:ODE65589 OMZ65586:ONA65589 OWV65586:OWW65589 PGR65586:PGS65589 PQN65586:PQO65589 QAJ65586:QAK65589 QKF65586:QKG65589 QUB65586:QUC65589 RDX65586:RDY65589 RNT65586:RNU65589 RXP65586:RXQ65589 SHL65586:SHM65589 SRH65586:SRI65589 TBD65586:TBE65589 TKZ65586:TLA65589 TUV65586:TUW65589 UER65586:UES65589 UON65586:UOO65589 UYJ65586:UYK65589 VIF65586:VIG65589 VSB65586:VSC65589 WBX65586:WBY65589 WLT65586:WLU65589 WVP65586:WVQ65589 H131122:I131125 JD131122:JE131125 SZ131122:TA131125 ACV131122:ACW131125 AMR131122:AMS131125 AWN131122:AWO131125 BGJ131122:BGK131125 BQF131122:BQG131125 CAB131122:CAC131125 CJX131122:CJY131125 CTT131122:CTU131125 DDP131122:DDQ131125 DNL131122:DNM131125 DXH131122:DXI131125 EHD131122:EHE131125 EQZ131122:ERA131125 FAV131122:FAW131125 FKR131122:FKS131125 FUN131122:FUO131125 GEJ131122:GEK131125 GOF131122:GOG131125 GYB131122:GYC131125 HHX131122:HHY131125 HRT131122:HRU131125 IBP131122:IBQ131125 ILL131122:ILM131125 IVH131122:IVI131125 JFD131122:JFE131125 JOZ131122:JPA131125 JYV131122:JYW131125 KIR131122:KIS131125 KSN131122:KSO131125 LCJ131122:LCK131125 LMF131122:LMG131125 LWB131122:LWC131125 MFX131122:MFY131125 MPT131122:MPU131125 MZP131122:MZQ131125 NJL131122:NJM131125 NTH131122:NTI131125 ODD131122:ODE131125 OMZ131122:ONA131125 OWV131122:OWW131125 PGR131122:PGS131125 PQN131122:PQO131125 QAJ131122:QAK131125 QKF131122:QKG131125 QUB131122:QUC131125 RDX131122:RDY131125 RNT131122:RNU131125 RXP131122:RXQ131125 SHL131122:SHM131125 SRH131122:SRI131125 TBD131122:TBE131125 TKZ131122:TLA131125 TUV131122:TUW131125 UER131122:UES131125 UON131122:UOO131125 UYJ131122:UYK131125 VIF131122:VIG131125 VSB131122:VSC131125 WBX131122:WBY131125 WLT131122:WLU131125 WVP131122:WVQ131125 H196658:I196661 JD196658:JE196661 SZ196658:TA196661 ACV196658:ACW196661 AMR196658:AMS196661 AWN196658:AWO196661 BGJ196658:BGK196661 BQF196658:BQG196661 CAB196658:CAC196661 CJX196658:CJY196661 CTT196658:CTU196661 DDP196658:DDQ196661 DNL196658:DNM196661 DXH196658:DXI196661 EHD196658:EHE196661 EQZ196658:ERA196661 FAV196658:FAW196661 FKR196658:FKS196661 FUN196658:FUO196661 GEJ196658:GEK196661 GOF196658:GOG196661 GYB196658:GYC196661 HHX196658:HHY196661 HRT196658:HRU196661 IBP196658:IBQ196661 ILL196658:ILM196661 IVH196658:IVI196661 JFD196658:JFE196661 JOZ196658:JPA196661 JYV196658:JYW196661 KIR196658:KIS196661 KSN196658:KSO196661 LCJ196658:LCK196661 LMF196658:LMG196661 LWB196658:LWC196661 MFX196658:MFY196661 MPT196658:MPU196661 MZP196658:MZQ196661 NJL196658:NJM196661 NTH196658:NTI196661 ODD196658:ODE196661 OMZ196658:ONA196661 OWV196658:OWW196661 PGR196658:PGS196661 PQN196658:PQO196661 QAJ196658:QAK196661 QKF196658:QKG196661 QUB196658:QUC196661 RDX196658:RDY196661 RNT196658:RNU196661 RXP196658:RXQ196661 SHL196658:SHM196661 SRH196658:SRI196661 TBD196658:TBE196661 TKZ196658:TLA196661 TUV196658:TUW196661 UER196658:UES196661 UON196658:UOO196661 UYJ196658:UYK196661 VIF196658:VIG196661 VSB196658:VSC196661 WBX196658:WBY196661 WLT196658:WLU196661 WVP196658:WVQ196661 H262194:I262197 JD262194:JE262197 SZ262194:TA262197 ACV262194:ACW262197 AMR262194:AMS262197 AWN262194:AWO262197 BGJ262194:BGK262197 BQF262194:BQG262197 CAB262194:CAC262197 CJX262194:CJY262197 CTT262194:CTU262197 DDP262194:DDQ262197 DNL262194:DNM262197 DXH262194:DXI262197 EHD262194:EHE262197 EQZ262194:ERA262197 FAV262194:FAW262197 FKR262194:FKS262197 FUN262194:FUO262197 GEJ262194:GEK262197 GOF262194:GOG262197 GYB262194:GYC262197 HHX262194:HHY262197 HRT262194:HRU262197 IBP262194:IBQ262197 ILL262194:ILM262197 IVH262194:IVI262197 JFD262194:JFE262197 JOZ262194:JPA262197 JYV262194:JYW262197 KIR262194:KIS262197 KSN262194:KSO262197 LCJ262194:LCK262197 LMF262194:LMG262197 LWB262194:LWC262197 MFX262194:MFY262197 MPT262194:MPU262197 MZP262194:MZQ262197 NJL262194:NJM262197 NTH262194:NTI262197 ODD262194:ODE262197 OMZ262194:ONA262197 OWV262194:OWW262197 PGR262194:PGS262197 PQN262194:PQO262197 QAJ262194:QAK262197 QKF262194:QKG262197 QUB262194:QUC262197 RDX262194:RDY262197 RNT262194:RNU262197 RXP262194:RXQ262197 SHL262194:SHM262197 SRH262194:SRI262197 TBD262194:TBE262197 TKZ262194:TLA262197 TUV262194:TUW262197 UER262194:UES262197 UON262194:UOO262197 UYJ262194:UYK262197 VIF262194:VIG262197 VSB262194:VSC262197 WBX262194:WBY262197 WLT262194:WLU262197 WVP262194:WVQ262197 H327730:I327733 JD327730:JE327733 SZ327730:TA327733 ACV327730:ACW327733 AMR327730:AMS327733 AWN327730:AWO327733 BGJ327730:BGK327733 BQF327730:BQG327733 CAB327730:CAC327733 CJX327730:CJY327733 CTT327730:CTU327733 DDP327730:DDQ327733 DNL327730:DNM327733 DXH327730:DXI327733 EHD327730:EHE327733 EQZ327730:ERA327733 FAV327730:FAW327733 FKR327730:FKS327733 FUN327730:FUO327733 GEJ327730:GEK327733 GOF327730:GOG327733 GYB327730:GYC327733 HHX327730:HHY327733 HRT327730:HRU327733 IBP327730:IBQ327733 ILL327730:ILM327733 IVH327730:IVI327733 JFD327730:JFE327733 JOZ327730:JPA327733 JYV327730:JYW327733 KIR327730:KIS327733 KSN327730:KSO327733 LCJ327730:LCK327733 LMF327730:LMG327733 LWB327730:LWC327733 MFX327730:MFY327733 MPT327730:MPU327733 MZP327730:MZQ327733 NJL327730:NJM327733 NTH327730:NTI327733 ODD327730:ODE327733 OMZ327730:ONA327733 OWV327730:OWW327733 PGR327730:PGS327733 PQN327730:PQO327733 QAJ327730:QAK327733 QKF327730:QKG327733 QUB327730:QUC327733 RDX327730:RDY327733 RNT327730:RNU327733 RXP327730:RXQ327733 SHL327730:SHM327733 SRH327730:SRI327733 TBD327730:TBE327733 TKZ327730:TLA327733 TUV327730:TUW327733 UER327730:UES327733 UON327730:UOO327733 UYJ327730:UYK327733 VIF327730:VIG327733 VSB327730:VSC327733 WBX327730:WBY327733 WLT327730:WLU327733 WVP327730:WVQ327733 H393266:I393269 JD393266:JE393269 SZ393266:TA393269 ACV393266:ACW393269 AMR393266:AMS393269 AWN393266:AWO393269 BGJ393266:BGK393269 BQF393266:BQG393269 CAB393266:CAC393269 CJX393266:CJY393269 CTT393266:CTU393269 DDP393266:DDQ393269 DNL393266:DNM393269 DXH393266:DXI393269 EHD393266:EHE393269 EQZ393266:ERA393269 FAV393266:FAW393269 FKR393266:FKS393269 FUN393266:FUO393269 GEJ393266:GEK393269 GOF393266:GOG393269 GYB393266:GYC393269 HHX393266:HHY393269 HRT393266:HRU393269 IBP393266:IBQ393269 ILL393266:ILM393269 IVH393266:IVI393269 JFD393266:JFE393269 JOZ393266:JPA393269 JYV393266:JYW393269 KIR393266:KIS393269 KSN393266:KSO393269 LCJ393266:LCK393269 LMF393266:LMG393269 LWB393266:LWC393269 MFX393266:MFY393269 MPT393266:MPU393269 MZP393266:MZQ393269 NJL393266:NJM393269 NTH393266:NTI393269 ODD393266:ODE393269 OMZ393266:ONA393269 OWV393266:OWW393269 PGR393266:PGS393269 PQN393266:PQO393269 QAJ393266:QAK393269 QKF393266:QKG393269 QUB393266:QUC393269 RDX393266:RDY393269 RNT393266:RNU393269 RXP393266:RXQ393269 SHL393266:SHM393269 SRH393266:SRI393269 TBD393266:TBE393269 TKZ393266:TLA393269 TUV393266:TUW393269 UER393266:UES393269 UON393266:UOO393269 UYJ393266:UYK393269 VIF393266:VIG393269 VSB393266:VSC393269 WBX393266:WBY393269 WLT393266:WLU393269 WVP393266:WVQ393269 H458802:I458805 JD458802:JE458805 SZ458802:TA458805 ACV458802:ACW458805 AMR458802:AMS458805 AWN458802:AWO458805 BGJ458802:BGK458805 BQF458802:BQG458805 CAB458802:CAC458805 CJX458802:CJY458805 CTT458802:CTU458805 DDP458802:DDQ458805 DNL458802:DNM458805 DXH458802:DXI458805 EHD458802:EHE458805 EQZ458802:ERA458805 FAV458802:FAW458805 FKR458802:FKS458805 FUN458802:FUO458805 GEJ458802:GEK458805 GOF458802:GOG458805 GYB458802:GYC458805 HHX458802:HHY458805 HRT458802:HRU458805 IBP458802:IBQ458805 ILL458802:ILM458805 IVH458802:IVI458805 JFD458802:JFE458805 JOZ458802:JPA458805 JYV458802:JYW458805 KIR458802:KIS458805 KSN458802:KSO458805 LCJ458802:LCK458805 LMF458802:LMG458805 LWB458802:LWC458805 MFX458802:MFY458805 MPT458802:MPU458805 MZP458802:MZQ458805 NJL458802:NJM458805 NTH458802:NTI458805 ODD458802:ODE458805 OMZ458802:ONA458805 OWV458802:OWW458805 PGR458802:PGS458805 PQN458802:PQO458805 QAJ458802:QAK458805 QKF458802:QKG458805 QUB458802:QUC458805 RDX458802:RDY458805 RNT458802:RNU458805 RXP458802:RXQ458805 SHL458802:SHM458805 SRH458802:SRI458805 TBD458802:TBE458805 TKZ458802:TLA458805 TUV458802:TUW458805 UER458802:UES458805 UON458802:UOO458805 UYJ458802:UYK458805 VIF458802:VIG458805 VSB458802:VSC458805 WBX458802:WBY458805 WLT458802:WLU458805 WVP458802:WVQ458805 H524338:I524341 JD524338:JE524341 SZ524338:TA524341 ACV524338:ACW524341 AMR524338:AMS524341 AWN524338:AWO524341 BGJ524338:BGK524341 BQF524338:BQG524341 CAB524338:CAC524341 CJX524338:CJY524341 CTT524338:CTU524341 DDP524338:DDQ524341 DNL524338:DNM524341 DXH524338:DXI524341 EHD524338:EHE524341 EQZ524338:ERA524341 FAV524338:FAW524341 FKR524338:FKS524341 FUN524338:FUO524341 GEJ524338:GEK524341 GOF524338:GOG524341 GYB524338:GYC524341 HHX524338:HHY524341 HRT524338:HRU524341 IBP524338:IBQ524341 ILL524338:ILM524341 IVH524338:IVI524341 JFD524338:JFE524341 JOZ524338:JPA524341 JYV524338:JYW524341 KIR524338:KIS524341 KSN524338:KSO524341 LCJ524338:LCK524341 LMF524338:LMG524341 LWB524338:LWC524341 MFX524338:MFY524341 MPT524338:MPU524341 MZP524338:MZQ524341 NJL524338:NJM524341 NTH524338:NTI524341 ODD524338:ODE524341 OMZ524338:ONA524341 OWV524338:OWW524341 PGR524338:PGS524341 PQN524338:PQO524341 QAJ524338:QAK524341 QKF524338:QKG524341 QUB524338:QUC524341 RDX524338:RDY524341 RNT524338:RNU524341 RXP524338:RXQ524341 SHL524338:SHM524341 SRH524338:SRI524341 TBD524338:TBE524341 TKZ524338:TLA524341 TUV524338:TUW524341 UER524338:UES524341 UON524338:UOO524341 UYJ524338:UYK524341 VIF524338:VIG524341 VSB524338:VSC524341 WBX524338:WBY524341 WLT524338:WLU524341 WVP524338:WVQ524341 H589874:I589877 JD589874:JE589877 SZ589874:TA589877 ACV589874:ACW589877 AMR589874:AMS589877 AWN589874:AWO589877 BGJ589874:BGK589877 BQF589874:BQG589877 CAB589874:CAC589877 CJX589874:CJY589877 CTT589874:CTU589877 DDP589874:DDQ589877 DNL589874:DNM589877 DXH589874:DXI589877 EHD589874:EHE589877 EQZ589874:ERA589877 FAV589874:FAW589877 FKR589874:FKS589877 FUN589874:FUO589877 GEJ589874:GEK589877 GOF589874:GOG589877 GYB589874:GYC589877 HHX589874:HHY589877 HRT589874:HRU589877 IBP589874:IBQ589877 ILL589874:ILM589877 IVH589874:IVI589877 JFD589874:JFE589877 JOZ589874:JPA589877 JYV589874:JYW589877 KIR589874:KIS589877 KSN589874:KSO589877 LCJ589874:LCK589877 LMF589874:LMG589877 LWB589874:LWC589877 MFX589874:MFY589877 MPT589874:MPU589877 MZP589874:MZQ589877 NJL589874:NJM589877 NTH589874:NTI589877 ODD589874:ODE589877 OMZ589874:ONA589877 OWV589874:OWW589877 PGR589874:PGS589877 PQN589874:PQO589877 QAJ589874:QAK589877 QKF589874:QKG589877 QUB589874:QUC589877 RDX589874:RDY589877 RNT589874:RNU589877 RXP589874:RXQ589877 SHL589874:SHM589877 SRH589874:SRI589877 TBD589874:TBE589877 TKZ589874:TLA589877 TUV589874:TUW589877 UER589874:UES589877 UON589874:UOO589877 UYJ589874:UYK589877 VIF589874:VIG589877 VSB589874:VSC589877 WBX589874:WBY589877 WLT589874:WLU589877 WVP589874:WVQ589877 H655410:I655413 JD655410:JE655413 SZ655410:TA655413 ACV655410:ACW655413 AMR655410:AMS655413 AWN655410:AWO655413 BGJ655410:BGK655413 BQF655410:BQG655413 CAB655410:CAC655413 CJX655410:CJY655413 CTT655410:CTU655413 DDP655410:DDQ655413 DNL655410:DNM655413 DXH655410:DXI655413 EHD655410:EHE655413 EQZ655410:ERA655413 FAV655410:FAW655413 FKR655410:FKS655413 FUN655410:FUO655413 GEJ655410:GEK655413 GOF655410:GOG655413 GYB655410:GYC655413 HHX655410:HHY655413 HRT655410:HRU655413 IBP655410:IBQ655413 ILL655410:ILM655413 IVH655410:IVI655413 JFD655410:JFE655413 JOZ655410:JPA655413 JYV655410:JYW655413 KIR655410:KIS655413 KSN655410:KSO655413 LCJ655410:LCK655413 LMF655410:LMG655413 LWB655410:LWC655413 MFX655410:MFY655413 MPT655410:MPU655413 MZP655410:MZQ655413 NJL655410:NJM655413 NTH655410:NTI655413 ODD655410:ODE655413 OMZ655410:ONA655413 OWV655410:OWW655413 PGR655410:PGS655413 PQN655410:PQO655413 QAJ655410:QAK655413 QKF655410:QKG655413 QUB655410:QUC655413 RDX655410:RDY655413 RNT655410:RNU655413 RXP655410:RXQ655413 SHL655410:SHM655413 SRH655410:SRI655413 TBD655410:TBE655413 TKZ655410:TLA655413 TUV655410:TUW655413 UER655410:UES655413 UON655410:UOO655413 UYJ655410:UYK655413 VIF655410:VIG655413 VSB655410:VSC655413 WBX655410:WBY655413 WLT655410:WLU655413 WVP655410:WVQ655413 H720946:I720949 JD720946:JE720949 SZ720946:TA720949 ACV720946:ACW720949 AMR720946:AMS720949 AWN720946:AWO720949 BGJ720946:BGK720949 BQF720946:BQG720949 CAB720946:CAC720949 CJX720946:CJY720949 CTT720946:CTU720949 DDP720946:DDQ720949 DNL720946:DNM720949 DXH720946:DXI720949 EHD720946:EHE720949 EQZ720946:ERA720949 FAV720946:FAW720949 FKR720946:FKS720949 FUN720946:FUO720949 GEJ720946:GEK720949 GOF720946:GOG720949 GYB720946:GYC720949 HHX720946:HHY720949 HRT720946:HRU720949 IBP720946:IBQ720949 ILL720946:ILM720949 IVH720946:IVI720949 JFD720946:JFE720949 JOZ720946:JPA720949 JYV720946:JYW720949 KIR720946:KIS720949 KSN720946:KSO720949 LCJ720946:LCK720949 LMF720946:LMG720949 LWB720946:LWC720949 MFX720946:MFY720949 MPT720946:MPU720949 MZP720946:MZQ720949 NJL720946:NJM720949 NTH720946:NTI720949 ODD720946:ODE720949 OMZ720946:ONA720949 OWV720946:OWW720949 PGR720946:PGS720949 PQN720946:PQO720949 QAJ720946:QAK720949 QKF720946:QKG720949 QUB720946:QUC720949 RDX720946:RDY720949 RNT720946:RNU720949 RXP720946:RXQ720949 SHL720946:SHM720949 SRH720946:SRI720949 TBD720946:TBE720949 TKZ720946:TLA720949 TUV720946:TUW720949 UER720946:UES720949 UON720946:UOO720949 UYJ720946:UYK720949 VIF720946:VIG720949 VSB720946:VSC720949 WBX720946:WBY720949 WLT720946:WLU720949 WVP720946:WVQ720949 H786482:I786485 JD786482:JE786485 SZ786482:TA786485 ACV786482:ACW786485 AMR786482:AMS786485 AWN786482:AWO786485 BGJ786482:BGK786485 BQF786482:BQG786485 CAB786482:CAC786485 CJX786482:CJY786485 CTT786482:CTU786485 DDP786482:DDQ786485 DNL786482:DNM786485 DXH786482:DXI786485 EHD786482:EHE786485 EQZ786482:ERA786485 FAV786482:FAW786485 FKR786482:FKS786485 FUN786482:FUO786485 GEJ786482:GEK786485 GOF786482:GOG786485 GYB786482:GYC786485 HHX786482:HHY786485 HRT786482:HRU786485 IBP786482:IBQ786485 ILL786482:ILM786485 IVH786482:IVI786485 JFD786482:JFE786485 JOZ786482:JPA786485 JYV786482:JYW786485 KIR786482:KIS786485 KSN786482:KSO786485 LCJ786482:LCK786485 LMF786482:LMG786485 LWB786482:LWC786485 MFX786482:MFY786485 MPT786482:MPU786485 MZP786482:MZQ786485 NJL786482:NJM786485 NTH786482:NTI786485 ODD786482:ODE786485 OMZ786482:ONA786485 OWV786482:OWW786485 PGR786482:PGS786485 PQN786482:PQO786485 QAJ786482:QAK786485 QKF786482:QKG786485 QUB786482:QUC786485 RDX786482:RDY786485 RNT786482:RNU786485 RXP786482:RXQ786485 SHL786482:SHM786485 SRH786482:SRI786485 TBD786482:TBE786485 TKZ786482:TLA786485 TUV786482:TUW786485 UER786482:UES786485 UON786482:UOO786485 UYJ786482:UYK786485 VIF786482:VIG786485 VSB786482:VSC786485 WBX786482:WBY786485 WLT786482:WLU786485 WVP786482:WVQ786485 H852018:I852021 JD852018:JE852021 SZ852018:TA852021 ACV852018:ACW852021 AMR852018:AMS852021 AWN852018:AWO852021 BGJ852018:BGK852021 BQF852018:BQG852021 CAB852018:CAC852021 CJX852018:CJY852021 CTT852018:CTU852021 DDP852018:DDQ852021 DNL852018:DNM852021 DXH852018:DXI852021 EHD852018:EHE852021 EQZ852018:ERA852021 FAV852018:FAW852021 FKR852018:FKS852021 FUN852018:FUO852021 GEJ852018:GEK852021 GOF852018:GOG852021 GYB852018:GYC852021 HHX852018:HHY852021 HRT852018:HRU852021 IBP852018:IBQ852021 ILL852018:ILM852021 IVH852018:IVI852021 JFD852018:JFE852021 JOZ852018:JPA852021 JYV852018:JYW852021 KIR852018:KIS852021 KSN852018:KSO852021 LCJ852018:LCK852021 LMF852018:LMG852021 LWB852018:LWC852021 MFX852018:MFY852021 MPT852018:MPU852021 MZP852018:MZQ852021 NJL852018:NJM852021 NTH852018:NTI852021 ODD852018:ODE852021 OMZ852018:ONA852021 OWV852018:OWW852021 PGR852018:PGS852021 PQN852018:PQO852021 QAJ852018:QAK852021 QKF852018:QKG852021 QUB852018:QUC852021 RDX852018:RDY852021 RNT852018:RNU852021 RXP852018:RXQ852021 SHL852018:SHM852021 SRH852018:SRI852021 TBD852018:TBE852021 TKZ852018:TLA852021 TUV852018:TUW852021 UER852018:UES852021 UON852018:UOO852021 UYJ852018:UYK852021 VIF852018:VIG852021 VSB852018:VSC852021 WBX852018:WBY852021 WLT852018:WLU852021 WVP852018:WVQ852021 H917554:I917557 JD917554:JE917557 SZ917554:TA917557 ACV917554:ACW917557 AMR917554:AMS917557 AWN917554:AWO917557 BGJ917554:BGK917557 BQF917554:BQG917557 CAB917554:CAC917557 CJX917554:CJY917557 CTT917554:CTU917557 DDP917554:DDQ917557 DNL917554:DNM917557 DXH917554:DXI917557 EHD917554:EHE917557 EQZ917554:ERA917557 FAV917554:FAW917557 FKR917554:FKS917557 FUN917554:FUO917557 GEJ917554:GEK917557 GOF917554:GOG917557 GYB917554:GYC917557 HHX917554:HHY917557 HRT917554:HRU917557 IBP917554:IBQ917557 ILL917554:ILM917557 IVH917554:IVI917557 JFD917554:JFE917557 JOZ917554:JPA917557 JYV917554:JYW917557 KIR917554:KIS917557 KSN917554:KSO917557 LCJ917554:LCK917557 LMF917554:LMG917557 LWB917554:LWC917557 MFX917554:MFY917557 MPT917554:MPU917557 MZP917554:MZQ917557 NJL917554:NJM917557 NTH917554:NTI917557 ODD917554:ODE917557 OMZ917554:ONA917557 OWV917554:OWW917557 PGR917554:PGS917557 PQN917554:PQO917557 QAJ917554:QAK917557 QKF917554:QKG917557 QUB917554:QUC917557 RDX917554:RDY917557 RNT917554:RNU917557 RXP917554:RXQ917557 SHL917554:SHM917557 SRH917554:SRI917557 TBD917554:TBE917557 TKZ917554:TLA917557 TUV917554:TUW917557 UER917554:UES917557 UON917554:UOO917557 UYJ917554:UYK917557 VIF917554:VIG917557 VSB917554:VSC917557 WBX917554:WBY917557 WLT917554:WLU917557 WVP917554:WVQ917557 H983090:I983093 JD983090:JE983093 SZ983090:TA983093 ACV983090:ACW983093 AMR983090:AMS983093 AWN983090:AWO983093 BGJ983090:BGK983093 BQF983090:BQG983093 CAB983090:CAC983093 CJX983090:CJY983093 CTT983090:CTU983093 DDP983090:DDQ983093 DNL983090:DNM983093 DXH983090:DXI983093 EHD983090:EHE983093 EQZ983090:ERA983093 FAV983090:FAW983093 FKR983090:FKS983093 FUN983090:FUO983093 GEJ983090:GEK983093 GOF983090:GOG983093 GYB983090:GYC983093 HHX983090:HHY983093 HRT983090:HRU983093 IBP983090:IBQ983093 ILL983090:ILM983093 IVH983090:IVI983093 JFD983090:JFE983093 JOZ983090:JPA983093 JYV983090:JYW983093 KIR983090:KIS983093 KSN983090:KSO983093 LCJ983090:LCK983093 LMF983090:LMG983093 LWB983090:LWC983093 MFX983090:MFY983093 MPT983090:MPU983093 MZP983090:MZQ983093 NJL983090:NJM983093 NTH983090:NTI983093 ODD983090:ODE983093 OMZ983090:ONA983093 OWV983090:OWW983093 PGR983090:PGS983093 PQN983090:PQO983093 QAJ983090:QAK983093 QKF983090:QKG983093 QUB983090:QUC983093 RDX983090:RDY983093 RNT983090:RNU983093 RXP983090:RXQ983093 SHL983090:SHM983093 SRH983090:SRI983093 TBD983090:TBE983093 TKZ983090:TLA983093 TUV983090:TUW983093 UER983090:UES983093 UON983090:UOO983093 UYJ983090:UYK983093 VIF983090:VIG983093 VSB983090:VSC983093 WBX983090:WBY983093 WLT983090:WLU983093 WVP983090:WVQ983093 H159:I192 JD159:JE192 SZ159:TA192 ACV159:ACW192 AMR159:AMS192 AWN159:AWO192 BGJ159:BGK192 BQF159:BQG192 CAB159:CAC192 CJX159:CJY192 CTT159:CTU192 DDP159:DDQ192 DNL159:DNM192 DXH159:DXI192 EHD159:EHE192 EQZ159:ERA192 FAV159:FAW192 FKR159:FKS192 FUN159:FUO192 GEJ159:GEK192 GOF159:GOG192 GYB159:GYC192 HHX159:HHY192 HRT159:HRU192 IBP159:IBQ192 ILL159:ILM192 IVH159:IVI192 JFD159:JFE192 JOZ159:JPA192 JYV159:JYW192 KIR159:KIS192 KSN159:KSO192 LCJ159:LCK192 LMF159:LMG192 LWB159:LWC192 MFX159:MFY192 MPT159:MPU192 MZP159:MZQ192 NJL159:NJM192 NTH159:NTI192 ODD159:ODE192 OMZ159:ONA192 OWV159:OWW192 PGR159:PGS192 PQN159:PQO192 QAJ159:QAK192 QKF159:QKG192 QUB159:QUC192 RDX159:RDY192 RNT159:RNU192 RXP159:RXQ192 SHL159:SHM192 SRH159:SRI192 TBD159:TBE192 TKZ159:TLA192 TUV159:TUW192 UER159:UES192 UON159:UOO192 UYJ159:UYK192 VIF159:VIG192 VSB159:VSC192 WBX159:WBY192 WLT159:WLU192 WVP159:WVQ192 H65695:I65728 JD65695:JE65728 SZ65695:TA65728 ACV65695:ACW65728 AMR65695:AMS65728 AWN65695:AWO65728 BGJ65695:BGK65728 BQF65695:BQG65728 CAB65695:CAC65728 CJX65695:CJY65728 CTT65695:CTU65728 DDP65695:DDQ65728 DNL65695:DNM65728 DXH65695:DXI65728 EHD65695:EHE65728 EQZ65695:ERA65728 FAV65695:FAW65728 FKR65695:FKS65728 FUN65695:FUO65728 GEJ65695:GEK65728 GOF65695:GOG65728 GYB65695:GYC65728 HHX65695:HHY65728 HRT65695:HRU65728 IBP65695:IBQ65728 ILL65695:ILM65728 IVH65695:IVI65728 JFD65695:JFE65728 JOZ65695:JPA65728 JYV65695:JYW65728 KIR65695:KIS65728 KSN65695:KSO65728 LCJ65695:LCK65728 LMF65695:LMG65728 LWB65695:LWC65728 MFX65695:MFY65728 MPT65695:MPU65728 MZP65695:MZQ65728 NJL65695:NJM65728 NTH65695:NTI65728 ODD65695:ODE65728 OMZ65695:ONA65728 OWV65695:OWW65728 PGR65695:PGS65728 PQN65695:PQO65728 QAJ65695:QAK65728 QKF65695:QKG65728 QUB65695:QUC65728 RDX65695:RDY65728 RNT65695:RNU65728 RXP65695:RXQ65728 SHL65695:SHM65728 SRH65695:SRI65728 TBD65695:TBE65728 TKZ65695:TLA65728 TUV65695:TUW65728 UER65695:UES65728 UON65695:UOO65728 UYJ65695:UYK65728 VIF65695:VIG65728 VSB65695:VSC65728 WBX65695:WBY65728 WLT65695:WLU65728 WVP65695:WVQ65728 H131231:I131264 JD131231:JE131264 SZ131231:TA131264 ACV131231:ACW131264 AMR131231:AMS131264 AWN131231:AWO131264 BGJ131231:BGK131264 BQF131231:BQG131264 CAB131231:CAC131264 CJX131231:CJY131264 CTT131231:CTU131264 DDP131231:DDQ131264 DNL131231:DNM131264 DXH131231:DXI131264 EHD131231:EHE131264 EQZ131231:ERA131264 FAV131231:FAW131264 FKR131231:FKS131264 FUN131231:FUO131264 GEJ131231:GEK131264 GOF131231:GOG131264 GYB131231:GYC131264 HHX131231:HHY131264 HRT131231:HRU131264 IBP131231:IBQ131264 ILL131231:ILM131264 IVH131231:IVI131264 JFD131231:JFE131264 JOZ131231:JPA131264 JYV131231:JYW131264 KIR131231:KIS131264 KSN131231:KSO131264 LCJ131231:LCK131264 LMF131231:LMG131264 LWB131231:LWC131264 MFX131231:MFY131264 MPT131231:MPU131264 MZP131231:MZQ131264 NJL131231:NJM131264 NTH131231:NTI131264 ODD131231:ODE131264 OMZ131231:ONA131264 OWV131231:OWW131264 PGR131231:PGS131264 PQN131231:PQO131264 QAJ131231:QAK131264 QKF131231:QKG131264 QUB131231:QUC131264 RDX131231:RDY131264 RNT131231:RNU131264 RXP131231:RXQ131264 SHL131231:SHM131264 SRH131231:SRI131264 TBD131231:TBE131264 TKZ131231:TLA131264 TUV131231:TUW131264 UER131231:UES131264 UON131231:UOO131264 UYJ131231:UYK131264 VIF131231:VIG131264 VSB131231:VSC131264 WBX131231:WBY131264 WLT131231:WLU131264 WVP131231:WVQ131264 H196767:I196800 JD196767:JE196800 SZ196767:TA196800 ACV196767:ACW196800 AMR196767:AMS196800 AWN196767:AWO196800 BGJ196767:BGK196800 BQF196767:BQG196800 CAB196767:CAC196800 CJX196767:CJY196800 CTT196767:CTU196800 DDP196767:DDQ196800 DNL196767:DNM196800 DXH196767:DXI196800 EHD196767:EHE196800 EQZ196767:ERA196800 FAV196767:FAW196800 FKR196767:FKS196800 FUN196767:FUO196800 GEJ196767:GEK196800 GOF196767:GOG196800 GYB196767:GYC196800 HHX196767:HHY196800 HRT196767:HRU196800 IBP196767:IBQ196800 ILL196767:ILM196800 IVH196767:IVI196800 JFD196767:JFE196800 JOZ196767:JPA196800 JYV196767:JYW196800 KIR196767:KIS196800 KSN196767:KSO196800 LCJ196767:LCK196800 LMF196767:LMG196800 LWB196767:LWC196800 MFX196767:MFY196800 MPT196767:MPU196800 MZP196767:MZQ196800 NJL196767:NJM196800 NTH196767:NTI196800 ODD196767:ODE196800 OMZ196767:ONA196800 OWV196767:OWW196800 PGR196767:PGS196800 PQN196767:PQO196800 QAJ196767:QAK196800 QKF196767:QKG196800 QUB196767:QUC196800 RDX196767:RDY196800 RNT196767:RNU196800 RXP196767:RXQ196800 SHL196767:SHM196800 SRH196767:SRI196800 TBD196767:TBE196800 TKZ196767:TLA196800 TUV196767:TUW196800 UER196767:UES196800 UON196767:UOO196800 UYJ196767:UYK196800 VIF196767:VIG196800 VSB196767:VSC196800 WBX196767:WBY196800 WLT196767:WLU196800 WVP196767:WVQ196800 H262303:I262336 JD262303:JE262336 SZ262303:TA262336 ACV262303:ACW262336 AMR262303:AMS262336 AWN262303:AWO262336 BGJ262303:BGK262336 BQF262303:BQG262336 CAB262303:CAC262336 CJX262303:CJY262336 CTT262303:CTU262336 DDP262303:DDQ262336 DNL262303:DNM262336 DXH262303:DXI262336 EHD262303:EHE262336 EQZ262303:ERA262336 FAV262303:FAW262336 FKR262303:FKS262336 FUN262303:FUO262336 GEJ262303:GEK262336 GOF262303:GOG262336 GYB262303:GYC262336 HHX262303:HHY262336 HRT262303:HRU262336 IBP262303:IBQ262336 ILL262303:ILM262336 IVH262303:IVI262336 JFD262303:JFE262336 JOZ262303:JPA262336 JYV262303:JYW262336 KIR262303:KIS262336 KSN262303:KSO262336 LCJ262303:LCK262336 LMF262303:LMG262336 LWB262303:LWC262336 MFX262303:MFY262336 MPT262303:MPU262336 MZP262303:MZQ262336 NJL262303:NJM262336 NTH262303:NTI262336 ODD262303:ODE262336 OMZ262303:ONA262336 OWV262303:OWW262336 PGR262303:PGS262336 PQN262303:PQO262336 QAJ262303:QAK262336 QKF262303:QKG262336 QUB262303:QUC262336 RDX262303:RDY262336 RNT262303:RNU262336 RXP262303:RXQ262336 SHL262303:SHM262336 SRH262303:SRI262336 TBD262303:TBE262336 TKZ262303:TLA262336 TUV262303:TUW262336 UER262303:UES262336 UON262303:UOO262336 UYJ262303:UYK262336 VIF262303:VIG262336 VSB262303:VSC262336 WBX262303:WBY262336 WLT262303:WLU262336 WVP262303:WVQ262336 H327839:I327872 JD327839:JE327872 SZ327839:TA327872 ACV327839:ACW327872 AMR327839:AMS327872 AWN327839:AWO327872 BGJ327839:BGK327872 BQF327839:BQG327872 CAB327839:CAC327872 CJX327839:CJY327872 CTT327839:CTU327872 DDP327839:DDQ327872 DNL327839:DNM327872 DXH327839:DXI327872 EHD327839:EHE327872 EQZ327839:ERA327872 FAV327839:FAW327872 FKR327839:FKS327872 FUN327839:FUO327872 GEJ327839:GEK327872 GOF327839:GOG327872 GYB327839:GYC327872 HHX327839:HHY327872 HRT327839:HRU327872 IBP327839:IBQ327872 ILL327839:ILM327872 IVH327839:IVI327872 JFD327839:JFE327872 JOZ327839:JPA327872 JYV327839:JYW327872 KIR327839:KIS327872 KSN327839:KSO327872 LCJ327839:LCK327872 LMF327839:LMG327872 LWB327839:LWC327872 MFX327839:MFY327872 MPT327839:MPU327872 MZP327839:MZQ327872 NJL327839:NJM327872 NTH327839:NTI327872 ODD327839:ODE327872 OMZ327839:ONA327872 OWV327839:OWW327872 PGR327839:PGS327872 PQN327839:PQO327872 QAJ327839:QAK327872 QKF327839:QKG327872 QUB327839:QUC327872 RDX327839:RDY327872 RNT327839:RNU327872 RXP327839:RXQ327872 SHL327839:SHM327872 SRH327839:SRI327872 TBD327839:TBE327872 TKZ327839:TLA327872 TUV327839:TUW327872 UER327839:UES327872 UON327839:UOO327872 UYJ327839:UYK327872 VIF327839:VIG327872 VSB327839:VSC327872 WBX327839:WBY327872 WLT327839:WLU327872 WVP327839:WVQ327872 H393375:I393408 JD393375:JE393408 SZ393375:TA393408 ACV393375:ACW393408 AMR393375:AMS393408 AWN393375:AWO393408 BGJ393375:BGK393408 BQF393375:BQG393408 CAB393375:CAC393408 CJX393375:CJY393408 CTT393375:CTU393408 DDP393375:DDQ393408 DNL393375:DNM393408 DXH393375:DXI393408 EHD393375:EHE393408 EQZ393375:ERA393408 FAV393375:FAW393408 FKR393375:FKS393408 FUN393375:FUO393408 GEJ393375:GEK393408 GOF393375:GOG393408 GYB393375:GYC393408 HHX393375:HHY393408 HRT393375:HRU393408 IBP393375:IBQ393408 ILL393375:ILM393408 IVH393375:IVI393408 JFD393375:JFE393408 JOZ393375:JPA393408 JYV393375:JYW393408 KIR393375:KIS393408 KSN393375:KSO393408 LCJ393375:LCK393408 LMF393375:LMG393408 LWB393375:LWC393408 MFX393375:MFY393408 MPT393375:MPU393408 MZP393375:MZQ393408 NJL393375:NJM393408 NTH393375:NTI393408 ODD393375:ODE393408 OMZ393375:ONA393408 OWV393375:OWW393408 PGR393375:PGS393408 PQN393375:PQO393408 QAJ393375:QAK393408 QKF393375:QKG393408 QUB393375:QUC393408 RDX393375:RDY393408 RNT393375:RNU393408 RXP393375:RXQ393408 SHL393375:SHM393408 SRH393375:SRI393408 TBD393375:TBE393408 TKZ393375:TLA393408 TUV393375:TUW393408 UER393375:UES393408 UON393375:UOO393408 UYJ393375:UYK393408 VIF393375:VIG393408 VSB393375:VSC393408 WBX393375:WBY393408 WLT393375:WLU393408 WVP393375:WVQ393408 H458911:I458944 JD458911:JE458944 SZ458911:TA458944 ACV458911:ACW458944 AMR458911:AMS458944 AWN458911:AWO458944 BGJ458911:BGK458944 BQF458911:BQG458944 CAB458911:CAC458944 CJX458911:CJY458944 CTT458911:CTU458944 DDP458911:DDQ458944 DNL458911:DNM458944 DXH458911:DXI458944 EHD458911:EHE458944 EQZ458911:ERA458944 FAV458911:FAW458944 FKR458911:FKS458944 FUN458911:FUO458944 GEJ458911:GEK458944 GOF458911:GOG458944 GYB458911:GYC458944 HHX458911:HHY458944 HRT458911:HRU458944 IBP458911:IBQ458944 ILL458911:ILM458944 IVH458911:IVI458944 JFD458911:JFE458944 JOZ458911:JPA458944 JYV458911:JYW458944 KIR458911:KIS458944 KSN458911:KSO458944 LCJ458911:LCK458944 LMF458911:LMG458944 LWB458911:LWC458944 MFX458911:MFY458944 MPT458911:MPU458944 MZP458911:MZQ458944 NJL458911:NJM458944 NTH458911:NTI458944 ODD458911:ODE458944 OMZ458911:ONA458944 OWV458911:OWW458944 PGR458911:PGS458944 PQN458911:PQO458944 QAJ458911:QAK458944 QKF458911:QKG458944 QUB458911:QUC458944 RDX458911:RDY458944 RNT458911:RNU458944 RXP458911:RXQ458944 SHL458911:SHM458944 SRH458911:SRI458944 TBD458911:TBE458944 TKZ458911:TLA458944 TUV458911:TUW458944 UER458911:UES458944 UON458911:UOO458944 UYJ458911:UYK458944 VIF458911:VIG458944 VSB458911:VSC458944 WBX458911:WBY458944 WLT458911:WLU458944 WVP458911:WVQ458944 H524447:I524480 JD524447:JE524480 SZ524447:TA524480 ACV524447:ACW524480 AMR524447:AMS524480 AWN524447:AWO524480 BGJ524447:BGK524480 BQF524447:BQG524480 CAB524447:CAC524480 CJX524447:CJY524480 CTT524447:CTU524480 DDP524447:DDQ524480 DNL524447:DNM524480 DXH524447:DXI524480 EHD524447:EHE524480 EQZ524447:ERA524480 FAV524447:FAW524480 FKR524447:FKS524480 FUN524447:FUO524480 GEJ524447:GEK524480 GOF524447:GOG524480 GYB524447:GYC524480 HHX524447:HHY524480 HRT524447:HRU524480 IBP524447:IBQ524480 ILL524447:ILM524480 IVH524447:IVI524480 JFD524447:JFE524480 JOZ524447:JPA524480 JYV524447:JYW524480 KIR524447:KIS524480 KSN524447:KSO524480 LCJ524447:LCK524480 LMF524447:LMG524480 LWB524447:LWC524480 MFX524447:MFY524480 MPT524447:MPU524480 MZP524447:MZQ524480 NJL524447:NJM524480 NTH524447:NTI524480 ODD524447:ODE524480 OMZ524447:ONA524480 OWV524447:OWW524480 PGR524447:PGS524480 PQN524447:PQO524480 QAJ524447:QAK524480 QKF524447:QKG524480 QUB524447:QUC524480 RDX524447:RDY524480 RNT524447:RNU524480 RXP524447:RXQ524480 SHL524447:SHM524480 SRH524447:SRI524480 TBD524447:TBE524480 TKZ524447:TLA524480 TUV524447:TUW524480 UER524447:UES524480 UON524447:UOO524480 UYJ524447:UYK524480 VIF524447:VIG524480 VSB524447:VSC524480 WBX524447:WBY524480 WLT524447:WLU524480 WVP524447:WVQ524480 H589983:I590016 JD589983:JE590016 SZ589983:TA590016 ACV589983:ACW590016 AMR589983:AMS590016 AWN589983:AWO590016 BGJ589983:BGK590016 BQF589983:BQG590016 CAB589983:CAC590016 CJX589983:CJY590016 CTT589983:CTU590016 DDP589983:DDQ590016 DNL589983:DNM590016 DXH589983:DXI590016 EHD589983:EHE590016 EQZ589983:ERA590016 FAV589983:FAW590016 FKR589983:FKS590016 FUN589983:FUO590016 GEJ589983:GEK590016 GOF589983:GOG590016 GYB589983:GYC590016 HHX589983:HHY590016 HRT589983:HRU590016 IBP589983:IBQ590016 ILL589983:ILM590016 IVH589983:IVI590016 JFD589983:JFE590016 JOZ589983:JPA590016 JYV589983:JYW590016 KIR589983:KIS590016 KSN589983:KSO590016 LCJ589983:LCK590016 LMF589983:LMG590016 LWB589983:LWC590016 MFX589983:MFY590016 MPT589983:MPU590016 MZP589983:MZQ590016 NJL589983:NJM590016 NTH589983:NTI590016 ODD589983:ODE590016 OMZ589983:ONA590016 OWV589983:OWW590016 PGR589983:PGS590016 PQN589983:PQO590016 QAJ589983:QAK590016 QKF589983:QKG590016 QUB589983:QUC590016 RDX589983:RDY590016 RNT589983:RNU590016 RXP589983:RXQ590016 SHL589983:SHM590016 SRH589983:SRI590016 TBD589983:TBE590016 TKZ589983:TLA590016 TUV589983:TUW590016 UER589983:UES590016 UON589983:UOO590016 UYJ589983:UYK590016 VIF589983:VIG590016 VSB589983:VSC590016 WBX589983:WBY590016 WLT589983:WLU590016 WVP589983:WVQ590016 H655519:I655552 JD655519:JE655552 SZ655519:TA655552 ACV655519:ACW655552 AMR655519:AMS655552 AWN655519:AWO655552 BGJ655519:BGK655552 BQF655519:BQG655552 CAB655519:CAC655552 CJX655519:CJY655552 CTT655519:CTU655552 DDP655519:DDQ655552 DNL655519:DNM655552 DXH655519:DXI655552 EHD655519:EHE655552 EQZ655519:ERA655552 FAV655519:FAW655552 FKR655519:FKS655552 FUN655519:FUO655552 GEJ655519:GEK655552 GOF655519:GOG655552 GYB655519:GYC655552 HHX655519:HHY655552 HRT655519:HRU655552 IBP655519:IBQ655552 ILL655519:ILM655552 IVH655519:IVI655552 JFD655519:JFE655552 JOZ655519:JPA655552 JYV655519:JYW655552 KIR655519:KIS655552 KSN655519:KSO655552 LCJ655519:LCK655552 LMF655519:LMG655552 LWB655519:LWC655552 MFX655519:MFY655552 MPT655519:MPU655552 MZP655519:MZQ655552 NJL655519:NJM655552 NTH655519:NTI655552 ODD655519:ODE655552 OMZ655519:ONA655552 OWV655519:OWW655552 PGR655519:PGS655552 PQN655519:PQO655552 QAJ655519:QAK655552 QKF655519:QKG655552 QUB655519:QUC655552 RDX655519:RDY655552 RNT655519:RNU655552 RXP655519:RXQ655552 SHL655519:SHM655552 SRH655519:SRI655552 TBD655519:TBE655552 TKZ655519:TLA655552 TUV655519:TUW655552 UER655519:UES655552 UON655519:UOO655552 UYJ655519:UYK655552 VIF655519:VIG655552 VSB655519:VSC655552 WBX655519:WBY655552 WLT655519:WLU655552 WVP655519:WVQ655552 H721055:I721088 JD721055:JE721088 SZ721055:TA721088 ACV721055:ACW721088 AMR721055:AMS721088 AWN721055:AWO721088 BGJ721055:BGK721088 BQF721055:BQG721088 CAB721055:CAC721088 CJX721055:CJY721088 CTT721055:CTU721088 DDP721055:DDQ721088 DNL721055:DNM721088 DXH721055:DXI721088 EHD721055:EHE721088 EQZ721055:ERA721088 FAV721055:FAW721088 FKR721055:FKS721088 FUN721055:FUO721088 GEJ721055:GEK721088 GOF721055:GOG721088 GYB721055:GYC721088 HHX721055:HHY721088 HRT721055:HRU721088 IBP721055:IBQ721088 ILL721055:ILM721088 IVH721055:IVI721088 JFD721055:JFE721088 JOZ721055:JPA721088 JYV721055:JYW721088 KIR721055:KIS721088 KSN721055:KSO721088 LCJ721055:LCK721088 LMF721055:LMG721088 LWB721055:LWC721088 MFX721055:MFY721088 MPT721055:MPU721088 MZP721055:MZQ721088 NJL721055:NJM721088 NTH721055:NTI721088 ODD721055:ODE721088 OMZ721055:ONA721088 OWV721055:OWW721088 PGR721055:PGS721088 PQN721055:PQO721088 QAJ721055:QAK721088 QKF721055:QKG721088 QUB721055:QUC721088 RDX721055:RDY721088 RNT721055:RNU721088 RXP721055:RXQ721088 SHL721055:SHM721088 SRH721055:SRI721088 TBD721055:TBE721088 TKZ721055:TLA721088 TUV721055:TUW721088 UER721055:UES721088 UON721055:UOO721088 UYJ721055:UYK721088 VIF721055:VIG721088 VSB721055:VSC721088 WBX721055:WBY721088 WLT721055:WLU721088 WVP721055:WVQ721088 H786591:I786624 JD786591:JE786624 SZ786591:TA786624 ACV786591:ACW786624 AMR786591:AMS786624 AWN786591:AWO786624 BGJ786591:BGK786624 BQF786591:BQG786624 CAB786591:CAC786624 CJX786591:CJY786624 CTT786591:CTU786624 DDP786591:DDQ786624 DNL786591:DNM786624 DXH786591:DXI786624 EHD786591:EHE786624 EQZ786591:ERA786624 FAV786591:FAW786624 FKR786591:FKS786624 FUN786591:FUO786624 GEJ786591:GEK786624 GOF786591:GOG786624 GYB786591:GYC786624 HHX786591:HHY786624 HRT786591:HRU786624 IBP786591:IBQ786624 ILL786591:ILM786624 IVH786591:IVI786624 JFD786591:JFE786624 JOZ786591:JPA786624 JYV786591:JYW786624 KIR786591:KIS786624 KSN786591:KSO786624 LCJ786591:LCK786624 LMF786591:LMG786624 LWB786591:LWC786624 MFX786591:MFY786624 MPT786591:MPU786624 MZP786591:MZQ786624 NJL786591:NJM786624 NTH786591:NTI786624 ODD786591:ODE786624 OMZ786591:ONA786624 OWV786591:OWW786624 PGR786591:PGS786624 PQN786591:PQO786624 QAJ786591:QAK786624 QKF786591:QKG786624 QUB786591:QUC786624 RDX786591:RDY786624 RNT786591:RNU786624 RXP786591:RXQ786624 SHL786591:SHM786624 SRH786591:SRI786624 TBD786591:TBE786624 TKZ786591:TLA786624 TUV786591:TUW786624 UER786591:UES786624 UON786591:UOO786624 UYJ786591:UYK786624 VIF786591:VIG786624 VSB786591:VSC786624 WBX786591:WBY786624 WLT786591:WLU786624 WVP786591:WVQ786624 H852127:I852160 JD852127:JE852160 SZ852127:TA852160 ACV852127:ACW852160 AMR852127:AMS852160 AWN852127:AWO852160 BGJ852127:BGK852160 BQF852127:BQG852160 CAB852127:CAC852160 CJX852127:CJY852160 CTT852127:CTU852160 DDP852127:DDQ852160 DNL852127:DNM852160 DXH852127:DXI852160 EHD852127:EHE852160 EQZ852127:ERA852160 FAV852127:FAW852160 FKR852127:FKS852160 FUN852127:FUO852160 GEJ852127:GEK852160 GOF852127:GOG852160 GYB852127:GYC852160 HHX852127:HHY852160 HRT852127:HRU852160 IBP852127:IBQ852160 ILL852127:ILM852160 IVH852127:IVI852160 JFD852127:JFE852160 JOZ852127:JPA852160 JYV852127:JYW852160 KIR852127:KIS852160 KSN852127:KSO852160 LCJ852127:LCK852160 LMF852127:LMG852160 LWB852127:LWC852160 MFX852127:MFY852160 MPT852127:MPU852160 MZP852127:MZQ852160 NJL852127:NJM852160 NTH852127:NTI852160 ODD852127:ODE852160 OMZ852127:ONA852160 OWV852127:OWW852160 PGR852127:PGS852160 PQN852127:PQO852160 QAJ852127:QAK852160 QKF852127:QKG852160 QUB852127:QUC852160 RDX852127:RDY852160 RNT852127:RNU852160 RXP852127:RXQ852160 SHL852127:SHM852160 SRH852127:SRI852160 TBD852127:TBE852160 TKZ852127:TLA852160 TUV852127:TUW852160 UER852127:UES852160 UON852127:UOO852160 UYJ852127:UYK852160 VIF852127:VIG852160 VSB852127:VSC852160 WBX852127:WBY852160 WLT852127:WLU852160 WVP852127:WVQ852160 H917663:I917696 JD917663:JE917696 SZ917663:TA917696 ACV917663:ACW917696 AMR917663:AMS917696 AWN917663:AWO917696 BGJ917663:BGK917696 BQF917663:BQG917696 CAB917663:CAC917696 CJX917663:CJY917696 CTT917663:CTU917696 DDP917663:DDQ917696 DNL917663:DNM917696 DXH917663:DXI917696 EHD917663:EHE917696 EQZ917663:ERA917696 FAV917663:FAW917696 FKR917663:FKS917696 FUN917663:FUO917696 GEJ917663:GEK917696 GOF917663:GOG917696 GYB917663:GYC917696 HHX917663:HHY917696 HRT917663:HRU917696 IBP917663:IBQ917696 ILL917663:ILM917696 IVH917663:IVI917696 JFD917663:JFE917696 JOZ917663:JPA917696 JYV917663:JYW917696 KIR917663:KIS917696 KSN917663:KSO917696 LCJ917663:LCK917696 LMF917663:LMG917696 LWB917663:LWC917696 MFX917663:MFY917696 MPT917663:MPU917696 MZP917663:MZQ917696 NJL917663:NJM917696 NTH917663:NTI917696 ODD917663:ODE917696 OMZ917663:ONA917696 OWV917663:OWW917696 PGR917663:PGS917696 PQN917663:PQO917696 QAJ917663:QAK917696 QKF917663:QKG917696 QUB917663:QUC917696 RDX917663:RDY917696 RNT917663:RNU917696 RXP917663:RXQ917696 SHL917663:SHM917696 SRH917663:SRI917696 TBD917663:TBE917696 TKZ917663:TLA917696 TUV917663:TUW917696 UER917663:UES917696 UON917663:UOO917696 UYJ917663:UYK917696 VIF917663:VIG917696 VSB917663:VSC917696 WBX917663:WBY917696 WLT917663:WLU917696 WVP917663:WVQ917696 H983199:I983232 JD983199:JE983232 SZ983199:TA983232 ACV983199:ACW983232 AMR983199:AMS983232 AWN983199:AWO983232 BGJ983199:BGK983232 BQF983199:BQG983232 CAB983199:CAC983232 CJX983199:CJY983232 CTT983199:CTU983232 DDP983199:DDQ983232 DNL983199:DNM983232 DXH983199:DXI983232 EHD983199:EHE983232 EQZ983199:ERA983232 FAV983199:FAW983232 FKR983199:FKS983232 FUN983199:FUO983232 GEJ983199:GEK983232 GOF983199:GOG983232 GYB983199:GYC983232 HHX983199:HHY983232 HRT983199:HRU983232 IBP983199:IBQ983232 ILL983199:ILM983232 IVH983199:IVI983232 JFD983199:JFE983232 JOZ983199:JPA983232 JYV983199:JYW983232 KIR983199:KIS983232 KSN983199:KSO983232 LCJ983199:LCK983232 LMF983199:LMG983232 LWB983199:LWC983232 MFX983199:MFY983232 MPT983199:MPU983232 MZP983199:MZQ983232 NJL983199:NJM983232 NTH983199:NTI983232 ODD983199:ODE983232 OMZ983199:ONA983232 OWV983199:OWW983232 PGR983199:PGS983232 PQN983199:PQO983232 QAJ983199:QAK983232 QKF983199:QKG983232 QUB983199:QUC983232 RDX983199:RDY983232 RNT983199:RNU983232 RXP983199:RXQ983232 SHL983199:SHM983232 SRH983199:SRI983232 TBD983199:TBE983232 TKZ983199:TLA983232 TUV983199:TUW983232 UER983199:UES983232 UON983199:UOO983232 UYJ983199:UYK983232 VIF983199:VIG983232 VSB983199:VSC983232 WBX983199:WBY983232 WLT983199:WLU983232 WVP983199:WVQ983232 H48 JD48 SZ48 ACV48 AMR48 AWN48 BGJ48 BQF48 CAB48 CJX48 CTT48 DDP48 DNL48 DXH48 EHD48 EQZ48 FAV48 FKR48 FUN48 GEJ48 GOF48 GYB48 HHX48 HRT48 IBP48 ILL48 IVH48 JFD48 JOZ48 JYV48 KIR48 KSN48 LCJ48 LMF48 LWB48 MFX48 MPT48 MZP48 NJL48 NTH48 ODD48 OMZ48 OWV48 PGR48 PQN48 QAJ48 QKF48 QUB48 RDX48 RNT48 RXP48 SHL48 SRH48 TBD48 TKZ48 TUV48 UER48 UON48 UYJ48 VIF48 VSB48 WBX48 WLT48 WVP48 H65584 JD65584 SZ65584 ACV65584 AMR65584 AWN65584 BGJ65584 BQF65584 CAB65584 CJX65584 CTT65584 DDP65584 DNL65584 DXH65584 EHD65584 EQZ65584 FAV65584 FKR65584 FUN65584 GEJ65584 GOF65584 GYB65584 HHX65584 HRT65584 IBP65584 ILL65584 IVH65584 JFD65584 JOZ65584 JYV65584 KIR65584 KSN65584 LCJ65584 LMF65584 LWB65584 MFX65584 MPT65584 MZP65584 NJL65584 NTH65584 ODD65584 OMZ65584 OWV65584 PGR65584 PQN65584 QAJ65584 QKF65584 QUB65584 RDX65584 RNT65584 RXP65584 SHL65584 SRH65584 TBD65584 TKZ65584 TUV65584 UER65584 UON65584 UYJ65584 VIF65584 VSB65584 WBX65584 WLT65584 WVP65584 H131120 JD131120 SZ131120 ACV131120 AMR131120 AWN131120 BGJ131120 BQF131120 CAB131120 CJX131120 CTT131120 DDP131120 DNL131120 DXH131120 EHD131120 EQZ131120 FAV131120 FKR131120 FUN131120 GEJ131120 GOF131120 GYB131120 HHX131120 HRT131120 IBP131120 ILL131120 IVH131120 JFD131120 JOZ131120 JYV131120 KIR131120 KSN131120 LCJ131120 LMF131120 LWB131120 MFX131120 MPT131120 MZP131120 NJL131120 NTH131120 ODD131120 OMZ131120 OWV131120 PGR131120 PQN131120 QAJ131120 QKF131120 QUB131120 RDX131120 RNT131120 RXP131120 SHL131120 SRH131120 TBD131120 TKZ131120 TUV131120 UER131120 UON131120 UYJ131120 VIF131120 VSB131120 WBX131120 WLT131120 WVP131120 H196656 JD196656 SZ196656 ACV196656 AMR196656 AWN196656 BGJ196656 BQF196656 CAB196656 CJX196656 CTT196656 DDP196656 DNL196656 DXH196656 EHD196656 EQZ196656 FAV196656 FKR196656 FUN196656 GEJ196656 GOF196656 GYB196656 HHX196656 HRT196656 IBP196656 ILL196656 IVH196656 JFD196656 JOZ196656 JYV196656 KIR196656 KSN196656 LCJ196656 LMF196656 LWB196656 MFX196656 MPT196656 MZP196656 NJL196656 NTH196656 ODD196656 OMZ196656 OWV196656 PGR196656 PQN196656 QAJ196656 QKF196656 QUB196656 RDX196656 RNT196656 RXP196656 SHL196656 SRH196656 TBD196656 TKZ196656 TUV196656 UER196656 UON196656 UYJ196656 VIF196656 VSB196656 WBX196656 WLT196656 WVP196656 H262192 JD262192 SZ262192 ACV262192 AMR262192 AWN262192 BGJ262192 BQF262192 CAB262192 CJX262192 CTT262192 DDP262192 DNL262192 DXH262192 EHD262192 EQZ262192 FAV262192 FKR262192 FUN262192 GEJ262192 GOF262192 GYB262192 HHX262192 HRT262192 IBP262192 ILL262192 IVH262192 JFD262192 JOZ262192 JYV262192 KIR262192 KSN262192 LCJ262192 LMF262192 LWB262192 MFX262192 MPT262192 MZP262192 NJL262192 NTH262192 ODD262192 OMZ262192 OWV262192 PGR262192 PQN262192 QAJ262192 QKF262192 QUB262192 RDX262192 RNT262192 RXP262192 SHL262192 SRH262192 TBD262192 TKZ262192 TUV262192 UER262192 UON262192 UYJ262192 VIF262192 VSB262192 WBX262192 WLT262192 WVP262192 H327728 JD327728 SZ327728 ACV327728 AMR327728 AWN327728 BGJ327728 BQF327728 CAB327728 CJX327728 CTT327728 DDP327728 DNL327728 DXH327728 EHD327728 EQZ327728 FAV327728 FKR327728 FUN327728 GEJ327728 GOF327728 GYB327728 HHX327728 HRT327728 IBP327728 ILL327728 IVH327728 JFD327728 JOZ327728 JYV327728 KIR327728 KSN327728 LCJ327728 LMF327728 LWB327728 MFX327728 MPT327728 MZP327728 NJL327728 NTH327728 ODD327728 OMZ327728 OWV327728 PGR327728 PQN327728 QAJ327728 QKF327728 QUB327728 RDX327728 RNT327728 RXP327728 SHL327728 SRH327728 TBD327728 TKZ327728 TUV327728 UER327728 UON327728 UYJ327728 VIF327728 VSB327728 WBX327728 WLT327728 WVP327728 H393264 JD393264 SZ393264 ACV393264 AMR393264 AWN393264 BGJ393264 BQF393264 CAB393264 CJX393264 CTT393264 DDP393264 DNL393264 DXH393264 EHD393264 EQZ393264 FAV393264 FKR393264 FUN393264 GEJ393264 GOF393264 GYB393264 HHX393264 HRT393264 IBP393264 ILL393264 IVH393264 JFD393264 JOZ393264 JYV393264 KIR393264 KSN393264 LCJ393264 LMF393264 LWB393264 MFX393264 MPT393264 MZP393264 NJL393264 NTH393264 ODD393264 OMZ393264 OWV393264 PGR393264 PQN393264 QAJ393264 QKF393264 QUB393264 RDX393264 RNT393264 RXP393264 SHL393264 SRH393264 TBD393264 TKZ393264 TUV393264 UER393264 UON393264 UYJ393264 VIF393264 VSB393264 WBX393264 WLT393264 WVP393264 H458800 JD458800 SZ458800 ACV458800 AMR458800 AWN458800 BGJ458800 BQF458800 CAB458800 CJX458800 CTT458800 DDP458800 DNL458800 DXH458800 EHD458800 EQZ458800 FAV458800 FKR458800 FUN458800 GEJ458800 GOF458800 GYB458800 HHX458800 HRT458800 IBP458800 ILL458800 IVH458800 JFD458800 JOZ458800 JYV458800 KIR458800 KSN458800 LCJ458800 LMF458800 LWB458800 MFX458800 MPT458800 MZP458800 NJL458800 NTH458800 ODD458800 OMZ458800 OWV458800 PGR458800 PQN458800 QAJ458800 QKF458800 QUB458800 RDX458800 RNT458800 RXP458800 SHL458800 SRH458800 TBD458800 TKZ458800 TUV458800 UER458800 UON458800 UYJ458800 VIF458800 VSB458800 WBX458800 WLT458800 WVP458800 H524336 JD524336 SZ524336 ACV524336 AMR524336 AWN524336 BGJ524336 BQF524336 CAB524336 CJX524336 CTT524336 DDP524336 DNL524336 DXH524336 EHD524336 EQZ524336 FAV524336 FKR524336 FUN524336 GEJ524336 GOF524336 GYB524336 HHX524336 HRT524336 IBP524336 ILL524336 IVH524336 JFD524336 JOZ524336 JYV524336 KIR524336 KSN524336 LCJ524336 LMF524336 LWB524336 MFX524336 MPT524336 MZP524336 NJL524336 NTH524336 ODD524336 OMZ524336 OWV524336 PGR524336 PQN524336 QAJ524336 QKF524336 QUB524336 RDX524336 RNT524336 RXP524336 SHL524336 SRH524336 TBD524336 TKZ524336 TUV524336 UER524336 UON524336 UYJ524336 VIF524336 VSB524336 WBX524336 WLT524336 WVP524336 H589872 JD589872 SZ589872 ACV589872 AMR589872 AWN589872 BGJ589872 BQF589872 CAB589872 CJX589872 CTT589872 DDP589872 DNL589872 DXH589872 EHD589872 EQZ589872 FAV589872 FKR589872 FUN589872 GEJ589872 GOF589872 GYB589872 HHX589872 HRT589872 IBP589872 ILL589872 IVH589872 JFD589872 JOZ589872 JYV589872 KIR589872 KSN589872 LCJ589872 LMF589872 LWB589872 MFX589872 MPT589872 MZP589872 NJL589872 NTH589872 ODD589872 OMZ589872 OWV589872 PGR589872 PQN589872 QAJ589872 QKF589872 QUB589872 RDX589872 RNT589872 RXP589872 SHL589872 SRH589872 TBD589872 TKZ589872 TUV589872 UER589872 UON589872 UYJ589872 VIF589872 VSB589872 WBX589872 WLT589872 WVP589872 H655408 JD655408 SZ655408 ACV655408 AMR655408 AWN655408 BGJ655408 BQF655408 CAB655408 CJX655408 CTT655408 DDP655408 DNL655408 DXH655408 EHD655408 EQZ655408 FAV655408 FKR655408 FUN655408 GEJ655408 GOF655408 GYB655408 HHX655408 HRT655408 IBP655408 ILL655408 IVH655408 JFD655408 JOZ655408 JYV655408 KIR655408 KSN655408 LCJ655408 LMF655408 LWB655408 MFX655408 MPT655408 MZP655408 NJL655408 NTH655408 ODD655408 OMZ655408 OWV655408 PGR655408 PQN655408 QAJ655408 QKF655408 QUB655408 RDX655408 RNT655408 RXP655408 SHL655408 SRH655408 TBD655408 TKZ655408 TUV655408 UER655408 UON655408 UYJ655408 VIF655408 VSB655408 WBX655408 WLT655408 WVP655408 H720944 JD720944 SZ720944 ACV720944 AMR720944 AWN720944 BGJ720944 BQF720944 CAB720944 CJX720944 CTT720944 DDP720944 DNL720944 DXH720944 EHD720944 EQZ720944 FAV720944 FKR720944 FUN720944 GEJ720944 GOF720944 GYB720944 HHX720944 HRT720944 IBP720944 ILL720944 IVH720944 JFD720944 JOZ720944 JYV720944 KIR720944 KSN720944 LCJ720944 LMF720944 LWB720944 MFX720944 MPT720944 MZP720944 NJL720944 NTH720944 ODD720944 OMZ720944 OWV720944 PGR720944 PQN720944 QAJ720944 QKF720944 QUB720944 RDX720944 RNT720944 RXP720944 SHL720944 SRH720944 TBD720944 TKZ720944 TUV720944 UER720944 UON720944 UYJ720944 VIF720944 VSB720944 WBX720944 WLT720944 WVP720944 H786480 JD786480 SZ786480 ACV786480 AMR786480 AWN786480 BGJ786480 BQF786480 CAB786480 CJX786480 CTT786480 DDP786480 DNL786480 DXH786480 EHD786480 EQZ786480 FAV786480 FKR786480 FUN786480 GEJ786480 GOF786480 GYB786480 HHX786480 HRT786480 IBP786480 ILL786480 IVH786480 JFD786480 JOZ786480 JYV786480 KIR786480 KSN786480 LCJ786480 LMF786480 LWB786480 MFX786480 MPT786480 MZP786480 NJL786480 NTH786480 ODD786480 OMZ786480 OWV786480 PGR786480 PQN786480 QAJ786480 QKF786480 QUB786480 RDX786480 RNT786480 RXP786480 SHL786480 SRH786480 TBD786480 TKZ786480 TUV786480 UER786480 UON786480 UYJ786480 VIF786480 VSB786480 WBX786480 WLT786480 WVP786480 H852016 JD852016 SZ852016 ACV852016 AMR852016 AWN852016 BGJ852016 BQF852016 CAB852016 CJX852016 CTT852016 DDP852016 DNL852016 DXH852016 EHD852016 EQZ852016 FAV852016 FKR852016 FUN852016 GEJ852016 GOF852016 GYB852016 HHX852016 HRT852016 IBP852016 ILL852016 IVH852016 JFD852016 JOZ852016 JYV852016 KIR852016 KSN852016 LCJ852016 LMF852016 LWB852016 MFX852016 MPT852016 MZP852016 NJL852016 NTH852016 ODD852016 OMZ852016 OWV852016 PGR852016 PQN852016 QAJ852016 QKF852016 QUB852016 RDX852016 RNT852016 RXP852016 SHL852016 SRH852016 TBD852016 TKZ852016 TUV852016 UER852016 UON852016 UYJ852016 VIF852016 VSB852016 WBX852016 WLT852016 WVP852016 H917552 JD917552 SZ917552 ACV917552 AMR917552 AWN917552 BGJ917552 BQF917552 CAB917552 CJX917552 CTT917552 DDP917552 DNL917552 DXH917552 EHD917552 EQZ917552 FAV917552 FKR917552 FUN917552 GEJ917552 GOF917552 GYB917552 HHX917552 HRT917552 IBP917552 ILL917552 IVH917552 JFD917552 JOZ917552 JYV917552 KIR917552 KSN917552 LCJ917552 LMF917552 LWB917552 MFX917552 MPT917552 MZP917552 NJL917552 NTH917552 ODD917552 OMZ917552 OWV917552 PGR917552 PQN917552 QAJ917552 QKF917552 QUB917552 RDX917552 RNT917552 RXP917552 SHL917552 SRH917552 TBD917552 TKZ917552 TUV917552 UER917552 UON917552 UYJ917552 VIF917552 VSB917552 WBX917552 WLT917552 WVP917552 H983088 JD983088 SZ983088 ACV983088 AMR983088 AWN983088 BGJ983088 BQF983088 CAB983088 CJX983088 CTT983088 DDP983088 DNL983088 DXH983088 EHD983088 EQZ983088 FAV983088 FKR983088 FUN983088 GEJ983088 GOF983088 GYB983088 HHX983088 HRT983088 IBP983088 ILL983088 IVH983088 JFD983088 JOZ983088 JYV983088 KIR983088 KSN983088 LCJ983088 LMF983088 LWB983088 MFX983088 MPT983088 MZP983088 NJL983088 NTH983088 ODD983088 OMZ983088 OWV983088 PGR983088 PQN983088 QAJ983088 QKF983088 QUB983088 RDX983088 RNT983088 RXP983088 SHL983088 SRH983088 TBD983088 TKZ983088 TUV983088 UER983088 UON983088 UYJ983088 VIF983088 VSB983088 WBX983088 WLT983088 WVP983088 L150 JH150 TD150 ACZ150 AMV150 AWR150 BGN150 BQJ150 CAF150 CKB150 CTX150 DDT150 DNP150 DXL150 EHH150 ERD150 FAZ150 FKV150 FUR150 GEN150 GOJ150 GYF150 HIB150 HRX150 IBT150 ILP150 IVL150 JFH150 JPD150 JYZ150 KIV150 KSR150 LCN150 LMJ150 LWF150 MGB150 MPX150 MZT150 NJP150 NTL150 ODH150 OND150 OWZ150 PGV150 PQR150 QAN150 QKJ150 QUF150 REB150 RNX150 RXT150 SHP150 SRL150 TBH150 TLD150 TUZ150 UEV150 UOR150 UYN150 VIJ150 VSF150 WCB150 WLX150 WVT150 L65686 JH65686 TD65686 ACZ65686 AMV65686 AWR65686 BGN65686 BQJ65686 CAF65686 CKB65686 CTX65686 DDT65686 DNP65686 DXL65686 EHH65686 ERD65686 FAZ65686 FKV65686 FUR65686 GEN65686 GOJ65686 GYF65686 HIB65686 HRX65686 IBT65686 ILP65686 IVL65686 JFH65686 JPD65686 JYZ65686 KIV65686 KSR65686 LCN65686 LMJ65686 LWF65686 MGB65686 MPX65686 MZT65686 NJP65686 NTL65686 ODH65686 OND65686 OWZ65686 PGV65686 PQR65686 QAN65686 QKJ65686 QUF65686 REB65686 RNX65686 RXT65686 SHP65686 SRL65686 TBH65686 TLD65686 TUZ65686 UEV65686 UOR65686 UYN65686 VIJ65686 VSF65686 WCB65686 WLX65686 WVT65686 L131222 JH131222 TD131222 ACZ131222 AMV131222 AWR131222 BGN131222 BQJ131222 CAF131222 CKB131222 CTX131222 DDT131222 DNP131222 DXL131222 EHH131222 ERD131222 FAZ131222 FKV131222 FUR131222 GEN131222 GOJ131222 GYF131222 HIB131222 HRX131222 IBT131222 ILP131222 IVL131222 JFH131222 JPD131222 JYZ131222 KIV131222 KSR131222 LCN131222 LMJ131222 LWF131222 MGB131222 MPX131222 MZT131222 NJP131222 NTL131222 ODH131222 OND131222 OWZ131222 PGV131222 PQR131222 QAN131222 QKJ131222 QUF131222 REB131222 RNX131222 RXT131222 SHP131222 SRL131222 TBH131222 TLD131222 TUZ131222 UEV131222 UOR131222 UYN131222 VIJ131222 VSF131222 WCB131222 WLX131222 WVT131222 L196758 JH196758 TD196758 ACZ196758 AMV196758 AWR196758 BGN196758 BQJ196758 CAF196758 CKB196758 CTX196758 DDT196758 DNP196758 DXL196758 EHH196758 ERD196758 FAZ196758 FKV196758 FUR196758 GEN196758 GOJ196758 GYF196758 HIB196758 HRX196758 IBT196758 ILP196758 IVL196758 JFH196758 JPD196758 JYZ196758 KIV196758 KSR196758 LCN196758 LMJ196758 LWF196758 MGB196758 MPX196758 MZT196758 NJP196758 NTL196758 ODH196758 OND196758 OWZ196758 PGV196758 PQR196758 QAN196758 QKJ196758 QUF196758 REB196758 RNX196758 RXT196758 SHP196758 SRL196758 TBH196758 TLD196758 TUZ196758 UEV196758 UOR196758 UYN196758 VIJ196758 VSF196758 WCB196758 WLX196758 WVT196758 L262294 JH262294 TD262294 ACZ262294 AMV262294 AWR262294 BGN262294 BQJ262294 CAF262294 CKB262294 CTX262294 DDT262294 DNP262294 DXL262294 EHH262294 ERD262294 FAZ262294 FKV262294 FUR262294 GEN262294 GOJ262294 GYF262294 HIB262294 HRX262294 IBT262294 ILP262294 IVL262294 JFH262294 JPD262294 JYZ262294 KIV262294 KSR262294 LCN262294 LMJ262294 LWF262294 MGB262294 MPX262294 MZT262294 NJP262294 NTL262294 ODH262294 OND262294 OWZ262294 PGV262294 PQR262294 QAN262294 QKJ262294 QUF262294 REB262294 RNX262294 RXT262294 SHP262294 SRL262294 TBH262294 TLD262294 TUZ262294 UEV262294 UOR262294 UYN262294 VIJ262294 VSF262294 WCB262294 WLX262294 WVT262294 L327830 JH327830 TD327830 ACZ327830 AMV327830 AWR327830 BGN327830 BQJ327830 CAF327830 CKB327830 CTX327830 DDT327830 DNP327830 DXL327830 EHH327830 ERD327830 FAZ327830 FKV327830 FUR327830 GEN327830 GOJ327830 GYF327830 HIB327830 HRX327830 IBT327830 ILP327830 IVL327830 JFH327830 JPD327830 JYZ327830 KIV327830 KSR327830 LCN327830 LMJ327830 LWF327830 MGB327830 MPX327830 MZT327830 NJP327830 NTL327830 ODH327830 OND327830 OWZ327830 PGV327830 PQR327830 QAN327830 QKJ327830 QUF327830 REB327830 RNX327830 RXT327830 SHP327830 SRL327830 TBH327830 TLD327830 TUZ327830 UEV327830 UOR327830 UYN327830 VIJ327830 VSF327830 WCB327830 WLX327830 WVT327830 L393366 JH393366 TD393366 ACZ393366 AMV393366 AWR393366 BGN393366 BQJ393366 CAF393366 CKB393366 CTX393366 DDT393366 DNP393366 DXL393366 EHH393366 ERD393366 FAZ393366 FKV393366 FUR393366 GEN393366 GOJ393366 GYF393366 HIB393366 HRX393366 IBT393366 ILP393366 IVL393366 JFH393366 JPD393366 JYZ393366 KIV393366 KSR393366 LCN393366 LMJ393366 LWF393366 MGB393366 MPX393366 MZT393366 NJP393366 NTL393366 ODH393366 OND393366 OWZ393366 PGV393366 PQR393366 QAN393366 QKJ393366 QUF393366 REB393366 RNX393366 RXT393366 SHP393366 SRL393366 TBH393366 TLD393366 TUZ393366 UEV393366 UOR393366 UYN393366 VIJ393366 VSF393366 WCB393366 WLX393366 WVT393366 L458902 JH458902 TD458902 ACZ458902 AMV458902 AWR458902 BGN458902 BQJ458902 CAF458902 CKB458902 CTX458902 DDT458902 DNP458902 DXL458902 EHH458902 ERD458902 FAZ458902 FKV458902 FUR458902 GEN458902 GOJ458902 GYF458902 HIB458902 HRX458902 IBT458902 ILP458902 IVL458902 JFH458902 JPD458902 JYZ458902 KIV458902 KSR458902 LCN458902 LMJ458902 LWF458902 MGB458902 MPX458902 MZT458902 NJP458902 NTL458902 ODH458902 OND458902 OWZ458902 PGV458902 PQR458902 QAN458902 QKJ458902 QUF458902 REB458902 RNX458902 RXT458902 SHP458902 SRL458902 TBH458902 TLD458902 TUZ458902 UEV458902 UOR458902 UYN458902 VIJ458902 VSF458902 WCB458902 WLX458902 WVT458902 L524438 JH524438 TD524438 ACZ524438 AMV524438 AWR524438 BGN524438 BQJ524438 CAF524438 CKB524438 CTX524438 DDT524438 DNP524438 DXL524438 EHH524438 ERD524438 FAZ524438 FKV524438 FUR524438 GEN524438 GOJ524438 GYF524438 HIB524438 HRX524438 IBT524438 ILP524438 IVL524438 JFH524438 JPD524438 JYZ524438 KIV524438 KSR524438 LCN524438 LMJ524438 LWF524438 MGB524438 MPX524438 MZT524438 NJP524438 NTL524438 ODH524438 OND524438 OWZ524438 PGV524438 PQR524438 QAN524438 QKJ524438 QUF524438 REB524438 RNX524438 RXT524438 SHP524438 SRL524438 TBH524438 TLD524438 TUZ524438 UEV524438 UOR524438 UYN524438 VIJ524438 VSF524438 WCB524438 WLX524438 WVT524438 L589974 JH589974 TD589974 ACZ589974 AMV589974 AWR589974 BGN589974 BQJ589974 CAF589974 CKB589974 CTX589974 DDT589974 DNP589974 DXL589974 EHH589974 ERD589974 FAZ589974 FKV589974 FUR589974 GEN589974 GOJ589974 GYF589974 HIB589974 HRX589974 IBT589974 ILP589974 IVL589974 JFH589974 JPD589974 JYZ589974 KIV589974 KSR589974 LCN589974 LMJ589974 LWF589974 MGB589974 MPX589974 MZT589974 NJP589974 NTL589974 ODH589974 OND589974 OWZ589974 PGV589974 PQR589974 QAN589974 QKJ589974 QUF589974 REB589974 RNX589974 RXT589974 SHP589974 SRL589974 TBH589974 TLD589974 TUZ589974 UEV589974 UOR589974 UYN589974 VIJ589974 VSF589974 WCB589974 WLX589974 WVT589974 L655510 JH655510 TD655510 ACZ655510 AMV655510 AWR655510 BGN655510 BQJ655510 CAF655510 CKB655510 CTX655510 DDT655510 DNP655510 DXL655510 EHH655510 ERD655510 FAZ655510 FKV655510 FUR655510 GEN655510 GOJ655510 GYF655510 HIB655510 HRX655510 IBT655510 ILP655510 IVL655510 JFH655510 JPD655510 JYZ655510 KIV655510 KSR655510 LCN655510 LMJ655510 LWF655510 MGB655510 MPX655510 MZT655510 NJP655510 NTL655510 ODH655510 OND655510 OWZ655510 PGV655510 PQR655510 QAN655510 QKJ655510 QUF655510 REB655510 RNX655510 RXT655510 SHP655510 SRL655510 TBH655510 TLD655510 TUZ655510 UEV655510 UOR655510 UYN655510 VIJ655510 VSF655510 WCB655510 WLX655510 WVT655510 L721046 JH721046 TD721046 ACZ721046 AMV721046 AWR721046 BGN721046 BQJ721046 CAF721046 CKB721046 CTX721046 DDT721046 DNP721046 DXL721046 EHH721046 ERD721046 FAZ721046 FKV721046 FUR721046 GEN721046 GOJ721046 GYF721046 HIB721046 HRX721046 IBT721046 ILP721046 IVL721046 JFH721046 JPD721046 JYZ721046 KIV721046 KSR721046 LCN721046 LMJ721046 LWF721046 MGB721046 MPX721046 MZT721046 NJP721046 NTL721046 ODH721046 OND721046 OWZ721046 PGV721046 PQR721046 QAN721046 QKJ721046 QUF721046 REB721046 RNX721046 RXT721046 SHP721046 SRL721046 TBH721046 TLD721046 TUZ721046 UEV721046 UOR721046 UYN721046 VIJ721046 VSF721046 WCB721046 WLX721046 WVT721046 L786582 JH786582 TD786582 ACZ786582 AMV786582 AWR786582 BGN786582 BQJ786582 CAF786582 CKB786582 CTX786582 DDT786582 DNP786582 DXL786582 EHH786582 ERD786582 FAZ786582 FKV786582 FUR786582 GEN786582 GOJ786582 GYF786582 HIB786582 HRX786582 IBT786582 ILP786582 IVL786582 JFH786582 JPD786582 JYZ786582 KIV786582 KSR786582 LCN786582 LMJ786582 LWF786582 MGB786582 MPX786582 MZT786582 NJP786582 NTL786582 ODH786582 OND786582 OWZ786582 PGV786582 PQR786582 QAN786582 QKJ786582 QUF786582 REB786582 RNX786582 RXT786582 SHP786582 SRL786582 TBH786582 TLD786582 TUZ786582 UEV786582 UOR786582 UYN786582 VIJ786582 VSF786582 WCB786582 WLX786582 WVT786582 L852118 JH852118 TD852118 ACZ852118 AMV852118 AWR852118 BGN852118 BQJ852118 CAF852118 CKB852118 CTX852118 DDT852118 DNP852118 DXL852118 EHH852118 ERD852118 FAZ852118 FKV852118 FUR852118 GEN852118 GOJ852118 GYF852118 HIB852118 HRX852118 IBT852118 ILP852118 IVL852118 JFH852118 JPD852118 JYZ852118 KIV852118 KSR852118 LCN852118 LMJ852118 LWF852118 MGB852118 MPX852118 MZT852118 NJP852118 NTL852118 ODH852118 OND852118 OWZ852118 PGV852118 PQR852118 QAN852118 QKJ852118 QUF852118 REB852118 RNX852118 RXT852118 SHP852118 SRL852118 TBH852118 TLD852118 TUZ852118 UEV852118 UOR852118 UYN852118 VIJ852118 VSF852118 WCB852118 WLX852118 WVT852118 L917654 JH917654 TD917654 ACZ917654 AMV917654 AWR917654 BGN917654 BQJ917654 CAF917654 CKB917654 CTX917654 DDT917654 DNP917654 DXL917654 EHH917654 ERD917654 FAZ917654 FKV917654 FUR917654 GEN917654 GOJ917654 GYF917654 HIB917654 HRX917654 IBT917654 ILP917654 IVL917654 JFH917654 JPD917654 JYZ917654 KIV917654 KSR917654 LCN917654 LMJ917654 LWF917654 MGB917654 MPX917654 MZT917654 NJP917654 NTL917654 ODH917654 OND917654 OWZ917654 PGV917654 PQR917654 QAN917654 QKJ917654 QUF917654 REB917654 RNX917654 RXT917654 SHP917654 SRL917654 TBH917654 TLD917654 TUZ917654 UEV917654 UOR917654 UYN917654 VIJ917654 VSF917654 WCB917654 WLX917654 WVT917654 L983190 JH983190 TD983190 ACZ983190 AMV983190 AWR983190 BGN983190 BQJ983190 CAF983190 CKB983190 CTX983190 DDT983190 DNP983190 DXL983190 EHH983190 ERD983190 FAZ983190 FKV983190 FUR983190 GEN983190 GOJ983190 GYF983190 HIB983190 HRX983190 IBT983190 ILP983190 IVL983190 JFH983190 JPD983190 JYZ983190 KIV983190 KSR983190 LCN983190 LMJ983190 LWF983190 MGB983190 MPX983190 MZT983190 NJP983190 NTL983190 ODH983190 OND983190 OWZ983190 PGV983190 PQR983190 QAN983190 QKJ983190 QUF983190 REB983190 RNX983190 RXT983190 SHP983190 SRL983190 TBH983190 TLD983190 TUZ983190 UEV983190 UOR983190 UYN983190 VIJ983190 VSF983190 WCB983190 WLX983190 WVT983190 N150:O150 JJ150:JK150 TF150:TG150 ADB150:ADC150 AMX150:AMY150 AWT150:AWU150 BGP150:BGQ150 BQL150:BQM150 CAH150:CAI150 CKD150:CKE150 CTZ150:CUA150 DDV150:DDW150 DNR150:DNS150 DXN150:DXO150 EHJ150:EHK150 ERF150:ERG150 FBB150:FBC150 FKX150:FKY150 FUT150:FUU150 GEP150:GEQ150 GOL150:GOM150 GYH150:GYI150 HID150:HIE150 HRZ150:HSA150 IBV150:IBW150 ILR150:ILS150 IVN150:IVO150 JFJ150:JFK150 JPF150:JPG150 JZB150:JZC150 KIX150:KIY150 KST150:KSU150 LCP150:LCQ150 LML150:LMM150 LWH150:LWI150 MGD150:MGE150 MPZ150:MQA150 MZV150:MZW150 NJR150:NJS150 NTN150:NTO150 ODJ150:ODK150 ONF150:ONG150 OXB150:OXC150 PGX150:PGY150 PQT150:PQU150 QAP150:QAQ150 QKL150:QKM150 QUH150:QUI150 RED150:REE150 RNZ150:ROA150 RXV150:RXW150 SHR150:SHS150 SRN150:SRO150 TBJ150:TBK150 TLF150:TLG150 TVB150:TVC150 UEX150:UEY150 UOT150:UOU150 UYP150:UYQ150 VIL150:VIM150 VSH150:VSI150 WCD150:WCE150 WLZ150:WMA150 WVV150:WVW150 N65686:O65686 JJ65686:JK65686 TF65686:TG65686 ADB65686:ADC65686 AMX65686:AMY65686 AWT65686:AWU65686 BGP65686:BGQ65686 BQL65686:BQM65686 CAH65686:CAI65686 CKD65686:CKE65686 CTZ65686:CUA65686 DDV65686:DDW65686 DNR65686:DNS65686 DXN65686:DXO65686 EHJ65686:EHK65686 ERF65686:ERG65686 FBB65686:FBC65686 FKX65686:FKY65686 FUT65686:FUU65686 GEP65686:GEQ65686 GOL65686:GOM65686 GYH65686:GYI65686 HID65686:HIE65686 HRZ65686:HSA65686 IBV65686:IBW65686 ILR65686:ILS65686 IVN65686:IVO65686 JFJ65686:JFK65686 JPF65686:JPG65686 JZB65686:JZC65686 KIX65686:KIY65686 KST65686:KSU65686 LCP65686:LCQ65686 LML65686:LMM65686 LWH65686:LWI65686 MGD65686:MGE65686 MPZ65686:MQA65686 MZV65686:MZW65686 NJR65686:NJS65686 NTN65686:NTO65686 ODJ65686:ODK65686 ONF65686:ONG65686 OXB65686:OXC65686 PGX65686:PGY65686 PQT65686:PQU65686 QAP65686:QAQ65686 QKL65686:QKM65686 QUH65686:QUI65686 RED65686:REE65686 RNZ65686:ROA65686 RXV65686:RXW65686 SHR65686:SHS65686 SRN65686:SRO65686 TBJ65686:TBK65686 TLF65686:TLG65686 TVB65686:TVC65686 UEX65686:UEY65686 UOT65686:UOU65686 UYP65686:UYQ65686 VIL65686:VIM65686 VSH65686:VSI65686 WCD65686:WCE65686 WLZ65686:WMA65686 WVV65686:WVW65686 N131222:O131222 JJ131222:JK131222 TF131222:TG131222 ADB131222:ADC131222 AMX131222:AMY131222 AWT131222:AWU131222 BGP131222:BGQ131222 BQL131222:BQM131222 CAH131222:CAI131222 CKD131222:CKE131222 CTZ131222:CUA131222 DDV131222:DDW131222 DNR131222:DNS131222 DXN131222:DXO131222 EHJ131222:EHK131222 ERF131222:ERG131222 FBB131222:FBC131222 FKX131222:FKY131222 FUT131222:FUU131222 GEP131222:GEQ131222 GOL131222:GOM131222 GYH131222:GYI131222 HID131222:HIE131222 HRZ131222:HSA131222 IBV131222:IBW131222 ILR131222:ILS131222 IVN131222:IVO131222 JFJ131222:JFK131222 JPF131222:JPG131222 JZB131222:JZC131222 KIX131222:KIY131222 KST131222:KSU131222 LCP131222:LCQ131222 LML131222:LMM131222 LWH131222:LWI131222 MGD131222:MGE131222 MPZ131222:MQA131222 MZV131222:MZW131222 NJR131222:NJS131222 NTN131222:NTO131222 ODJ131222:ODK131222 ONF131222:ONG131222 OXB131222:OXC131222 PGX131222:PGY131222 PQT131222:PQU131222 QAP131222:QAQ131222 QKL131222:QKM131222 QUH131222:QUI131222 RED131222:REE131222 RNZ131222:ROA131222 RXV131222:RXW131222 SHR131222:SHS131222 SRN131222:SRO131222 TBJ131222:TBK131222 TLF131222:TLG131222 TVB131222:TVC131222 UEX131222:UEY131222 UOT131222:UOU131222 UYP131222:UYQ131222 VIL131222:VIM131222 VSH131222:VSI131222 WCD131222:WCE131222 WLZ131222:WMA131222 WVV131222:WVW131222 N196758:O196758 JJ196758:JK196758 TF196758:TG196758 ADB196758:ADC196758 AMX196758:AMY196758 AWT196758:AWU196758 BGP196758:BGQ196758 BQL196758:BQM196758 CAH196758:CAI196758 CKD196758:CKE196758 CTZ196758:CUA196758 DDV196758:DDW196758 DNR196758:DNS196758 DXN196758:DXO196758 EHJ196758:EHK196758 ERF196758:ERG196758 FBB196758:FBC196758 FKX196758:FKY196758 FUT196758:FUU196758 GEP196758:GEQ196758 GOL196758:GOM196758 GYH196758:GYI196758 HID196758:HIE196758 HRZ196758:HSA196758 IBV196758:IBW196758 ILR196758:ILS196758 IVN196758:IVO196758 JFJ196758:JFK196758 JPF196758:JPG196758 JZB196758:JZC196758 KIX196758:KIY196758 KST196758:KSU196758 LCP196758:LCQ196758 LML196758:LMM196758 LWH196758:LWI196758 MGD196758:MGE196758 MPZ196758:MQA196758 MZV196758:MZW196758 NJR196758:NJS196758 NTN196758:NTO196758 ODJ196758:ODK196758 ONF196758:ONG196758 OXB196758:OXC196758 PGX196758:PGY196758 PQT196758:PQU196758 QAP196758:QAQ196758 QKL196758:QKM196758 QUH196758:QUI196758 RED196758:REE196758 RNZ196758:ROA196758 RXV196758:RXW196758 SHR196758:SHS196758 SRN196758:SRO196758 TBJ196758:TBK196758 TLF196758:TLG196758 TVB196758:TVC196758 UEX196758:UEY196758 UOT196758:UOU196758 UYP196758:UYQ196758 VIL196758:VIM196758 VSH196758:VSI196758 WCD196758:WCE196758 WLZ196758:WMA196758 WVV196758:WVW196758 N262294:O262294 JJ262294:JK262294 TF262294:TG262294 ADB262294:ADC262294 AMX262294:AMY262294 AWT262294:AWU262294 BGP262294:BGQ262294 BQL262294:BQM262294 CAH262294:CAI262294 CKD262294:CKE262294 CTZ262294:CUA262294 DDV262294:DDW262294 DNR262294:DNS262294 DXN262294:DXO262294 EHJ262294:EHK262294 ERF262294:ERG262294 FBB262294:FBC262294 FKX262294:FKY262294 FUT262294:FUU262294 GEP262294:GEQ262294 GOL262294:GOM262294 GYH262294:GYI262294 HID262294:HIE262294 HRZ262294:HSA262294 IBV262294:IBW262294 ILR262294:ILS262294 IVN262294:IVO262294 JFJ262294:JFK262294 JPF262294:JPG262294 JZB262294:JZC262294 KIX262294:KIY262294 KST262294:KSU262294 LCP262294:LCQ262294 LML262294:LMM262294 LWH262294:LWI262294 MGD262294:MGE262294 MPZ262294:MQA262294 MZV262294:MZW262294 NJR262294:NJS262294 NTN262294:NTO262294 ODJ262294:ODK262294 ONF262294:ONG262294 OXB262294:OXC262294 PGX262294:PGY262294 PQT262294:PQU262294 QAP262294:QAQ262294 QKL262294:QKM262294 QUH262294:QUI262294 RED262294:REE262294 RNZ262294:ROA262294 RXV262294:RXW262294 SHR262294:SHS262294 SRN262294:SRO262294 TBJ262294:TBK262294 TLF262294:TLG262294 TVB262294:TVC262294 UEX262294:UEY262294 UOT262294:UOU262294 UYP262294:UYQ262294 VIL262294:VIM262294 VSH262294:VSI262294 WCD262294:WCE262294 WLZ262294:WMA262294 WVV262294:WVW262294 N327830:O327830 JJ327830:JK327830 TF327830:TG327830 ADB327830:ADC327830 AMX327830:AMY327830 AWT327830:AWU327830 BGP327830:BGQ327830 BQL327830:BQM327830 CAH327830:CAI327830 CKD327830:CKE327830 CTZ327830:CUA327830 DDV327830:DDW327830 DNR327830:DNS327830 DXN327830:DXO327830 EHJ327830:EHK327830 ERF327830:ERG327830 FBB327830:FBC327830 FKX327830:FKY327830 FUT327830:FUU327830 GEP327830:GEQ327830 GOL327830:GOM327830 GYH327830:GYI327830 HID327830:HIE327830 HRZ327830:HSA327830 IBV327830:IBW327830 ILR327830:ILS327830 IVN327830:IVO327830 JFJ327830:JFK327830 JPF327830:JPG327830 JZB327830:JZC327830 KIX327830:KIY327830 KST327830:KSU327830 LCP327830:LCQ327830 LML327830:LMM327830 LWH327830:LWI327830 MGD327830:MGE327830 MPZ327830:MQA327830 MZV327830:MZW327830 NJR327830:NJS327830 NTN327830:NTO327830 ODJ327830:ODK327830 ONF327830:ONG327830 OXB327830:OXC327830 PGX327830:PGY327830 PQT327830:PQU327830 QAP327830:QAQ327830 QKL327830:QKM327830 QUH327830:QUI327830 RED327830:REE327830 RNZ327830:ROA327830 RXV327830:RXW327830 SHR327830:SHS327830 SRN327830:SRO327830 TBJ327830:TBK327830 TLF327830:TLG327830 TVB327830:TVC327830 UEX327830:UEY327830 UOT327830:UOU327830 UYP327830:UYQ327830 VIL327830:VIM327830 VSH327830:VSI327830 WCD327830:WCE327830 WLZ327830:WMA327830 WVV327830:WVW327830 N393366:O393366 JJ393366:JK393366 TF393366:TG393366 ADB393366:ADC393366 AMX393366:AMY393366 AWT393366:AWU393366 BGP393366:BGQ393366 BQL393366:BQM393366 CAH393366:CAI393366 CKD393366:CKE393366 CTZ393366:CUA393366 DDV393366:DDW393366 DNR393366:DNS393366 DXN393366:DXO393366 EHJ393366:EHK393366 ERF393366:ERG393366 FBB393366:FBC393366 FKX393366:FKY393366 FUT393366:FUU393366 GEP393366:GEQ393366 GOL393366:GOM393366 GYH393366:GYI393366 HID393366:HIE393366 HRZ393366:HSA393366 IBV393366:IBW393366 ILR393366:ILS393366 IVN393366:IVO393366 JFJ393366:JFK393366 JPF393366:JPG393366 JZB393366:JZC393366 KIX393366:KIY393366 KST393366:KSU393366 LCP393366:LCQ393366 LML393366:LMM393366 LWH393366:LWI393366 MGD393366:MGE393366 MPZ393366:MQA393366 MZV393366:MZW393366 NJR393366:NJS393366 NTN393366:NTO393366 ODJ393366:ODK393366 ONF393366:ONG393366 OXB393366:OXC393366 PGX393366:PGY393366 PQT393366:PQU393366 QAP393366:QAQ393366 QKL393366:QKM393366 QUH393366:QUI393366 RED393366:REE393366 RNZ393366:ROA393366 RXV393366:RXW393366 SHR393366:SHS393366 SRN393366:SRO393366 TBJ393366:TBK393366 TLF393366:TLG393366 TVB393366:TVC393366 UEX393366:UEY393366 UOT393366:UOU393366 UYP393366:UYQ393366 VIL393366:VIM393366 VSH393366:VSI393366 WCD393366:WCE393366 WLZ393366:WMA393366 WVV393366:WVW393366 N458902:O458902 JJ458902:JK458902 TF458902:TG458902 ADB458902:ADC458902 AMX458902:AMY458902 AWT458902:AWU458902 BGP458902:BGQ458902 BQL458902:BQM458902 CAH458902:CAI458902 CKD458902:CKE458902 CTZ458902:CUA458902 DDV458902:DDW458902 DNR458902:DNS458902 DXN458902:DXO458902 EHJ458902:EHK458902 ERF458902:ERG458902 FBB458902:FBC458902 FKX458902:FKY458902 FUT458902:FUU458902 GEP458902:GEQ458902 GOL458902:GOM458902 GYH458902:GYI458902 HID458902:HIE458902 HRZ458902:HSA458902 IBV458902:IBW458902 ILR458902:ILS458902 IVN458902:IVO458902 JFJ458902:JFK458902 JPF458902:JPG458902 JZB458902:JZC458902 KIX458902:KIY458902 KST458902:KSU458902 LCP458902:LCQ458902 LML458902:LMM458902 LWH458902:LWI458902 MGD458902:MGE458902 MPZ458902:MQA458902 MZV458902:MZW458902 NJR458902:NJS458902 NTN458902:NTO458902 ODJ458902:ODK458902 ONF458902:ONG458902 OXB458902:OXC458902 PGX458902:PGY458902 PQT458902:PQU458902 QAP458902:QAQ458902 QKL458902:QKM458902 QUH458902:QUI458902 RED458902:REE458902 RNZ458902:ROA458902 RXV458902:RXW458902 SHR458902:SHS458902 SRN458902:SRO458902 TBJ458902:TBK458902 TLF458902:TLG458902 TVB458902:TVC458902 UEX458902:UEY458902 UOT458902:UOU458902 UYP458902:UYQ458902 VIL458902:VIM458902 VSH458902:VSI458902 WCD458902:WCE458902 WLZ458902:WMA458902 WVV458902:WVW458902 N524438:O524438 JJ524438:JK524438 TF524438:TG524438 ADB524438:ADC524438 AMX524438:AMY524438 AWT524438:AWU524438 BGP524438:BGQ524438 BQL524438:BQM524438 CAH524438:CAI524438 CKD524438:CKE524438 CTZ524438:CUA524438 DDV524438:DDW524438 DNR524438:DNS524438 DXN524438:DXO524438 EHJ524438:EHK524438 ERF524438:ERG524438 FBB524438:FBC524438 FKX524438:FKY524438 FUT524438:FUU524438 GEP524438:GEQ524438 GOL524438:GOM524438 GYH524438:GYI524438 HID524438:HIE524438 HRZ524438:HSA524438 IBV524438:IBW524438 ILR524438:ILS524438 IVN524438:IVO524438 JFJ524438:JFK524438 JPF524438:JPG524438 JZB524438:JZC524438 KIX524438:KIY524438 KST524438:KSU524438 LCP524438:LCQ524438 LML524438:LMM524438 LWH524438:LWI524438 MGD524438:MGE524438 MPZ524438:MQA524438 MZV524438:MZW524438 NJR524438:NJS524438 NTN524438:NTO524438 ODJ524438:ODK524438 ONF524438:ONG524438 OXB524438:OXC524438 PGX524438:PGY524438 PQT524438:PQU524438 QAP524438:QAQ524438 QKL524438:QKM524438 QUH524438:QUI524438 RED524438:REE524438 RNZ524438:ROA524438 RXV524438:RXW524438 SHR524438:SHS524438 SRN524438:SRO524438 TBJ524438:TBK524438 TLF524438:TLG524438 TVB524438:TVC524438 UEX524438:UEY524438 UOT524438:UOU524438 UYP524438:UYQ524438 VIL524438:VIM524438 VSH524438:VSI524438 WCD524438:WCE524438 WLZ524438:WMA524438 WVV524438:WVW524438 N589974:O589974 JJ589974:JK589974 TF589974:TG589974 ADB589974:ADC589974 AMX589974:AMY589974 AWT589974:AWU589974 BGP589974:BGQ589974 BQL589974:BQM589974 CAH589974:CAI589974 CKD589974:CKE589974 CTZ589974:CUA589974 DDV589974:DDW589974 DNR589974:DNS589974 DXN589974:DXO589974 EHJ589974:EHK589974 ERF589974:ERG589974 FBB589974:FBC589974 FKX589974:FKY589974 FUT589974:FUU589974 GEP589974:GEQ589974 GOL589974:GOM589974 GYH589974:GYI589974 HID589974:HIE589974 HRZ589974:HSA589974 IBV589974:IBW589974 ILR589974:ILS589974 IVN589974:IVO589974 JFJ589974:JFK589974 JPF589974:JPG589974 JZB589974:JZC589974 KIX589974:KIY589974 KST589974:KSU589974 LCP589974:LCQ589974 LML589974:LMM589974 LWH589974:LWI589974 MGD589974:MGE589974 MPZ589974:MQA589974 MZV589974:MZW589974 NJR589974:NJS589974 NTN589974:NTO589974 ODJ589974:ODK589974 ONF589974:ONG589974 OXB589974:OXC589974 PGX589974:PGY589974 PQT589974:PQU589974 QAP589974:QAQ589974 QKL589974:QKM589974 QUH589974:QUI589974 RED589974:REE589974 RNZ589974:ROA589974 RXV589974:RXW589974 SHR589974:SHS589974 SRN589974:SRO589974 TBJ589974:TBK589974 TLF589974:TLG589974 TVB589974:TVC589974 UEX589974:UEY589974 UOT589974:UOU589974 UYP589974:UYQ589974 VIL589974:VIM589974 VSH589974:VSI589974 WCD589974:WCE589974 WLZ589974:WMA589974 WVV589974:WVW589974 N655510:O655510 JJ655510:JK655510 TF655510:TG655510 ADB655510:ADC655510 AMX655510:AMY655510 AWT655510:AWU655510 BGP655510:BGQ655510 BQL655510:BQM655510 CAH655510:CAI655510 CKD655510:CKE655510 CTZ655510:CUA655510 DDV655510:DDW655510 DNR655510:DNS655510 DXN655510:DXO655510 EHJ655510:EHK655510 ERF655510:ERG655510 FBB655510:FBC655510 FKX655510:FKY655510 FUT655510:FUU655510 GEP655510:GEQ655510 GOL655510:GOM655510 GYH655510:GYI655510 HID655510:HIE655510 HRZ655510:HSA655510 IBV655510:IBW655510 ILR655510:ILS655510 IVN655510:IVO655510 JFJ655510:JFK655510 JPF655510:JPG655510 JZB655510:JZC655510 KIX655510:KIY655510 KST655510:KSU655510 LCP655510:LCQ655510 LML655510:LMM655510 LWH655510:LWI655510 MGD655510:MGE655510 MPZ655510:MQA655510 MZV655510:MZW655510 NJR655510:NJS655510 NTN655510:NTO655510 ODJ655510:ODK655510 ONF655510:ONG655510 OXB655510:OXC655510 PGX655510:PGY655510 PQT655510:PQU655510 QAP655510:QAQ655510 QKL655510:QKM655510 QUH655510:QUI655510 RED655510:REE655510 RNZ655510:ROA655510 RXV655510:RXW655510 SHR655510:SHS655510 SRN655510:SRO655510 TBJ655510:TBK655510 TLF655510:TLG655510 TVB655510:TVC655510 UEX655510:UEY655510 UOT655510:UOU655510 UYP655510:UYQ655510 VIL655510:VIM655510 VSH655510:VSI655510 WCD655510:WCE655510 WLZ655510:WMA655510 WVV655510:WVW655510 N721046:O721046 JJ721046:JK721046 TF721046:TG721046 ADB721046:ADC721046 AMX721046:AMY721046 AWT721046:AWU721046 BGP721046:BGQ721046 BQL721046:BQM721046 CAH721046:CAI721046 CKD721046:CKE721046 CTZ721046:CUA721046 DDV721046:DDW721046 DNR721046:DNS721046 DXN721046:DXO721046 EHJ721046:EHK721046 ERF721046:ERG721046 FBB721046:FBC721046 FKX721046:FKY721046 FUT721046:FUU721046 GEP721046:GEQ721046 GOL721046:GOM721046 GYH721046:GYI721046 HID721046:HIE721046 HRZ721046:HSA721046 IBV721046:IBW721046 ILR721046:ILS721046 IVN721046:IVO721046 JFJ721046:JFK721046 JPF721046:JPG721046 JZB721046:JZC721046 KIX721046:KIY721046 KST721046:KSU721046 LCP721046:LCQ721046 LML721046:LMM721046 LWH721046:LWI721046 MGD721046:MGE721046 MPZ721046:MQA721046 MZV721046:MZW721046 NJR721046:NJS721046 NTN721046:NTO721046 ODJ721046:ODK721046 ONF721046:ONG721046 OXB721046:OXC721046 PGX721046:PGY721046 PQT721046:PQU721046 QAP721046:QAQ721046 QKL721046:QKM721046 QUH721046:QUI721046 RED721046:REE721046 RNZ721046:ROA721046 RXV721046:RXW721046 SHR721046:SHS721046 SRN721046:SRO721046 TBJ721046:TBK721046 TLF721046:TLG721046 TVB721046:TVC721046 UEX721046:UEY721046 UOT721046:UOU721046 UYP721046:UYQ721046 VIL721046:VIM721046 VSH721046:VSI721046 WCD721046:WCE721046 WLZ721046:WMA721046 WVV721046:WVW721046 N786582:O786582 JJ786582:JK786582 TF786582:TG786582 ADB786582:ADC786582 AMX786582:AMY786582 AWT786582:AWU786582 BGP786582:BGQ786582 BQL786582:BQM786582 CAH786582:CAI786582 CKD786582:CKE786582 CTZ786582:CUA786582 DDV786582:DDW786582 DNR786582:DNS786582 DXN786582:DXO786582 EHJ786582:EHK786582 ERF786582:ERG786582 FBB786582:FBC786582 FKX786582:FKY786582 FUT786582:FUU786582 GEP786582:GEQ786582 GOL786582:GOM786582 GYH786582:GYI786582 HID786582:HIE786582 HRZ786582:HSA786582 IBV786582:IBW786582 ILR786582:ILS786582 IVN786582:IVO786582 JFJ786582:JFK786582 JPF786582:JPG786582 JZB786582:JZC786582 KIX786582:KIY786582 KST786582:KSU786582 LCP786582:LCQ786582 LML786582:LMM786582 LWH786582:LWI786582 MGD786582:MGE786582 MPZ786582:MQA786582 MZV786582:MZW786582 NJR786582:NJS786582 NTN786582:NTO786582 ODJ786582:ODK786582 ONF786582:ONG786582 OXB786582:OXC786582 PGX786582:PGY786582 PQT786582:PQU786582 QAP786582:QAQ786582 QKL786582:QKM786582 QUH786582:QUI786582 RED786582:REE786582 RNZ786582:ROA786582 RXV786582:RXW786582 SHR786582:SHS786582 SRN786582:SRO786582 TBJ786582:TBK786582 TLF786582:TLG786582 TVB786582:TVC786582 UEX786582:UEY786582 UOT786582:UOU786582 UYP786582:UYQ786582 VIL786582:VIM786582 VSH786582:VSI786582 WCD786582:WCE786582 WLZ786582:WMA786582 WVV786582:WVW786582 N852118:O852118 JJ852118:JK852118 TF852118:TG852118 ADB852118:ADC852118 AMX852118:AMY852118 AWT852118:AWU852118 BGP852118:BGQ852118 BQL852118:BQM852118 CAH852118:CAI852118 CKD852118:CKE852118 CTZ852118:CUA852118 DDV852118:DDW852118 DNR852118:DNS852118 DXN852118:DXO852118 EHJ852118:EHK852118 ERF852118:ERG852118 FBB852118:FBC852118 FKX852118:FKY852118 FUT852118:FUU852118 GEP852118:GEQ852118 GOL852118:GOM852118 GYH852118:GYI852118 HID852118:HIE852118 HRZ852118:HSA852118 IBV852118:IBW852118 ILR852118:ILS852118 IVN852118:IVO852118 JFJ852118:JFK852118 JPF852118:JPG852118 JZB852118:JZC852118 KIX852118:KIY852118 KST852118:KSU852118 LCP852118:LCQ852118 LML852118:LMM852118 LWH852118:LWI852118 MGD852118:MGE852118 MPZ852118:MQA852118 MZV852118:MZW852118 NJR852118:NJS852118 NTN852118:NTO852118 ODJ852118:ODK852118 ONF852118:ONG852118 OXB852118:OXC852118 PGX852118:PGY852118 PQT852118:PQU852118 QAP852118:QAQ852118 QKL852118:QKM852118 QUH852118:QUI852118 RED852118:REE852118 RNZ852118:ROA852118 RXV852118:RXW852118 SHR852118:SHS852118 SRN852118:SRO852118 TBJ852118:TBK852118 TLF852118:TLG852118 TVB852118:TVC852118 UEX852118:UEY852118 UOT852118:UOU852118 UYP852118:UYQ852118 VIL852118:VIM852118 VSH852118:VSI852118 WCD852118:WCE852118 WLZ852118:WMA852118 WVV852118:WVW852118 N917654:O917654 JJ917654:JK917654 TF917654:TG917654 ADB917654:ADC917654 AMX917654:AMY917654 AWT917654:AWU917654 BGP917654:BGQ917654 BQL917654:BQM917654 CAH917654:CAI917654 CKD917654:CKE917654 CTZ917654:CUA917654 DDV917654:DDW917654 DNR917654:DNS917654 DXN917654:DXO917654 EHJ917654:EHK917654 ERF917654:ERG917654 FBB917654:FBC917654 FKX917654:FKY917654 FUT917654:FUU917654 GEP917654:GEQ917654 GOL917654:GOM917654 GYH917654:GYI917654 HID917654:HIE917654 HRZ917654:HSA917654 IBV917654:IBW917654 ILR917654:ILS917654 IVN917654:IVO917654 JFJ917654:JFK917654 JPF917654:JPG917654 JZB917654:JZC917654 KIX917654:KIY917654 KST917654:KSU917654 LCP917654:LCQ917654 LML917654:LMM917654 LWH917654:LWI917654 MGD917654:MGE917654 MPZ917654:MQA917654 MZV917654:MZW917654 NJR917654:NJS917654 NTN917654:NTO917654 ODJ917654:ODK917654 ONF917654:ONG917654 OXB917654:OXC917654 PGX917654:PGY917654 PQT917654:PQU917654 QAP917654:QAQ917654 QKL917654:QKM917654 QUH917654:QUI917654 RED917654:REE917654 RNZ917654:ROA917654 RXV917654:RXW917654 SHR917654:SHS917654 SRN917654:SRO917654 TBJ917654:TBK917654 TLF917654:TLG917654 TVB917654:TVC917654 UEX917654:UEY917654 UOT917654:UOU917654 UYP917654:UYQ917654 VIL917654:VIM917654 VSH917654:VSI917654 WCD917654:WCE917654 WLZ917654:WMA917654 WVV917654:WVW917654 N983190:O983190 JJ983190:JK983190 TF983190:TG983190 ADB983190:ADC983190 AMX983190:AMY983190 AWT983190:AWU983190 BGP983190:BGQ983190 BQL983190:BQM983190 CAH983190:CAI983190 CKD983190:CKE983190 CTZ983190:CUA983190 DDV983190:DDW983190 DNR983190:DNS983190 DXN983190:DXO983190 EHJ983190:EHK983190 ERF983190:ERG983190 FBB983190:FBC983190 FKX983190:FKY983190 FUT983190:FUU983190 GEP983190:GEQ983190 GOL983190:GOM983190 GYH983190:GYI983190 HID983190:HIE983190 HRZ983190:HSA983190 IBV983190:IBW983190 ILR983190:ILS983190 IVN983190:IVO983190 JFJ983190:JFK983190 JPF983190:JPG983190 JZB983190:JZC983190 KIX983190:KIY983190 KST983190:KSU983190 LCP983190:LCQ983190 LML983190:LMM983190 LWH983190:LWI983190 MGD983190:MGE983190 MPZ983190:MQA983190 MZV983190:MZW983190 NJR983190:NJS983190 NTN983190:NTO983190 ODJ983190:ODK983190 ONF983190:ONG983190 OXB983190:OXC983190 PGX983190:PGY983190 PQT983190:PQU983190 QAP983190:QAQ983190 QKL983190:QKM983190 QUH983190:QUI983190 RED983190:REE983190 RNZ983190:ROA983190 RXV983190:RXW983190 SHR983190:SHS983190 SRN983190:SRO983190 TBJ983190:TBK983190 TLF983190:TLG983190 TVB983190:TVC983190 UEX983190:UEY983190 UOT983190:UOU983190 UYP983190:UYQ983190 VIL983190:VIM983190 VSH983190:VSI983190 WCD983190:WCE983190 WLZ983190:WMA983190 WVV983190:WVW983190 Q150 JM150 TI150 ADE150 ANA150 AWW150 BGS150 BQO150 CAK150 CKG150 CUC150 DDY150 DNU150 DXQ150 EHM150 ERI150 FBE150 FLA150 FUW150 GES150 GOO150 GYK150 HIG150 HSC150 IBY150 ILU150 IVQ150 JFM150 JPI150 JZE150 KJA150 KSW150 LCS150 LMO150 LWK150 MGG150 MQC150 MZY150 NJU150 NTQ150 ODM150 ONI150 OXE150 PHA150 PQW150 QAS150 QKO150 QUK150 REG150 ROC150 RXY150 SHU150 SRQ150 TBM150 TLI150 TVE150 UFA150 UOW150 UYS150 VIO150 VSK150 WCG150 WMC150 WVY150 Q65686 JM65686 TI65686 ADE65686 ANA65686 AWW65686 BGS65686 BQO65686 CAK65686 CKG65686 CUC65686 DDY65686 DNU65686 DXQ65686 EHM65686 ERI65686 FBE65686 FLA65686 FUW65686 GES65686 GOO65686 GYK65686 HIG65686 HSC65686 IBY65686 ILU65686 IVQ65686 JFM65686 JPI65686 JZE65686 KJA65686 KSW65686 LCS65686 LMO65686 LWK65686 MGG65686 MQC65686 MZY65686 NJU65686 NTQ65686 ODM65686 ONI65686 OXE65686 PHA65686 PQW65686 QAS65686 QKO65686 QUK65686 REG65686 ROC65686 RXY65686 SHU65686 SRQ65686 TBM65686 TLI65686 TVE65686 UFA65686 UOW65686 UYS65686 VIO65686 VSK65686 WCG65686 WMC65686 WVY65686 Q131222 JM131222 TI131222 ADE131222 ANA131222 AWW131222 BGS131222 BQO131222 CAK131222 CKG131222 CUC131222 DDY131222 DNU131222 DXQ131222 EHM131222 ERI131222 FBE131222 FLA131222 FUW131222 GES131222 GOO131222 GYK131222 HIG131222 HSC131222 IBY131222 ILU131222 IVQ131222 JFM131222 JPI131222 JZE131222 KJA131222 KSW131222 LCS131222 LMO131222 LWK131222 MGG131222 MQC131222 MZY131222 NJU131222 NTQ131222 ODM131222 ONI131222 OXE131222 PHA131222 PQW131222 QAS131222 QKO131222 QUK131222 REG131222 ROC131222 RXY131222 SHU131222 SRQ131222 TBM131222 TLI131222 TVE131222 UFA131222 UOW131222 UYS131222 VIO131222 VSK131222 WCG131222 WMC131222 WVY131222 Q196758 JM196758 TI196758 ADE196758 ANA196758 AWW196758 BGS196758 BQO196758 CAK196758 CKG196758 CUC196758 DDY196758 DNU196758 DXQ196758 EHM196758 ERI196758 FBE196758 FLA196758 FUW196758 GES196758 GOO196758 GYK196758 HIG196758 HSC196758 IBY196758 ILU196758 IVQ196758 JFM196758 JPI196758 JZE196758 KJA196758 KSW196758 LCS196758 LMO196758 LWK196758 MGG196758 MQC196758 MZY196758 NJU196758 NTQ196758 ODM196758 ONI196758 OXE196758 PHA196758 PQW196758 QAS196758 QKO196758 QUK196758 REG196758 ROC196758 RXY196758 SHU196758 SRQ196758 TBM196758 TLI196758 TVE196758 UFA196758 UOW196758 UYS196758 VIO196758 VSK196758 WCG196758 WMC196758 WVY196758 Q262294 JM262294 TI262294 ADE262294 ANA262294 AWW262294 BGS262294 BQO262294 CAK262294 CKG262294 CUC262294 DDY262294 DNU262294 DXQ262294 EHM262294 ERI262294 FBE262294 FLA262294 FUW262294 GES262294 GOO262294 GYK262294 HIG262294 HSC262294 IBY262294 ILU262294 IVQ262294 JFM262294 JPI262294 JZE262294 KJA262294 KSW262294 LCS262294 LMO262294 LWK262294 MGG262294 MQC262294 MZY262294 NJU262294 NTQ262294 ODM262294 ONI262294 OXE262294 PHA262294 PQW262294 QAS262294 QKO262294 QUK262294 REG262294 ROC262294 RXY262294 SHU262294 SRQ262294 TBM262294 TLI262294 TVE262294 UFA262294 UOW262294 UYS262294 VIO262294 VSK262294 WCG262294 WMC262294 WVY262294 Q327830 JM327830 TI327830 ADE327830 ANA327830 AWW327830 BGS327830 BQO327830 CAK327830 CKG327830 CUC327830 DDY327830 DNU327830 DXQ327830 EHM327830 ERI327830 FBE327830 FLA327830 FUW327830 GES327830 GOO327830 GYK327830 HIG327830 HSC327830 IBY327830 ILU327830 IVQ327830 JFM327830 JPI327830 JZE327830 KJA327830 KSW327830 LCS327830 LMO327830 LWK327830 MGG327830 MQC327830 MZY327830 NJU327830 NTQ327830 ODM327830 ONI327830 OXE327830 PHA327830 PQW327830 QAS327830 QKO327830 QUK327830 REG327830 ROC327830 RXY327830 SHU327830 SRQ327830 TBM327830 TLI327830 TVE327830 UFA327830 UOW327830 UYS327830 VIO327830 VSK327830 WCG327830 WMC327830 WVY327830 Q393366 JM393366 TI393366 ADE393366 ANA393366 AWW393366 BGS393366 BQO393366 CAK393366 CKG393366 CUC393366 DDY393366 DNU393366 DXQ393366 EHM393366 ERI393366 FBE393366 FLA393366 FUW393366 GES393366 GOO393366 GYK393366 HIG393366 HSC393366 IBY393366 ILU393366 IVQ393366 JFM393366 JPI393366 JZE393366 KJA393366 KSW393366 LCS393366 LMO393366 LWK393366 MGG393366 MQC393366 MZY393366 NJU393366 NTQ393366 ODM393366 ONI393366 OXE393366 PHA393366 PQW393366 QAS393366 QKO393366 QUK393366 REG393366 ROC393366 RXY393366 SHU393366 SRQ393366 TBM393366 TLI393366 TVE393366 UFA393366 UOW393366 UYS393366 VIO393366 VSK393366 WCG393366 WMC393366 WVY393366 Q458902 JM458902 TI458902 ADE458902 ANA458902 AWW458902 BGS458902 BQO458902 CAK458902 CKG458902 CUC458902 DDY458902 DNU458902 DXQ458902 EHM458902 ERI458902 FBE458902 FLA458902 FUW458902 GES458902 GOO458902 GYK458902 HIG458902 HSC458902 IBY458902 ILU458902 IVQ458902 JFM458902 JPI458902 JZE458902 KJA458902 KSW458902 LCS458902 LMO458902 LWK458902 MGG458902 MQC458902 MZY458902 NJU458902 NTQ458902 ODM458902 ONI458902 OXE458902 PHA458902 PQW458902 QAS458902 QKO458902 QUK458902 REG458902 ROC458902 RXY458902 SHU458902 SRQ458902 TBM458902 TLI458902 TVE458902 UFA458902 UOW458902 UYS458902 VIO458902 VSK458902 WCG458902 WMC458902 WVY458902 Q524438 JM524438 TI524438 ADE524438 ANA524438 AWW524438 BGS524438 BQO524438 CAK524438 CKG524438 CUC524438 DDY524438 DNU524438 DXQ524438 EHM524438 ERI524438 FBE524438 FLA524438 FUW524438 GES524438 GOO524438 GYK524438 HIG524438 HSC524438 IBY524438 ILU524438 IVQ524438 JFM524438 JPI524438 JZE524438 KJA524438 KSW524438 LCS524438 LMO524438 LWK524438 MGG524438 MQC524438 MZY524438 NJU524438 NTQ524438 ODM524438 ONI524438 OXE524438 PHA524438 PQW524438 QAS524438 QKO524438 QUK524438 REG524438 ROC524438 RXY524438 SHU524438 SRQ524438 TBM524438 TLI524438 TVE524438 UFA524438 UOW524438 UYS524438 VIO524438 VSK524438 WCG524438 WMC524438 WVY524438 Q589974 JM589974 TI589974 ADE589974 ANA589974 AWW589974 BGS589974 BQO589974 CAK589974 CKG589974 CUC589974 DDY589974 DNU589974 DXQ589974 EHM589974 ERI589974 FBE589974 FLA589974 FUW589974 GES589974 GOO589974 GYK589974 HIG589974 HSC589974 IBY589974 ILU589974 IVQ589974 JFM589974 JPI589974 JZE589974 KJA589974 KSW589974 LCS589974 LMO589974 LWK589974 MGG589974 MQC589974 MZY589974 NJU589974 NTQ589974 ODM589974 ONI589974 OXE589974 PHA589974 PQW589974 QAS589974 QKO589974 QUK589974 REG589974 ROC589974 RXY589974 SHU589974 SRQ589974 TBM589974 TLI589974 TVE589974 UFA589974 UOW589974 UYS589974 VIO589974 VSK589974 WCG589974 WMC589974 WVY589974 Q655510 JM655510 TI655510 ADE655510 ANA655510 AWW655510 BGS655510 BQO655510 CAK655510 CKG655510 CUC655510 DDY655510 DNU655510 DXQ655510 EHM655510 ERI655510 FBE655510 FLA655510 FUW655510 GES655510 GOO655510 GYK655510 HIG655510 HSC655510 IBY655510 ILU655510 IVQ655510 JFM655510 JPI655510 JZE655510 KJA655510 KSW655510 LCS655510 LMO655510 LWK655510 MGG655510 MQC655510 MZY655510 NJU655510 NTQ655510 ODM655510 ONI655510 OXE655510 PHA655510 PQW655510 QAS655510 QKO655510 QUK655510 REG655510 ROC655510 RXY655510 SHU655510 SRQ655510 TBM655510 TLI655510 TVE655510 UFA655510 UOW655510 UYS655510 VIO655510 VSK655510 WCG655510 WMC655510 WVY655510 Q721046 JM721046 TI721046 ADE721046 ANA721046 AWW721046 BGS721046 BQO721046 CAK721046 CKG721046 CUC721046 DDY721046 DNU721046 DXQ721046 EHM721046 ERI721046 FBE721046 FLA721046 FUW721046 GES721046 GOO721046 GYK721046 HIG721046 HSC721046 IBY721046 ILU721046 IVQ721046 JFM721046 JPI721046 JZE721046 KJA721046 KSW721046 LCS721046 LMO721046 LWK721046 MGG721046 MQC721046 MZY721046 NJU721046 NTQ721046 ODM721046 ONI721046 OXE721046 PHA721046 PQW721046 QAS721046 QKO721046 QUK721046 REG721046 ROC721046 RXY721046 SHU721046 SRQ721046 TBM721046 TLI721046 TVE721046 UFA721046 UOW721046 UYS721046 VIO721046 VSK721046 WCG721046 WMC721046 WVY721046 Q786582 JM786582 TI786582 ADE786582 ANA786582 AWW786582 BGS786582 BQO786582 CAK786582 CKG786582 CUC786582 DDY786582 DNU786582 DXQ786582 EHM786582 ERI786582 FBE786582 FLA786582 FUW786582 GES786582 GOO786582 GYK786582 HIG786582 HSC786582 IBY786582 ILU786582 IVQ786582 JFM786582 JPI786582 JZE786582 KJA786582 KSW786582 LCS786582 LMO786582 LWK786582 MGG786582 MQC786582 MZY786582 NJU786582 NTQ786582 ODM786582 ONI786582 OXE786582 PHA786582 PQW786582 QAS786582 QKO786582 QUK786582 REG786582 ROC786582 RXY786582 SHU786582 SRQ786582 TBM786582 TLI786582 TVE786582 UFA786582 UOW786582 UYS786582 VIO786582 VSK786582 WCG786582 WMC786582 WVY786582 Q852118 JM852118 TI852118 ADE852118 ANA852118 AWW852118 BGS852118 BQO852118 CAK852118 CKG852118 CUC852118 DDY852118 DNU852118 DXQ852118 EHM852118 ERI852118 FBE852118 FLA852118 FUW852118 GES852118 GOO852118 GYK852118 HIG852118 HSC852118 IBY852118 ILU852118 IVQ852118 JFM852118 JPI852118 JZE852118 KJA852118 KSW852118 LCS852118 LMO852118 LWK852118 MGG852118 MQC852118 MZY852118 NJU852118 NTQ852118 ODM852118 ONI852118 OXE852118 PHA852118 PQW852118 QAS852118 QKO852118 QUK852118 REG852118 ROC852118 RXY852118 SHU852118 SRQ852118 TBM852118 TLI852118 TVE852118 UFA852118 UOW852118 UYS852118 VIO852118 VSK852118 WCG852118 WMC852118 WVY852118 Q917654 JM917654 TI917654 ADE917654 ANA917654 AWW917654 BGS917654 BQO917654 CAK917654 CKG917654 CUC917654 DDY917654 DNU917654 DXQ917654 EHM917654 ERI917654 FBE917654 FLA917654 FUW917654 GES917654 GOO917654 GYK917654 HIG917654 HSC917654 IBY917654 ILU917654 IVQ917654 JFM917654 JPI917654 JZE917654 KJA917654 KSW917654 LCS917654 LMO917654 LWK917654 MGG917654 MQC917654 MZY917654 NJU917654 NTQ917654 ODM917654 ONI917654 OXE917654 PHA917654 PQW917654 QAS917654 QKO917654 QUK917654 REG917654 ROC917654 RXY917654 SHU917654 SRQ917654 TBM917654 TLI917654 TVE917654 UFA917654 UOW917654 UYS917654 VIO917654 VSK917654 WCG917654 WMC917654 WVY917654 Q983190 JM983190 TI983190 ADE983190 ANA983190 AWW983190 BGS983190 BQO983190 CAK983190 CKG983190 CUC983190 DDY983190 DNU983190 DXQ983190 EHM983190 ERI983190 FBE983190 FLA983190 FUW983190 GES983190 GOO983190 GYK983190 HIG983190 HSC983190 IBY983190 ILU983190 IVQ983190 JFM983190 JPI983190 JZE983190 KJA983190 KSW983190 LCS983190 LMO983190 LWK983190 MGG983190 MQC983190 MZY983190 NJU983190 NTQ983190 ODM983190 ONI983190 OXE983190 PHA983190 PQW983190 QAS983190 QKO983190 QUK983190 REG983190 ROC983190 RXY983190 SHU983190 SRQ983190 TBM983190 TLI983190 TVE983190 UFA983190 UOW983190 UYS983190 VIO983190 VSK983190 WCG983190 WMC983190 WVY983190 H11:I47 JD11:JE47 SZ11:TA47 ACV11:ACW47 AMR11:AMS47 AWN11:AWO47 BGJ11:BGK47 BQF11:BQG47 CAB11:CAC47 CJX11:CJY47 CTT11:CTU47 DDP11:DDQ47 DNL11:DNM47 DXH11:DXI47 EHD11:EHE47 EQZ11:ERA47 FAV11:FAW47 FKR11:FKS47 FUN11:FUO47 GEJ11:GEK47 GOF11:GOG47 GYB11:GYC47 HHX11:HHY47 HRT11:HRU47 IBP11:IBQ47 ILL11:ILM47 IVH11:IVI47 JFD11:JFE47 JOZ11:JPA47 JYV11:JYW47 KIR11:KIS47 KSN11:KSO47 LCJ11:LCK47 LMF11:LMG47 LWB11:LWC47 MFX11:MFY47 MPT11:MPU47 MZP11:MZQ47 NJL11:NJM47 NTH11:NTI47 ODD11:ODE47 OMZ11:ONA47 OWV11:OWW47 PGR11:PGS47 PQN11:PQO47 QAJ11:QAK47 QKF11:QKG47 QUB11:QUC47 RDX11:RDY47 RNT11:RNU47 RXP11:RXQ47 SHL11:SHM47 SRH11:SRI47 TBD11:TBE47 TKZ11:TLA47 TUV11:TUW47 UER11:UES47 UON11:UOO47 UYJ11:UYK47 VIF11:VIG47 VSB11:VSC47 WBX11:WBY47 WLT11:WLU47 WVP11:WVQ47 H65547:I65583 JD65547:JE65583 SZ65547:TA65583 ACV65547:ACW65583 AMR65547:AMS65583 AWN65547:AWO65583 BGJ65547:BGK65583 BQF65547:BQG65583 CAB65547:CAC65583 CJX65547:CJY65583 CTT65547:CTU65583 DDP65547:DDQ65583 DNL65547:DNM65583 DXH65547:DXI65583 EHD65547:EHE65583 EQZ65547:ERA65583 FAV65547:FAW65583 FKR65547:FKS65583 FUN65547:FUO65583 GEJ65547:GEK65583 GOF65547:GOG65583 GYB65547:GYC65583 HHX65547:HHY65583 HRT65547:HRU65583 IBP65547:IBQ65583 ILL65547:ILM65583 IVH65547:IVI65583 JFD65547:JFE65583 JOZ65547:JPA65583 JYV65547:JYW65583 KIR65547:KIS65583 KSN65547:KSO65583 LCJ65547:LCK65583 LMF65547:LMG65583 LWB65547:LWC65583 MFX65547:MFY65583 MPT65547:MPU65583 MZP65547:MZQ65583 NJL65547:NJM65583 NTH65547:NTI65583 ODD65547:ODE65583 OMZ65547:ONA65583 OWV65547:OWW65583 PGR65547:PGS65583 PQN65547:PQO65583 QAJ65547:QAK65583 QKF65547:QKG65583 QUB65547:QUC65583 RDX65547:RDY65583 RNT65547:RNU65583 RXP65547:RXQ65583 SHL65547:SHM65583 SRH65547:SRI65583 TBD65547:TBE65583 TKZ65547:TLA65583 TUV65547:TUW65583 UER65547:UES65583 UON65547:UOO65583 UYJ65547:UYK65583 VIF65547:VIG65583 VSB65547:VSC65583 WBX65547:WBY65583 WLT65547:WLU65583 WVP65547:WVQ65583 H131083:I131119 JD131083:JE131119 SZ131083:TA131119 ACV131083:ACW131119 AMR131083:AMS131119 AWN131083:AWO131119 BGJ131083:BGK131119 BQF131083:BQG131119 CAB131083:CAC131119 CJX131083:CJY131119 CTT131083:CTU131119 DDP131083:DDQ131119 DNL131083:DNM131119 DXH131083:DXI131119 EHD131083:EHE131119 EQZ131083:ERA131119 FAV131083:FAW131119 FKR131083:FKS131119 FUN131083:FUO131119 GEJ131083:GEK131119 GOF131083:GOG131119 GYB131083:GYC131119 HHX131083:HHY131119 HRT131083:HRU131119 IBP131083:IBQ131119 ILL131083:ILM131119 IVH131083:IVI131119 JFD131083:JFE131119 JOZ131083:JPA131119 JYV131083:JYW131119 KIR131083:KIS131119 KSN131083:KSO131119 LCJ131083:LCK131119 LMF131083:LMG131119 LWB131083:LWC131119 MFX131083:MFY131119 MPT131083:MPU131119 MZP131083:MZQ131119 NJL131083:NJM131119 NTH131083:NTI131119 ODD131083:ODE131119 OMZ131083:ONA131119 OWV131083:OWW131119 PGR131083:PGS131119 PQN131083:PQO131119 QAJ131083:QAK131119 QKF131083:QKG131119 QUB131083:QUC131119 RDX131083:RDY131119 RNT131083:RNU131119 RXP131083:RXQ131119 SHL131083:SHM131119 SRH131083:SRI131119 TBD131083:TBE131119 TKZ131083:TLA131119 TUV131083:TUW131119 UER131083:UES131119 UON131083:UOO131119 UYJ131083:UYK131119 VIF131083:VIG131119 VSB131083:VSC131119 WBX131083:WBY131119 WLT131083:WLU131119 WVP131083:WVQ131119 H196619:I196655 JD196619:JE196655 SZ196619:TA196655 ACV196619:ACW196655 AMR196619:AMS196655 AWN196619:AWO196655 BGJ196619:BGK196655 BQF196619:BQG196655 CAB196619:CAC196655 CJX196619:CJY196655 CTT196619:CTU196655 DDP196619:DDQ196655 DNL196619:DNM196655 DXH196619:DXI196655 EHD196619:EHE196655 EQZ196619:ERA196655 FAV196619:FAW196655 FKR196619:FKS196655 FUN196619:FUO196655 GEJ196619:GEK196655 GOF196619:GOG196655 GYB196619:GYC196655 HHX196619:HHY196655 HRT196619:HRU196655 IBP196619:IBQ196655 ILL196619:ILM196655 IVH196619:IVI196655 JFD196619:JFE196655 JOZ196619:JPA196655 JYV196619:JYW196655 KIR196619:KIS196655 KSN196619:KSO196655 LCJ196619:LCK196655 LMF196619:LMG196655 LWB196619:LWC196655 MFX196619:MFY196655 MPT196619:MPU196655 MZP196619:MZQ196655 NJL196619:NJM196655 NTH196619:NTI196655 ODD196619:ODE196655 OMZ196619:ONA196655 OWV196619:OWW196655 PGR196619:PGS196655 PQN196619:PQO196655 QAJ196619:QAK196655 QKF196619:QKG196655 QUB196619:QUC196655 RDX196619:RDY196655 RNT196619:RNU196655 RXP196619:RXQ196655 SHL196619:SHM196655 SRH196619:SRI196655 TBD196619:TBE196655 TKZ196619:TLA196655 TUV196619:TUW196655 UER196619:UES196655 UON196619:UOO196655 UYJ196619:UYK196655 VIF196619:VIG196655 VSB196619:VSC196655 WBX196619:WBY196655 WLT196619:WLU196655 WVP196619:WVQ196655 H262155:I262191 JD262155:JE262191 SZ262155:TA262191 ACV262155:ACW262191 AMR262155:AMS262191 AWN262155:AWO262191 BGJ262155:BGK262191 BQF262155:BQG262191 CAB262155:CAC262191 CJX262155:CJY262191 CTT262155:CTU262191 DDP262155:DDQ262191 DNL262155:DNM262191 DXH262155:DXI262191 EHD262155:EHE262191 EQZ262155:ERA262191 FAV262155:FAW262191 FKR262155:FKS262191 FUN262155:FUO262191 GEJ262155:GEK262191 GOF262155:GOG262191 GYB262155:GYC262191 HHX262155:HHY262191 HRT262155:HRU262191 IBP262155:IBQ262191 ILL262155:ILM262191 IVH262155:IVI262191 JFD262155:JFE262191 JOZ262155:JPA262191 JYV262155:JYW262191 KIR262155:KIS262191 KSN262155:KSO262191 LCJ262155:LCK262191 LMF262155:LMG262191 LWB262155:LWC262191 MFX262155:MFY262191 MPT262155:MPU262191 MZP262155:MZQ262191 NJL262155:NJM262191 NTH262155:NTI262191 ODD262155:ODE262191 OMZ262155:ONA262191 OWV262155:OWW262191 PGR262155:PGS262191 PQN262155:PQO262191 QAJ262155:QAK262191 QKF262155:QKG262191 QUB262155:QUC262191 RDX262155:RDY262191 RNT262155:RNU262191 RXP262155:RXQ262191 SHL262155:SHM262191 SRH262155:SRI262191 TBD262155:TBE262191 TKZ262155:TLA262191 TUV262155:TUW262191 UER262155:UES262191 UON262155:UOO262191 UYJ262155:UYK262191 VIF262155:VIG262191 VSB262155:VSC262191 WBX262155:WBY262191 WLT262155:WLU262191 WVP262155:WVQ262191 H327691:I327727 JD327691:JE327727 SZ327691:TA327727 ACV327691:ACW327727 AMR327691:AMS327727 AWN327691:AWO327727 BGJ327691:BGK327727 BQF327691:BQG327727 CAB327691:CAC327727 CJX327691:CJY327727 CTT327691:CTU327727 DDP327691:DDQ327727 DNL327691:DNM327727 DXH327691:DXI327727 EHD327691:EHE327727 EQZ327691:ERA327727 FAV327691:FAW327727 FKR327691:FKS327727 FUN327691:FUO327727 GEJ327691:GEK327727 GOF327691:GOG327727 GYB327691:GYC327727 HHX327691:HHY327727 HRT327691:HRU327727 IBP327691:IBQ327727 ILL327691:ILM327727 IVH327691:IVI327727 JFD327691:JFE327727 JOZ327691:JPA327727 JYV327691:JYW327727 KIR327691:KIS327727 KSN327691:KSO327727 LCJ327691:LCK327727 LMF327691:LMG327727 LWB327691:LWC327727 MFX327691:MFY327727 MPT327691:MPU327727 MZP327691:MZQ327727 NJL327691:NJM327727 NTH327691:NTI327727 ODD327691:ODE327727 OMZ327691:ONA327727 OWV327691:OWW327727 PGR327691:PGS327727 PQN327691:PQO327727 QAJ327691:QAK327727 QKF327691:QKG327727 QUB327691:QUC327727 RDX327691:RDY327727 RNT327691:RNU327727 RXP327691:RXQ327727 SHL327691:SHM327727 SRH327691:SRI327727 TBD327691:TBE327727 TKZ327691:TLA327727 TUV327691:TUW327727 UER327691:UES327727 UON327691:UOO327727 UYJ327691:UYK327727 VIF327691:VIG327727 VSB327691:VSC327727 WBX327691:WBY327727 WLT327691:WLU327727 WVP327691:WVQ327727 H393227:I393263 JD393227:JE393263 SZ393227:TA393263 ACV393227:ACW393263 AMR393227:AMS393263 AWN393227:AWO393263 BGJ393227:BGK393263 BQF393227:BQG393263 CAB393227:CAC393263 CJX393227:CJY393263 CTT393227:CTU393263 DDP393227:DDQ393263 DNL393227:DNM393263 DXH393227:DXI393263 EHD393227:EHE393263 EQZ393227:ERA393263 FAV393227:FAW393263 FKR393227:FKS393263 FUN393227:FUO393263 GEJ393227:GEK393263 GOF393227:GOG393263 GYB393227:GYC393263 HHX393227:HHY393263 HRT393227:HRU393263 IBP393227:IBQ393263 ILL393227:ILM393263 IVH393227:IVI393263 JFD393227:JFE393263 JOZ393227:JPA393263 JYV393227:JYW393263 KIR393227:KIS393263 KSN393227:KSO393263 LCJ393227:LCK393263 LMF393227:LMG393263 LWB393227:LWC393263 MFX393227:MFY393263 MPT393227:MPU393263 MZP393227:MZQ393263 NJL393227:NJM393263 NTH393227:NTI393263 ODD393227:ODE393263 OMZ393227:ONA393263 OWV393227:OWW393263 PGR393227:PGS393263 PQN393227:PQO393263 QAJ393227:QAK393263 QKF393227:QKG393263 QUB393227:QUC393263 RDX393227:RDY393263 RNT393227:RNU393263 RXP393227:RXQ393263 SHL393227:SHM393263 SRH393227:SRI393263 TBD393227:TBE393263 TKZ393227:TLA393263 TUV393227:TUW393263 UER393227:UES393263 UON393227:UOO393263 UYJ393227:UYK393263 VIF393227:VIG393263 VSB393227:VSC393263 WBX393227:WBY393263 WLT393227:WLU393263 WVP393227:WVQ393263 H458763:I458799 JD458763:JE458799 SZ458763:TA458799 ACV458763:ACW458799 AMR458763:AMS458799 AWN458763:AWO458799 BGJ458763:BGK458799 BQF458763:BQG458799 CAB458763:CAC458799 CJX458763:CJY458799 CTT458763:CTU458799 DDP458763:DDQ458799 DNL458763:DNM458799 DXH458763:DXI458799 EHD458763:EHE458799 EQZ458763:ERA458799 FAV458763:FAW458799 FKR458763:FKS458799 FUN458763:FUO458799 GEJ458763:GEK458799 GOF458763:GOG458799 GYB458763:GYC458799 HHX458763:HHY458799 HRT458763:HRU458799 IBP458763:IBQ458799 ILL458763:ILM458799 IVH458763:IVI458799 JFD458763:JFE458799 JOZ458763:JPA458799 JYV458763:JYW458799 KIR458763:KIS458799 KSN458763:KSO458799 LCJ458763:LCK458799 LMF458763:LMG458799 LWB458763:LWC458799 MFX458763:MFY458799 MPT458763:MPU458799 MZP458763:MZQ458799 NJL458763:NJM458799 NTH458763:NTI458799 ODD458763:ODE458799 OMZ458763:ONA458799 OWV458763:OWW458799 PGR458763:PGS458799 PQN458763:PQO458799 QAJ458763:QAK458799 QKF458763:QKG458799 QUB458763:QUC458799 RDX458763:RDY458799 RNT458763:RNU458799 RXP458763:RXQ458799 SHL458763:SHM458799 SRH458763:SRI458799 TBD458763:TBE458799 TKZ458763:TLA458799 TUV458763:TUW458799 UER458763:UES458799 UON458763:UOO458799 UYJ458763:UYK458799 VIF458763:VIG458799 VSB458763:VSC458799 WBX458763:WBY458799 WLT458763:WLU458799 WVP458763:WVQ458799 H524299:I524335 JD524299:JE524335 SZ524299:TA524335 ACV524299:ACW524335 AMR524299:AMS524335 AWN524299:AWO524335 BGJ524299:BGK524335 BQF524299:BQG524335 CAB524299:CAC524335 CJX524299:CJY524335 CTT524299:CTU524335 DDP524299:DDQ524335 DNL524299:DNM524335 DXH524299:DXI524335 EHD524299:EHE524335 EQZ524299:ERA524335 FAV524299:FAW524335 FKR524299:FKS524335 FUN524299:FUO524335 GEJ524299:GEK524335 GOF524299:GOG524335 GYB524299:GYC524335 HHX524299:HHY524335 HRT524299:HRU524335 IBP524299:IBQ524335 ILL524299:ILM524335 IVH524299:IVI524335 JFD524299:JFE524335 JOZ524299:JPA524335 JYV524299:JYW524335 KIR524299:KIS524335 KSN524299:KSO524335 LCJ524299:LCK524335 LMF524299:LMG524335 LWB524299:LWC524335 MFX524299:MFY524335 MPT524299:MPU524335 MZP524299:MZQ524335 NJL524299:NJM524335 NTH524299:NTI524335 ODD524299:ODE524335 OMZ524299:ONA524335 OWV524299:OWW524335 PGR524299:PGS524335 PQN524299:PQO524335 QAJ524299:QAK524335 QKF524299:QKG524335 QUB524299:QUC524335 RDX524299:RDY524335 RNT524299:RNU524335 RXP524299:RXQ524335 SHL524299:SHM524335 SRH524299:SRI524335 TBD524299:TBE524335 TKZ524299:TLA524335 TUV524299:TUW524335 UER524299:UES524335 UON524299:UOO524335 UYJ524299:UYK524335 VIF524299:VIG524335 VSB524299:VSC524335 WBX524299:WBY524335 WLT524299:WLU524335 WVP524299:WVQ524335 H589835:I589871 JD589835:JE589871 SZ589835:TA589871 ACV589835:ACW589871 AMR589835:AMS589871 AWN589835:AWO589871 BGJ589835:BGK589871 BQF589835:BQG589871 CAB589835:CAC589871 CJX589835:CJY589871 CTT589835:CTU589871 DDP589835:DDQ589871 DNL589835:DNM589871 DXH589835:DXI589871 EHD589835:EHE589871 EQZ589835:ERA589871 FAV589835:FAW589871 FKR589835:FKS589871 FUN589835:FUO589871 GEJ589835:GEK589871 GOF589835:GOG589871 GYB589835:GYC589871 HHX589835:HHY589871 HRT589835:HRU589871 IBP589835:IBQ589871 ILL589835:ILM589871 IVH589835:IVI589871 JFD589835:JFE589871 JOZ589835:JPA589871 JYV589835:JYW589871 KIR589835:KIS589871 KSN589835:KSO589871 LCJ589835:LCK589871 LMF589835:LMG589871 LWB589835:LWC589871 MFX589835:MFY589871 MPT589835:MPU589871 MZP589835:MZQ589871 NJL589835:NJM589871 NTH589835:NTI589871 ODD589835:ODE589871 OMZ589835:ONA589871 OWV589835:OWW589871 PGR589835:PGS589871 PQN589835:PQO589871 QAJ589835:QAK589871 QKF589835:QKG589871 QUB589835:QUC589871 RDX589835:RDY589871 RNT589835:RNU589871 RXP589835:RXQ589871 SHL589835:SHM589871 SRH589835:SRI589871 TBD589835:TBE589871 TKZ589835:TLA589871 TUV589835:TUW589871 UER589835:UES589871 UON589835:UOO589871 UYJ589835:UYK589871 VIF589835:VIG589871 VSB589835:VSC589871 WBX589835:WBY589871 WLT589835:WLU589871 WVP589835:WVQ589871 H655371:I655407 JD655371:JE655407 SZ655371:TA655407 ACV655371:ACW655407 AMR655371:AMS655407 AWN655371:AWO655407 BGJ655371:BGK655407 BQF655371:BQG655407 CAB655371:CAC655407 CJX655371:CJY655407 CTT655371:CTU655407 DDP655371:DDQ655407 DNL655371:DNM655407 DXH655371:DXI655407 EHD655371:EHE655407 EQZ655371:ERA655407 FAV655371:FAW655407 FKR655371:FKS655407 FUN655371:FUO655407 GEJ655371:GEK655407 GOF655371:GOG655407 GYB655371:GYC655407 HHX655371:HHY655407 HRT655371:HRU655407 IBP655371:IBQ655407 ILL655371:ILM655407 IVH655371:IVI655407 JFD655371:JFE655407 JOZ655371:JPA655407 JYV655371:JYW655407 KIR655371:KIS655407 KSN655371:KSO655407 LCJ655371:LCK655407 LMF655371:LMG655407 LWB655371:LWC655407 MFX655371:MFY655407 MPT655371:MPU655407 MZP655371:MZQ655407 NJL655371:NJM655407 NTH655371:NTI655407 ODD655371:ODE655407 OMZ655371:ONA655407 OWV655371:OWW655407 PGR655371:PGS655407 PQN655371:PQO655407 QAJ655371:QAK655407 QKF655371:QKG655407 QUB655371:QUC655407 RDX655371:RDY655407 RNT655371:RNU655407 RXP655371:RXQ655407 SHL655371:SHM655407 SRH655371:SRI655407 TBD655371:TBE655407 TKZ655371:TLA655407 TUV655371:TUW655407 UER655371:UES655407 UON655371:UOO655407 UYJ655371:UYK655407 VIF655371:VIG655407 VSB655371:VSC655407 WBX655371:WBY655407 WLT655371:WLU655407 WVP655371:WVQ655407 H720907:I720943 JD720907:JE720943 SZ720907:TA720943 ACV720907:ACW720943 AMR720907:AMS720943 AWN720907:AWO720943 BGJ720907:BGK720943 BQF720907:BQG720943 CAB720907:CAC720943 CJX720907:CJY720943 CTT720907:CTU720943 DDP720907:DDQ720943 DNL720907:DNM720943 DXH720907:DXI720943 EHD720907:EHE720943 EQZ720907:ERA720943 FAV720907:FAW720943 FKR720907:FKS720943 FUN720907:FUO720943 GEJ720907:GEK720943 GOF720907:GOG720943 GYB720907:GYC720943 HHX720907:HHY720943 HRT720907:HRU720943 IBP720907:IBQ720943 ILL720907:ILM720943 IVH720907:IVI720943 JFD720907:JFE720943 JOZ720907:JPA720943 JYV720907:JYW720943 KIR720907:KIS720943 KSN720907:KSO720943 LCJ720907:LCK720943 LMF720907:LMG720943 LWB720907:LWC720943 MFX720907:MFY720943 MPT720907:MPU720943 MZP720907:MZQ720943 NJL720907:NJM720943 NTH720907:NTI720943 ODD720907:ODE720943 OMZ720907:ONA720943 OWV720907:OWW720943 PGR720907:PGS720943 PQN720907:PQO720943 QAJ720907:QAK720943 QKF720907:QKG720943 QUB720907:QUC720943 RDX720907:RDY720943 RNT720907:RNU720943 RXP720907:RXQ720943 SHL720907:SHM720943 SRH720907:SRI720943 TBD720907:TBE720943 TKZ720907:TLA720943 TUV720907:TUW720943 UER720907:UES720943 UON720907:UOO720943 UYJ720907:UYK720943 VIF720907:VIG720943 VSB720907:VSC720943 WBX720907:WBY720943 WLT720907:WLU720943 WVP720907:WVQ720943 H786443:I786479 JD786443:JE786479 SZ786443:TA786479 ACV786443:ACW786479 AMR786443:AMS786479 AWN786443:AWO786479 BGJ786443:BGK786479 BQF786443:BQG786479 CAB786443:CAC786479 CJX786443:CJY786479 CTT786443:CTU786479 DDP786443:DDQ786479 DNL786443:DNM786479 DXH786443:DXI786479 EHD786443:EHE786479 EQZ786443:ERA786479 FAV786443:FAW786479 FKR786443:FKS786479 FUN786443:FUO786479 GEJ786443:GEK786479 GOF786443:GOG786479 GYB786443:GYC786479 HHX786443:HHY786479 HRT786443:HRU786479 IBP786443:IBQ786479 ILL786443:ILM786479 IVH786443:IVI786479 JFD786443:JFE786479 JOZ786443:JPA786479 JYV786443:JYW786479 KIR786443:KIS786479 KSN786443:KSO786479 LCJ786443:LCK786479 LMF786443:LMG786479 LWB786443:LWC786479 MFX786443:MFY786479 MPT786443:MPU786479 MZP786443:MZQ786479 NJL786443:NJM786479 NTH786443:NTI786479 ODD786443:ODE786479 OMZ786443:ONA786479 OWV786443:OWW786479 PGR786443:PGS786479 PQN786443:PQO786479 QAJ786443:QAK786479 QKF786443:QKG786479 QUB786443:QUC786479 RDX786443:RDY786479 RNT786443:RNU786479 RXP786443:RXQ786479 SHL786443:SHM786479 SRH786443:SRI786479 TBD786443:TBE786479 TKZ786443:TLA786479 TUV786443:TUW786479 UER786443:UES786479 UON786443:UOO786479 UYJ786443:UYK786479 VIF786443:VIG786479 VSB786443:VSC786479 WBX786443:WBY786479 WLT786443:WLU786479 WVP786443:WVQ786479 H851979:I852015 JD851979:JE852015 SZ851979:TA852015 ACV851979:ACW852015 AMR851979:AMS852015 AWN851979:AWO852015 BGJ851979:BGK852015 BQF851979:BQG852015 CAB851979:CAC852015 CJX851979:CJY852015 CTT851979:CTU852015 DDP851979:DDQ852015 DNL851979:DNM852015 DXH851979:DXI852015 EHD851979:EHE852015 EQZ851979:ERA852015 FAV851979:FAW852015 FKR851979:FKS852015 FUN851979:FUO852015 GEJ851979:GEK852015 GOF851979:GOG852015 GYB851979:GYC852015 HHX851979:HHY852015 HRT851979:HRU852015 IBP851979:IBQ852015 ILL851979:ILM852015 IVH851979:IVI852015 JFD851979:JFE852015 JOZ851979:JPA852015 JYV851979:JYW852015 KIR851979:KIS852015 KSN851979:KSO852015 LCJ851979:LCK852015 LMF851979:LMG852015 LWB851979:LWC852015 MFX851979:MFY852015 MPT851979:MPU852015 MZP851979:MZQ852015 NJL851979:NJM852015 NTH851979:NTI852015 ODD851979:ODE852015 OMZ851979:ONA852015 OWV851979:OWW852015 PGR851979:PGS852015 PQN851979:PQO852015 QAJ851979:QAK852015 QKF851979:QKG852015 QUB851979:QUC852015 RDX851979:RDY852015 RNT851979:RNU852015 RXP851979:RXQ852015 SHL851979:SHM852015 SRH851979:SRI852015 TBD851979:TBE852015 TKZ851979:TLA852015 TUV851979:TUW852015 UER851979:UES852015 UON851979:UOO852015 UYJ851979:UYK852015 VIF851979:VIG852015 VSB851979:VSC852015 WBX851979:WBY852015 WLT851979:WLU852015 WVP851979:WVQ852015 H917515:I917551 JD917515:JE917551 SZ917515:TA917551 ACV917515:ACW917551 AMR917515:AMS917551 AWN917515:AWO917551 BGJ917515:BGK917551 BQF917515:BQG917551 CAB917515:CAC917551 CJX917515:CJY917551 CTT917515:CTU917551 DDP917515:DDQ917551 DNL917515:DNM917551 DXH917515:DXI917551 EHD917515:EHE917551 EQZ917515:ERA917551 FAV917515:FAW917551 FKR917515:FKS917551 FUN917515:FUO917551 GEJ917515:GEK917551 GOF917515:GOG917551 GYB917515:GYC917551 HHX917515:HHY917551 HRT917515:HRU917551 IBP917515:IBQ917551 ILL917515:ILM917551 IVH917515:IVI917551 JFD917515:JFE917551 JOZ917515:JPA917551 JYV917515:JYW917551 KIR917515:KIS917551 KSN917515:KSO917551 LCJ917515:LCK917551 LMF917515:LMG917551 LWB917515:LWC917551 MFX917515:MFY917551 MPT917515:MPU917551 MZP917515:MZQ917551 NJL917515:NJM917551 NTH917515:NTI917551 ODD917515:ODE917551 OMZ917515:ONA917551 OWV917515:OWW917551 PGR917515:PGS917551 PQN917515:PQO917551 QAJ917515:QAK917551 QKF917515:QKG917551 QUB917515:QUC917551 RDX917515:RDY917551 RNT917515:RNU917551 RXP917515:RXQ917551 SHL917515:SHM917551 SRH917515:SRI917551 TBD917515:TBE917551 TKZ917515:TLA917551 TUV917515:TUW917551 UER917515:UES917551 UON917515:UOO917551 UYJ917515:UYK917551 VIF917515:VIG917551 VSB917515:VSC917551 WBX917515:WBY917551 WLT917515:WLU917551 WVP917515:WVQ917551 H983051:I983087 JD983051:JE983087 SZ983051:TA983087 ACV983051:ACW983087 AMR983051:AMS983087 AWN983051:AWO983087 BGJ983051:BGK983087 BQF983051:BQG983087 CAB983051:CAC983087 CJX983051:CJY983087 CTT983051:CTU983087 DDP983051:DDQ983087 DNL983051:DNM983087 DXH983051:DXI983087 EHD983051:EHE983087 EQZ983051:ERA983087 FAV983051:FAW983087 FKR983051:FKS983087 FUN983051:FUO983087 GEJ983051:GEK983087 GOF983051:GOG983087 GYB983051:GYC983087 HHX983051:HHY983087 HRT983051:HRU983087 IBP983051:IBQ983087 ILL983051:ILM983087 IVH983051:IVI983087 JFD983051:JFE983087 JOZ983051:JPA983087 JYV983051:JYW983087 KIR983051:KIS983087 KSN983051:KSO983087 LCJ983051:LCK983087 LMF983051:LMG983087 LWB983051:LWC983087 MFX983051:MFY983087 MPT983051:MPU983087 MZP983051:MZQ983087 NJL983051:NJM983087 NTH983051:NTI983087 ODD983051:ODE983087 OMZ983051:ONA983087 OWV983051:OWW983087 PGR983051:PGS983087 PQN983051:PQO983087 QAJ983051:QAK983087 QKF983051:QKG983087 QUB983051:QUC983087 RDX983051:RDY983087 RNT983051:RNU983087 RXP983051:RXQ983087 SHL983051:SHM983087 SRH983051:SRI983087 TBD983051:TBE983087 TKZ983051:TLA983087 TUV983051:TUW983087 UER983051:UES983087 UON983051:UOO983087 UYJ983051:UYK983087 VIF983051:VIG983087 VSB983051:VSC983087 WBX983051:WBY983087 WLT983051:WLU983087 WVP983051:WVQ983087 I54:I158 JE54:JE158 TA54:TA158 ACW54:ACW158 AMS54:AMS158 AWO54:AWO158 BGK54:BGK158 BQG54:BQG158 CAC54:CAC158 CJY54:CJY158 CTU54:CTU158 DDQ54:DDQ158 DNM54:DNM158 DXI54:DXI158 EHE54:EHE158 ERA54:ERA158 FAW54:FAW158 FKS54:FKS158 FUO54:FUO158 GEK54:GEK158 GOG54:GOG158 GYC54:GYC158 HHY54:HHY158 HRU54:HRU158 IBQ54:IBQ158 ILM54:ILM158 IVI54:IVI158 JFE54:JFE158 JPA54:JPA158 JYW54:JYW158 KIS54:KIS158 KSO54:KSO158 LCK54:LCK158 LMG54:LMG158 LWC54:LWC158 MFY54:MFY158 MPU54:MPU158 MZQ54:MZQ158 NJM54:NJM158 NTI54:NTI158 ODE54:ODE158 ONA54:ONA158 OWW54:OWW158 PGS54:PGS158 PQO54:PQO158 QAK54:QAK158 QKG54:QKG158 QUC54:QUC158 RDY54:RDY158 RNU54:RNU158 RXQ54:RXQ158 SHM54:SHM158 SRI54:SRI158 TBE54:TBE158 TLA54:TLA158 TUW54:TUW158 UES54:UES158 UOO54:UOO158 UYK54:UYK158 VIG54:VIG158 VSC54:VSC158 WBY54:WBY158 WLU54:WLU158 WVQ54:WVQ158 I65590:I65694 JE65590:JE65694 TA65590:TA65694 ACW65590:ACW65694 AMS65590:AMS65694 AWO65590:AWO65694 BGK65590:BGK65694 BQG65590:BQG65694 CAC65590:CAC65694 CJY65590:CJY65694 CTU65590:CTU65694 DDQ65590:DDQ65694 DNM65590:DNM65694 DXI65590:DXI65694 EHE65590:EHE65694 ERA65590:ERA65694 FAW65590:FAW65694 FKS65590:FKS65694 FUO65590:FUO65694 GEK65590:GEK65694 GOG65590:GOG65694 GYC65590:GYC65694 HHY65590:HHY65694 HRU65590:HRU65694 IBQ65590:IBQ65694 ILM65590:ILM65694 IVI65590:IVI65694 JFE65590:JFE65694 JPA65590:JPA65694 JYW65590:JYW65694 KIS65590:KIS65694 KSO65590:KSO65694 LCK65590:LCK65694 LMG65590:LMG65694 LWC65590:LWC65694 MFY65590:MFY65694 MPU65590:MPU65694 MZQ65590:MZQ65694 NJM65590:NJM65694 NTI65590:NTI65694 ODE65590:ODE65694 ONA65590:ONA65694 OWW65590:OWW65694 PGS65590:PGS65694 PQO65590:PQO65694 QAK65590:QAK65694 QKG65590:QKG65694 QUC65590:QUC65694 RDY65590:RDY65694 RNU65590:RNU65694 RXQ65590:RXQ65694 SHM65590:SHM65694 SRI65590:SRI65694 TBE65590:TBE65694 TLA65590:TLA65694 TUW65590:TUW65694 UES65590:UES65694 UOO65590:UOO65694 UYK65590:UYK65694 VIG65590:VIG65694 VSC65590:VSC65694 WBY65590:WBY65694 WLU65590:WLU65694 WVQ65590:WVQ65694 I131126:I131230 JE131126:JE131230 TA131126:TA131230 ACW131126:ACW131230 AMS131126:AMS131230 AWO131126:AWO131230 BGK131126:BGK131230 BQG131126:BQG131230 CAC131126:CAC131230 CJY131126:CJY131230 CTU131126:CTU131230 DDQ131126:DDQ131230 DNM131126:DNM131230 DXI131126:DXI131230 EHE131126:EHE131230 ERA131126:ERA131230 FAW131126:FAW131230 FKS131126:FKS131230 FUO131126:FUO131230 GEK131126:GEK131230 GOG131126:GOG131230 GYC131126:GYC131230 HHY131126:HHY131230 HRU131126:HRU131230 IBQ131126:IBQ131230 ILM131126:ILM131230 IVI131126:IVI131230 JFE131126:JFE131230 JPA131126:JPA131230 JYW131126:JYW131230 KIS131126:KIS131230 KSO131126:KSO131230 LCK131126:LCK131230 LMG131126:LMG131230 LWC131126:LWC131230 MFY131126:MFY131230 MPU131126:MPU131230 MZQ131126:MZQ131230 NJM131126:NJM131230 NTI131126:NTI131230 ODE131126:ODE131230 ONA131126:ONA131230 OWW131126:OWW131230 PGS131126:PGS131230 PQO131126:PQO131230 QAK131126:QAK131230 QKG131126:QKG131230 QUC131126:QUC131230 RDY131126:RDY131230 RNU131126:RNU131230 RXQ131126:RXQ131230 SHM131126:SHM131230 SRI131126:SRI131230 TBE131126:TBE131230 TLA131126:TLA131230 TUW131126:TUW131230 UES131126:UES131230 UOO131126:UOO131230 UYK131126:UYK131230 VIG131126:VIG131230 VSC131126:VSC131230 WBY131126:WBY131230 WLU131126:WLU131230 WVQ131126:WVQ131230 I196662:I196766 JE196662:JE196766 TA196662:TA196766 ACW196662:ACW196766 AMS196662:AMS196766 AWO196662:AWO196766 BGK196662:BGK196766 BQG196662:BQG196766 CAC196662:CAC196766 CJY196662:CJY196766 CTU196662:CTU196766 DDQ196662:DDQ196766 DNM196662:DNM196766 DXI196662:DXI196766 EHE196662:EHE196766 ERA196662:ERA196766 FAW196662:FAW196766 FKS196662:FKS196766 FUO196662:FUO196766 GEK196662:GEK196766 GOG196662:GOG196766 GYC196662:GYC196766 HHY196662:HHY196766 HRU196662:HRU196766 IBQ196662:IBQ196766 ILM196662:ILM196766 IVI196662:IVI196766 JFE196662:JFE196766 JPA196662:JPA196766 JYW196662:JYW196766 KIS196662:KIS196766 KSO196662:KSO196766 LCK196662:LCK196766 LMG196662:LMG196766 LWC196662:LWC196766 MFY196662:MFY196766 MPU196662:MPU196766 MZQ196662:MZQ196766 NJM196662:NJM196766 NTI196662:NTI196766 ODE196662:ODE196766 ONA196662:ONA196766 OWW196662:OWW196766 PGS196662:PGS196766 PQO196662:PQO196766 QAK196662:QAK196766 QKG196662:QKG196766 QUC196662:QUC196766 RDY196662:RDY196766 RNU196662:RNU196766 RXQ196662:RXQ196766 SHM196662:SHM196766 SRI196662:SRI196766 TBE196662:TBE196766 TLA196662:TLA196766 TUW196662:TUW196766 UES196662:UES196766 UOO196662:UOO196766 UYK196662:UYK196766 VIG196662:VIG196766 VSC196662:VSC196766 WBY196662:WBY196766 WLU196662:WLU196766 WVQ196662:WVQ196766 I262198:I262302 JE262198:JE262302 TA262198:TA262302 ACW262198:ACW262302 AMS262198:AMS262302 AWO262198:AWO262302 BGK262198:BGK262302 BQG262198:BQG262302 CAC262198:CAC262302 CJY262198:CJY262302 CTU262198:CTU262302 DDQ262198:DDQ262302 DNM262198:DNM262302 DXI262198:DXI262302 EHE262198:EHE262302 ERA262198:ERA262302 FAW262198:FAW262302 FKS262198:FKS262302 FUO262198:FUO262302 GEK262198:GEK262302 GOG262198:GOG262302 GYC262198:GYC262302 HHY262198:HHY262302 HRU262198:HRU262302 IBQ262198:IBQ262302 ILM262198:ILM262302 IVI262198:IVI262302 JFE262198:JFE262302 JPA262198:JPA262302 JYW262198:JYW262302 KIS262198:KIS262302 KSO262198:KSO262302 LCK262198:LCK262302 LMG262198:LMG262302 LWC262198:LWC262302 MFY262198:MFY262302 MPU262198:MPU262302 MZQ262198:MZQ262302 NJM262198:NJM262302 NTI262198:NTI262302 ODE262198:ODE262302 ONA262198:ONA262302 OWW262198:OWW262302 PGS262198:PGS262302 PQO262198:PQO262302 QAK262198:QAK262302 QKG262198:QKG262302 QUC262198:QUC262302 RDY262198:RDY262302 RNU262198:RNU262302 RXQ262198:RXQ262302 SHM262198:SHM262302 SRI262198:SRI262302 TBE262198:TBE262302 TLA262198:TLA262302 TUW262198:TUW262302 UES262198:UES262302 UOO262198:UOO262302 UYK262198:UYK262302 VIG262198:VIG262302 VSC262198:VSC262302 WBY262198:WBY262302 WLU262198:WLU262302 WVQ262198:WVQ262302 I327734:I327838 JE327734:JE327838 TA327734:TA327838 ACW327734:ACW327838 AMS327734:AMS327838 AWO327734:AWO327838 BGK327734:BGK327838 BQG327734:BQG327838 CAC327734:CAC327838 CJY327734:CJY327838 CTU327734:CTU327838 DDQ327734:DDQ327838 DNM327734:DNM327838 DXI327734:DXI327838 EHE327734:EHE327838 ERA327734:ERA327838 FAW327734:FAW327838 FKS327734:FKS327838 FUO327734:FUO327838 GEK327734:GEK327838 GOG327734:GOG327838 GYC327734:GYC327838 HHY327734:HHY327838 HRU327734:HRU327838 IBQ327734:IBQ327838 ILM327734:ILM327838 IVI327734:IVI327838 JFE327734:JFE327838 JPA327734:JPA327838 JYW327734:JYW327838 KIS327734:KIS327838 KSO327734:KSO327838 LCK327734:LCK327838 LMG327734:LMG327838 LWC327734:LWC327838 MFY327734:MFY327838 MPU327734:MPU327838 MZQ327734:MZQ327838 NJM327734:NJM327838 NTI327734:NTI327838 ODE327734:ODE327838 ONA327734:ONA327838 OWW327734:OWW327838 PGS327734:PGS327838 PQO327734:PQO327838 QAK327734:QAK327838 QKG327734:QKG327838 QUC327734:QUC327838 RDY327734:RDY327838 RNU327734:RNU327838 RXQ327734:RXQ327838 SHM327734:SHM327838 SRI327734:SRI327838 TBE327734:TBE327838 TLA327734:TLA327838 TUW327734:TUW327838 UES327734:UES327838 UOO327734:UOO327838 UYK327734:UYK327838 VIG327734:VIG327838 VSC327734:VSC327838 WBY327734:WBY327838 WLU327734:WLU327838 WVQ327734:WVQ327838 I393270:I393374 JE393270:JE393374 TA393270:TA393374 ACW393270:ACW393374 AMS393270:AMS393374 AWO393270:AWO393374 BGK393270:BGK393374 BQG393270:BQG393374 CAC393270:CAC393374 CJY393270:CJY393374 CTU393270:CTU393374 DDQ393270:DDQ393374 DNM393270:DNM393374 DXI393270:DXI393374 EHE393270:EHE393374 ERA393270:ERA393374 FAW393270:FAW393374 FKS393270:FKS393374 FUO393270:FUO393374 GEK393270:GEK393374 GOG393270:GOG393374 GYC393270:GYC393374 HHY393270:HHY393374 HRU393270:HRU393374 IBQ393270:IBQ393374 ILM393270:ILM393374 IVI393270:IVI393374 JFE393270:JFE393374 JPA393270:JPA393374 JYW393270:JYW393374 KIS393270:KIS393374 KSO393270:KSO393374 LCK393270:LCK393374 LMG393270:LMG393374 LWC393270:LWC393374 MFY393270:MFY393374 MPU393270:MPU393374 MZQ393270:MZQ393374 NJM393270:NJM393374 NTI393270:NTI393374 ODE393270:ODE393374 ONA393270:ONA393374 OWW393270:OWW393374 PGS393270:PGS393374 PQO393270:PQO393374 QAK393270:QAK393374 QKG393270:QKG393374 QUC393270:QUC393374 RDY393270:RDY393374 RNU393270:RNU393374 RXQ393270:RXQ393374 SHM393270:SHM393374 SRI393270:SRI393374 TBE393270:TBE393374 TLA393270:TLA393374 TUW393270:TUW393374 UES393270:UES393374 UOO393270:UOO393374 UYK393270:UYK393374 VIG393270:VIG393374 VSC393270:VSC393374 WBY393270:WBY393374 WLU393270:WLU393374 WVQ393270:WVQ393374 I458806:I458910 JE458806:JE458910 TA458806:TA458910 ACW458806:ACW458910 AMS458806:AMS458910 AWO458806:AWO458910 BGK458806:BGK458910 BQG458806:BQG458910 CAC458806:CAC458910 CJY458806:CJY458910 CTU458806:CTU458910 DDQ458806:DDQ458910 DNM458806:DNM458910 DXI458806:DXI458910 EHE458806:EHE458910 ERA458806:ERA458910 FAW458806:FAW458910 FKS458806:FKS458910 FUO458806:FUO458910 GEK458806:GEK458910 GOG458806:GOG458910 GYC458806:GYC458910 HHY458806:HHY458910 HRU458806:HRU458910 IBQ458806:IBQ458910 ILM458806:ILM458910 IVI458806:IVI458910 JFE458806:JFE458910 JPA458806:JPA458910 JYW458806:JYW458910 KIS458806:KIS458910 KSO458806:KSO458910 LCK458806:LCK458910 LMG458806:LMG458910 LWC458806:LWC458910 MFY458806:MFY458910 MPU458806:MPU458910 MZQ458806:MZQ458910 NJM458806:NJM458910 NTI458806:NTI458910 ODE458806:ODE458910 ONA458806:ONA458910 OWW458806:OWW458910 PGS458806:PGS458910 PQO458806:PQO458910 QAK458806:QAK458910 QKG458806:QKG458910 QUC458806:QUC458910 RDY458806:RDY458910 RNU458806:RNU458910 RXQ458806:RXQ458910 SHM458806:SHM458910 SRI458806:SRI458910 TBE458806:TBE458910 TLA458806:TLA458910 TUW458806:TUW458910 UES458806:UES458910 UOO458806:UOO458910 UYK458806:UYK458910 VIG458806:VIG458910 VSC458806:VSC458910 WBY458806:WBY458910 WLU458806:WLU458910 WVQ458806:WVQ458910 I524342:I524446 JE524342:JE524446 TA524342:TA524446 ACW524342:ACW524446 AMS524342:AMS524446 AWO524342:AWO524446 BGK524342:BGK524446 BQG524342:BQG524446 CAC524342:CAC524446 CJY524342:CJY524446 CTU524342:CTU524446 DDQ524342:DDQ524446 DNM524342:DNM524446 DXI524342:DXI524446 EHE524342:EHE524446 ERA524342:ERA524446 FAW524342:FAW524446 FKS524342:FKS524446 FUO524342:FUO524446 GEK524342:GEK524446 GOG524342:GOG524446 GYC524342:GYC524446 HHY524342:HHY524446 HRU524342:HRU524446 IBQ524342:IBQ524446 ILM524342:ILM524446 IVI524342:IVI524446 JFE524342:JFE524446 JPA524342:JPA524446 JYW524342:JYW524446 KIS524342:KIS524446 KSO524342:KSO524446 LCK524342:LCK524446 LMG524342:LMG524446 LWC524342:LWC524446 MFY524342:MFY524446 MPU524342:MPU524446 MZQ524342:MZQ524446 NJM524342:NJM524446 NTI524342:NTI524446 ODE524342:ODE524446 ONA524342:ONA524446 OWW524342:OWW524446 PGS524342:PGS524446 PQO524342:PQO524446 QAK524342:QAK524446 QKG524342:QKG524446 QUC524342:QUC524446 RDY524342:RDY524446 RNU524342:RNU524446 RXQ524342:RXQ524446 SHM524342:SHM524446 SRI524342:SRI524446 TBE524342:TBE524446 TLA524342:TLA524446 TUW524342:TUW524446 UES524342:UES524446 UOO524342:UOO524446 UYK524342:UYK524446 VIG524342:VIG524446 VSC524342:VSC524446 WBY524342:WBY524446 WLU524342:WLU524446 WVQ524342:WVQ524446 I589878:I589982 JE589878:JE589982 TA589878:TA589982 ACW589878:ACW589982 AMS589878:AMS589982 AWO589878:AWO589982 BGK589878:BGK589982 BQG589878:BQG589982 CAC589878:CAC589982 CJY589878:CJY589982 CTU589878:CTU589982 DDQ589878:DDQ589982 DNM589878:DNM589982 DXI589878:DXI589982 EHE589878:EHE589982 ERA589878:ERA589982 FAW589878:FAW589982 FKS589878:FKS589982 FUO589878:FUO589982 GEK589878:GEK589982 GOG589878:GOG589982 GYC589878:GYC589982 HHY589878:HHY589982 HRU589878:HRU589982 IBQ589878:IBQ589982 ILM589878:ILM589982 IVI589878:IVI589982 JFE589878:JFE589982 JPA589878:JPA589982 JYW589878:JYW589982 KIS589878:KIS589982 KSO589878:KSO589982 LCK589878:LCK589982 LMG589878:LMG589982 LWC589878:LWC589982 MFY589878:MFY589982 MPU589878:MPU589982 MZQ589878:MZQ589982 NJM589878:NJM589982 NTI589878:NTI589982 ODE589878:ODE589982 ONA589878:ONA589982 OWW589878:OWW589982 PGS589878:PGS589982 PQO589878:PQO589982 QAK589878:QAK589982 QKG589878:QKG589982 QUC589878:QUC589982 RDY589878:RDY589982 RNU589878:RNU589982 RXQ589878:RXQ589982 SHM589878:SHM589982 SRI589878:SRI589982 TBE589878:TBE589982 TLA589878:TLA589982 TUW589878:TUW589982 UES589878:UES589982 UOO589878:UOO589982 UYK589878:UYK589982 VIG589878:VIG589982 VSC589878:VSC589982 WBY589878:WBY589982 WLU589878:WLU589982 WVQ589878:WVQ589982 I655414:I655518 JE655414:JE655518 TA655414:TA655518 ACW655414:ACW655518 AMS655414:AMS655518 AWO655414:AWO655518 BGK655414:BGK655518 BQG655414:BQG655518 CAC655414:CAC655518 CJY655414:CJY655518 CTU655414:CTU655518 DDQ655414:DDQ655518 DNM655414:DNM655518 DXI655414:DXI655518 EHE655414:EHE655518 ERA655414:ERA655518 FAW655414:FAW655518 FKS655414:FKS655518 FUO655414:FUO655518 GEK655414:GEK655518 GOG655414:GOG655518 GYC655414:GYC655518 HHY655414:HHY655518 HRU655414:HRU655518 IBQ655414:IBQ655518 ILM655414:ILM655518 IVI655414:IVI655518 JFE655414:JFE655518 JPA655414:JPA655518 JYW655414:JYW655518 KIS655414:KIS655518 KSO655414:KSO655518 LCK655414:LCK655518 LMG655414:LMG655518 LWC655414:LWC655518 MFY655414:MFY655518 MPU655414:MPU655518 MZQ655414:MZQ655518 NJM655414:NJM655518 NTI655414:NTI655518 ODE655414:ODE655518 ONA655414:ONA655518 OWW655414:OWW655518 PGS655414:PGS655518 PQO655414:PQO655518 QAK655414:QAK655518 QKG655414:QKG655518 QUC655414:QUC655518 RDY655414:RDY655518 RNU655414:RNU655518 RXQ655414:RXQ655518 SHM655414:SHM655518 SRI655414:SRI655518 TBE655414:TBE655518 TLA655414:TLA655518 TUW655414:TUW655518 UES655414:UES655518 UOO655414:UOO655518 UYK655414:UYK655518 VIG655414:VIG655518 VSC655414:VSC655518 WBY655414:WBY655518 WLU655414:WLU655518 WVQ655414:WVQ655518 I720950:I721054 JE720950:JE721054 TA720950:TA721054 ACW720950:ACW721054 AMS720950:AMS721054 AWO720950:AWO721054 BGK720950:BGK721054 BQG720950:BQG721054 CAC720950:CAC721054 CJY720950:CJY721054 CTU720950:CTU721054 DDQ720950:DDQ721054 DNM720950:DNM721054 DXI720950:DXI721054 EHE720950:EHE721054 ERA720950:ERA721054 FAW720950:FAW721054 FKS720950:FKS721054 FUO720950:FUO721054 GEK720950:GEK721054 GOG720950:GOG721054 GYC720950:GYC721054 HHY720950:HHY721054 HRU720950:HRU721054 IBQ720950:IBQ721054 ILM720950:ILM721054 IVI720950:IVI721054 JFE720950:JFE721054 JPA720950:JPA721054 JYW720950:JYW721054 KIS720950:KIS721054 KSO720950:KSO721054 LCK720950:LCK721054 LMG720950:LMG721054 LWC720950:LWC721054 MFY720950:MFY721054 MPU720950:MPU721054 MZQ720950:MZQ721054 NJM720950:NJM721054 NTI720950:NTI721054 ODE720950:ODE721054 ONA720950:ONA721054 OWW720950:OWW721054 PGS720950:PGS721054 PQO720950:PQO721054 QAK720950:QAK721054 QKG720950:QKG721054 QUC720950:QUC721054 RDY720950:RDY721054 RNU720950:RNU721054 RXQ720950:RXQ721054 SHM720950:SHM721054 SRI720950:SRI721054 TBE720950:TBE721054 TLA720950:TLA721054 TUW720950:TUW721054 UES720950:UES721054 UOO720950:UOO721054 UYK720950:UYK721054 VIG720950:VIG721054 VSC720950:VSC721054 WBY720950:WBY721054 WLU720950:WLU721054 WVQ720950:WVQ721054 I786486:I786590 JE786486:JE786590 TA786486:TA786590 ACW786486:ACW786590 AMS786486:AMS786590 AWO786486:AWO786590 BGK786486:BGK786590 BQG786486:BQG786590 CAC786486:CAC786590 CJY786486:CJY786590 CTU786486:CTU786590 DDQ786486:DDQ786590 DNM786486:DNM786590 DXI786486:DXI786590 EHE786486:EHE786590 ERA786486:ERA786590 FAW786486:FAW786590 FKS786486:FKS786590 FUO786486:FUO786590 GEK786486:GEK786590 GOG786486:GOG786590 GYC786486:GYC786590 HHY786486:HHY786590 HRU786486:HRU786590 IBQ786486:IBQ786590 ILM786486:ILM786590 IVI786486:IVI786590 JFE786486:JFE786590 JPA786486:JPA786590 JYW786486:JYW786590 KIS786486:KIS786590 KSO786486:KSO786590 LCK786486:LCK786590 LMG786486:LMG786590 LWC786486:LWC786590 MFY786486:MFY786590 MPU786486:MPU786590 MZQ786486:MZQ786590 NJM786486:NJM786590 NTI786486:NTI786590 ODE786486:ODE786590 ONA786486:ONA786590 OWW786486:OWW786590 PGS786486:PGS786590 PQO786486:PQO786590 QAK786486:QAK786590 QKG786486:QKG786590 QUC786486:QUC786590 RDY786486:RDY786590 RNU786486:RNU786590 RXQ786486:RXQ786590 SHM786486:SHM786590 SRI786486:SRI786590 TBE786486:TBE786590 TLA786486:TLA786590 TUW786486:TUW786590 UES786486:UES786590 UOO786486:UOO786590 UYK786486:UYK786590 VIG786486:VIG786590 VSC786486:VSC786590 WBY786486:WBY786590 WLU786486:WLU786590 WVQ786486:WVQ786590 I852022:I852126 JE852022:JE852126 TA852022:TA852126 ACW852022:ACW852126 AMS852022:AMS852126 AWO852022:AWO852126 BGK852022:BGK852126 BQG852022:BQG852126 CAC852022:CAC852126 CJY852022:CJY852126 CTU852022:CTU852126 DDQ852022:DDQ852126 DNM852022:DNM852126 DXI852022:DXI852126 EHE852022:EHE852126 ERA852022:ERA852126 FAW852022:FAW852126 FKS852022:FKS852126 FUO852022:FUO852126 GEK852022:GEK852126 GOG852022:GOG852126 GYC852022:GYC852126 HHY852022:HHY852126 HRU852022:HRU852126 IBQ852022:IBQ852126 ILM852022:ILM852126 IVI852022:IVI852126 JFE852022:JFE852126 JPA852022:JPA852126 JYW852022:JYW852126 KIS852022:KIS852126 KSO852022:KSO852126 LCK852022:LCK852126 LMG852022:LMG852126 LWC852022:LWC852126 MFY852022:MFY852126 MPU852022:MPU852126 MZQ852022:MZQ852126 NJM852022:NJM852126 NTI852022:NTI852126 ODE852022:ODE852126 ONA852022:ONA852126 OWW852022:OWW852126 PGS852022:PGS852126 PQO852022:PQO852126 QAK852022:QAK852126 QKG852022:QKG852126 QUC852022:QUC852126 RDY852022:RDY852126 RNU852022:RNU852126 RXQ852022:RXQ852126 SHM852022:SHM852126 SRI852022:SRI852126 TBE852022:TBE852126 TLA852022:TLA852126 TUW852022:TUW852126 UES852022:UES852126 UOO852022:UOO852126 UYK852022:UYK852126 VIG852022:VIG852126 VSC852022:VSC852126 WBY852022:WBY852126 WLU852022:WLU852126 WVQ852022:WVQ852126 I917558:I917662 JE917558:JE917662 TA917558:TA917662 ACW917558:ACW917662 AMS917558:AMS917662 AWO917558:AWO917662 BGK917558:BGK917662 BQG917558:BQG917662 CAC917558:CAC917662 CJY917558:CJY917662 CTU917558:CTU917662 DDQ917558:DDQ917662 DNM917558:DNM917662 DXI917558:DXI917662 EHE917558:EHE917662 ERA917558:ERA917662 FAW917558:FAW917662 FKS917558:FKS917662 FUO917558:FUO917662 GEK917558:GEK917662 GOG917558:GOG917662 GYC917558:GYC917662 HHY917558:HHY917662 HRU917558:HRU917662 IBQ917558:IBQ917662 ILM917558:ILM917662 IVI917558:IVI917662 JFE917558:JFE917662 JPA917558:JPA917662 JYW917558:JYW917662 KIS917558:KIS917662 KSO917558:KSO917662 LCK917558:LCK917662 LMG917558:LMG917662 LWC917558:LWC917662 MFY917558:MFY917662 MPU917558:MPU917662 MZQ917558:MZQ917662 NJM917558:NJM917662 NTI917558:NTI917662 ODE917558:ODE917662 ONA917558:ONA917662 OWW917558:OWW917662 PGS917558:PGS917662 PQO917558:PQO917662 QAK917558:QAK917662 QKG917558:QKG917662 QUC917558:QUC917662 RDY917558:RDY917662 RNU917558:RNU917662 RXQ917558:RXQ917662 SHM917558:SHM917662 SRI917558:SRI917662 TBE917558:TBE917662 TLA917558:TLA917662 TUW917558:TUW917662 UES917558:UES917662 UOO917558:UOO917662 UYK917558:UYK917662 VIG917558:VIG917662 VSC917558:VSC917662 WBY917558:WBY917662 WLU917558:WLU917662 WVQ917558:WVQ917662 I983094:I983198 JE983094:JE983198 TA983094:TA983198 ACW983094:ACW983198 AMS983094:AMS983198 AWO983094:AWO983198 BGK983094:BGK983198 BQG983094:BQG983198 CAC983094:CAC983198 CJY983094:CJY983198 CTU983094:CTU983198 DDQ983094:DDQ983198 DNM983094:DNM983198 DXI983094:DXI983198 EHE983094:EHE983198 ERA983094:ERA983198 FAW983094:FAW983198 FKS983094:FKS983198 FUO983094:FUO983198 GEK983094:GEK983198 GOG983094:GOG983198 GYC983094:GYC983198 HHY983094:HHY983198 HRU983094:HRU983198 IBQ983094:IBQ983198 ILM983094:ILM983198 IVI983094:IVI983198 JFE983094:JFE983198 JPA983094:JPA983198 JYW983094:JYW983198 KIS983094:KIS983198 KSO983094:KSO983198 LCK983094:LCK983198 LMG983094:LMG983198 LWC983094:LWC983198 MFY983094:MFY983198 MPU983094:MPU983198 MZQ983094:MZQ983198 NJM983094:NJM983198 NTI983094:NTI983198 ODE983094:ODE983198 ONA983094:ONA983198 OWW983094:OWW983198 PGS983094:PGS983198 PQO983094:PQO983198 QAK983094:QAK983198 QKG983094:QKG983198 QUC983094:QUC983198 RDY983094:RDY983198 RNU983094:RNU983198 RXQ983094:RXQ983198 SHM983094:SHM983198 SRI983094:SRI983198 TBE983094:TBE983198 TLA983094:TLA983198 TUW983094:TUW983198 UES983094:UES983198 UOO983094:UOO983198 UYK983094:UYK983198 VIG983094:VIG983198 VSC983094:VSC983198 WBY983094:WBY983198 WLU983094:WLU983198 WVQ983094:WVQ983198 H55:H156 JD55:JD156 SZ55:SZ156 ACV55:ACV156 AMR55:AMR156 AWN55:AWN156 BGJ55:BGJ156 BQF55:BQF156 CAB55:CAB156 CJX55:CJX156 CTT55:CTT156 DDP55:DDP156 DNL55:DNL156 DXH55:DXH156 EHD55:EHD156 EQZ55:EQZ156 FAV55:FAV156 FKR55:FKR156 FUN55:FUN156 GEJ55:GEJ156 GOF55:GOF156 GYB55:GYB156 HHX55:HHX156 HRT55:HRT156 IBP55:IBP156 ILL55:ILL156 IVH55:IVH156 JFD55:JFD156 JOZ55:JOZ156 JYV55:JYV156 KIR55:KIR156 KSN55:KSN156 LCJ55:LCJ156 LMF55:LMF156 LWB55:LWB156 MFX55:MFX156 MPT55:MPT156 MZP55:MZP156 NJL55:NJL156 NTH55:NTH156 ODD55:ODD156 OMZ55:OMZ156 OWV55:OWV156 PGR55:PGR156 PQN55:PQN156 QAJ55:QAJ156 QKF55:QKF156 QUB55:QUB156 RDX55:RDX156 RNT55:RNT156 RXP55:RXP156 SHL55:SHL156 SRH55:SRH156 TBD55:TBD156 TKZ55:TKZ156 TUV55:TUV156 UER55:UER156 UON55:UON156 UYJ55:UYJ156 VIF55:VIF156 VSB55:VSB156 WBX55:WBX156 WLT55:WLT156 WVP55:WVP156 H65591:H65692 JD65591:JD65692 SZ65591:SZ65692 ACV65591:ACV65692 AMR65591:AMR65692 AWN65591:AWN65692 BGJ65591:BGJ65692 BQF65591:BQF65692 CAB65591:CAB65692 CJX65591:CJX65692 CTT65591:CTT65692 DDP65591:DDP65692 DNL65591:DNL65692 DXH65591:DXH65692 EHD65591:EHD65692 EQZ65591:EQZ65692 FAV65591:FAV65692 FKR65591:FKR65692 FUN65591:FUN65692 GEJ65591:GEJ65692 GOF65591:GOF65692 GYB65591:GYB65692 HHX65591:HHX65692 HRT65591:HRT65692 IBP65591:IBP65692 ILL65591:ILL65692 IVH65591:IVH65692 JFD65591:JFD65692 JOZ65591:JOZ65692 JYV65591:JYV65692 KIR65591:KIR65692 KSN65591:KSN65692 LCJ65591:LCJ65692 LMF65591:LMF65692 LWB65591:LWB65692 MFX65591:MFX65692 MPT65591:MPT65692 MZP65591:MZP65692 NJL65591:NJL65692 NTH65591:NTH65692 ODD65591:ODD65692 OMZ65591:OMZ65692 OWV65591:OWV65692 PGR65591:PGR65692 PQN65591:PQN65692 QAJ65591:QAJ65692 QKF65591:QKF65692 QUB65591:QUB65692 RDX65591:RDX65692 RNT65591:RNT65692 RXP65591:RXP65692 SHL65591:SHL65692 SRH65591:SRH65692 TBD65591:TBD65692 TKZ65591:TKZ65692 TUV65591:TUV65692 UER65591:UER65692 UON65591:UON65692 UYJ65591:UYJ65692 VIF65591:VIF65692 VSB65591:VSB65692 WBX65591:WBX65692 WLT65591:WLT65692 WVP65591:WVP65692 H131127:H131228 JD131127:JD131228 SZ131127:SZ131228 ACV131127:ACV131228 AMR131127:AMR131228 AWN131127:AWN131228 BGJ131127:BGJ131228 BQF131127:BQF131228 CAB131127:CAB131228 CJX131127:CJX131228 CTT131127:CTT131228 DDP131127:DDP131228 DNL131127:DNL131228 DXH131127:DXH131228 EHD131127:EHD131228 EQZ131127:EQZ131228 FAV131127:FAV131228 FKR131127:FKR131228 FUN131127:FUN131228 GEJ131127:GEJ131228 GOF131127:GOF131228 GYB131127:GYB131228 HHX131127:HHX131228 HRT131127:HRT131228 IBP131127:IBP131228 ILL131127:ILL131228 IVH131127:IVH131228 JFD131127:JFD131228 JOZ131127:JOZ131228 JYV131127:JYV131228 KIR131127:KIR131228 KSN131127:KSN131228 LCJ131127:LCJ131228 LMF131127:LMF131228 LWB131127:LWB131228 MFX131127:MFX131228 MPT131127:MPT131228 MZP131127:MZP131228 NJL131127:NJL131228 NTH131127:NTH131228 ODD131127:ODD131228 OMZ131127:OMZ131228 OWV131127:OWV131228 PGR131127:PGR131228 PQN131127:PQN131228 QAJ131127:QAJ131228 QKF131127:QKF131228 QUB131127:QUB131228 RDX131127:RDX131228 RNT131127:RNT131228 RXP131127:RXP131228 SHL131127:SHL131228 SRH131127:SRH131228 TBD131127:TBD131228 TKZ131127:TKZ131228 TUV131127:TUV131228 UER131127:UER131228 UON131127:UON131228 UYJ131127:UYJ131228 VIF131127:VIF131228 VSB131127:VSB131228 WBX131127:WBX131228 WLT131127:WLT131228 WVP131127:WVP131228 H196663:H196764 JD196663:JD196764 SZ196663:SZ196764 ACV196663:ACV196764 AMR196663:AMR196764 AWN196663:AWN196764 BGJ196663:BGJ196764 BQF196663:BQF196764 CAB196663:CAB196764 CJX196663:CJX196764 CTT196663:CTT196764 DDP196663:DDP196764 DNL196663:DNL196764 DXH196663:DXH196764 EHD196663:EHD196764 EQZ196663:EQZ196764 FAV196663:FAV196764 FKR196663:FKR196764 FUN196663:FUN196764 GEJ196663:GEJ196764 GOF196663:GOF196764 GYB196663:GYB196764 HHX196663:HHX196764 HRT196663:HRT196764 IBP196663:IBP196764 ILL196663:ILL196764 IVH196663:IVH196764 JFD196663:JFD196764 JOZ196663:JOZ196764 JYV196663:JYV196764 KIR196663:KIR196764 KSN196663:KSN196764 LCJ196663:LCJ196764 LMF196663:LMF196764 LWB196663:LWB196764 MFX196663:MFX196764 MPT196663:MPT196764 MZP196663:MZP196764 NJL196663:NJL196764 NTH196663:NTH196764 ODD196663:ODD196764 OMZ196663:OMZ196764 OWV196663:OWV196764 PGR196663:PGR196764 PQN196663:PQN196764 QAJ196663:QAJ196764 QKF196663:QKF196764 QUB196663:QUB196764 RDX196663:RDX196764 RNT196663:RNT196764 RXP196663:RXP196764 SHL196663:SHL196764 SRH196663:SRH196764 TBD196663:TBD196764 TKZ196663:TKZ196764 TUV196663:TUV196764 UER196663:UER196764 UON196663:UON196764 UYJ196663:UYJ196764 VIF196663:VIF196764 VSB196663:VSB196764 WBX196663:WBX196764 WLT196663:WLT196764 WVP196663:WVP196764 H262199:H262300 JD262199:JD262300 SZ262199:SZ262300 ACV262199:ACV262300 AMR262199:AMR262300 AWN262199:AWN262300 BGJ262199:BGJ262300 BQF262199:BQF262300 CAB262199:CAB262300 CJX262199:CJX262300 CTT262199:CTT262300 DDP262199:DDP262300 DNL262199:DNL262300 DXH262199:DXH262300 EHD262199:EHD262300 EQZ262199:EQZ262300 FAV262199:FAV262300 FKR262199:FKR262300 FUN262199:FUN262300 GEJ262199:GEJ262300 GOF262199:GOF262300 GYB262199:GYB262300 HHX262199:HHX262300 HRT262199:HRT262300 IBP262199:IBP262300 ILL262199:ILL262300 IVH262199:IVH262300 JFD262199:JFD262300 JOZ262199:JOZ262300 JYV262199:JYV262300 KIR262199:KIR262300 KSN262199:KSN262300 LCJ262199:LCJ262300 LMF262199:LMF262300 LWB262199:LWB262300 MFX262199:MFX262300 MPT262199:MPT262300 MZP262199:MZP262300 NJL262199:NJL262300 NTH262199:NTH262300 ODD262199:ODD262300 OMZ262199:OMZ262300 OWV262199:OWV262300 PGR262199:PGR262300 PQN262199:PQN262300 QAJ262199:QAJ262300 QKF262199:QKF262300 QUB262199:QUB262300 RDX262199:RDX262300 RNT262199:RNT262300 RXP262199:RXP262300 SHL262199:SHL262300 SRH262199:SRH262300 TBD262199:TBD262300 TKZ262199:TKZ262300 TUV262199:TUV262300 UER262199:UER262300 UON262199:UON262300 UYJ262199:UYJ262300 VIF262199:VIF262300 VSB262199:VSB262300 WBX262199:WBX262300 WLT262199:WLT262300 WVP262199:WVP262300 H327735:H327836 JD327735:JD327836 SZ327735:SZ327836 ACV327735:ACV327836 AMR327735:AMR327836 AWN327735:AWN327836 BGJ327735:BGJ327836 BQF327735:BQF327836 CAB327735:CAB327836 CJX327735:CJX327836 CTT327735:CTT327836 DDP327735:DDP327836 DNL327735:DNL327836 DXH327735:DXH327836 EHD327735:EHD327836 EQZ327735:EQZ327836 FAV327735:FAV327836 FKR327735:FKR327836 FUN327735:FUN327836 GEJ327735:GEJ327836 GOF327735:GOF327836 GYB327735:GYB327836 HHX327735:HHX327836 HRT327735:HRT327836 IBP327735:IBP327836 ILL327735:ILL327836 IVH327735:IVH327836 JFD327735:JFD327836 JOZ327735:JOZ327836 JYV327735:JYV327836 KIR327735:KIR327836 KSN327735:KSN327836 LCJ327735:LCJ327836 LMF327735:LMF327836 LWB327735:LWB327836 MFX327735:MFX327836 MPT327735:MPT327836 MZP327735:MZP327836 NJL327735:NJL327836 NTH327735:NTH327836 ODD327735:ODD327836 OMZ327735:OMZ327836 OWV327735:OWV327836 PGR327735:PGR327836 PQN327735:PQN327836 QAJ327735:QAJ327836 QKF327735:QKF327836 QUB327735:QUB327836 RDX327735:RDX327836 RNT327735:RNT327836 RXP327735:RXP327836 SHL327735:SHL327836 SRH327735:SRH327836 TBD327735:TBD327836 TKZ327735:TKZ327836 TUV327735:TUV327836 UER327735:UER327836 UON327735:UON327836 UYJ327735:UYJ327836 VIF327735:VIF327836 VSB327735:VSB327836 WBX327735:WBX327836 WLT327735:WLT327836 WVP327735:WVP327836 H393271:H393372 JD393271:JD393372 SZ393271:SZ393372 ACV393271:ACV393372 AMR393271:AMR393372 AWN393271:AWN393372 BGJ393271:BGJ393372 BQF393271:BQF393372 CAB393271:CAB393372 CJX393271:CJX393372 CTT393271:CTT393372 DDP393271:DDP393372 DNL393271:DNL393372 DXH393271:DXH393372 EHD393271:EHD393372 EQZ393271:EQZ393372 FAV393271:FAV393372 FKR393271:FKR393372 FUN393271:FUN393372 GEJ393271:GEJ393372 GOF393271:GOF393372 GYB393271:GYB393372 HHX393271:HHX393372 HRT393271:HRT393372 IBP393271:IBP393372 ILL393271:ILL393372 IVH393271:IVH393372 JFD393271:JFD393372 JOZ393271:JOZ393372 JYV393271:JYV393372 KIR393271:KIR393372 KSN393271:KSN393372 LCJ393271:LCJ393372 LMF393271:LMF393372 LWB393271:LWB393372 MFX393271:MFX393372 MPT393271:MPT393372 MZP393271:MZP393372 NJL393271:NJL393372 NTH393271:NTH393372 ODD393271:ODD393372 OMZ393271:OMZ393372 OWV393271:OWV393372 PGR393271:PGR393372 PQN393271:PQN393372 QAJ393271:QAJ393372 QKF393271:QKF393372 QUB393271:QUB393372 RDX393271:RDX393372 RNT393271:RNT393372 RXP393271:RXP393372 SHL393271:SHL393372 SRH393271:SRH393372 TBD393271:TBD393372 TKZ393271:TKZ393372 TUV393271:TUV393372 UER393271:UER393372 UON393271:UON393372 UYJ393271:UYJ393372 VIF393271:VIF393372 VSB393271:VSB393372 WBX393271:WBX393372 WLT393271:WLT393372 WVP393271:WVP393372 H458807:H458908 JD458807:JD458908 SZ458807:SZ458908 ACV458807:ACV458908 AMR458807:AMR458908 AWN458807:AWN458908 BGJ458807:BGJ458908 BQF458807:BQF458908 CAB458807:CAB458908 CJX458807:CJX458908 CTT458807:CTT458908 DDP458807:DDP458908 DNL458807:DNL458908 DXH458807:DXH458908 EHD458807:EHD458908 EQZ458807:EQZ458908 FAV458807:FAV458908 FKR458807:FKR458908 FUN458807:FUN458908 GEJ458807:GEJ458908 GOF458807:GOF458908 GYB458807:GYB458908 HHX458807:HHX458908 HRT458807:HRT458908 IBP458807:IBP458908 ILL458807:ILL458908 IVH458807:IVH458908 JFD458807:JFD458908 JOZ458807:JOZ458908 JYV458807:JYV458908 KIR458807:KIR458908 KSN458807:KSN458908 LCJ458807:LCJ458908 LMF458807:LMF458908 LWB458807:LWB458908 MFX458807:MFX458908 MPT458807:MPT458908 MZP458807:MZP458908 NJL458807:NJL458908 NTH458807:NTH458908 ODD458807:ODD458908 OMZ458807:OMZ458908 OWV458807:OWV458908 PGR458807:PGR458908 PQN458807:PQN458908 QAJ458807:QAJ458908 QKF458807:QKF458908 QUB458807:QUB458908 RDX458807:RDX458908 RNT458807:RNT458908 RXP458807:RXP458908 SHL458807:SHL458908 SRH458807:SRH458908 TBD458807:TBD458908 TKZ458807:TKZ458908 TUV458807:TUV458908 UER458807:UER458908 UON458807:UON458908 UYJ458807:UYJ458908 VIF458807:VIF458908 VSB458807:VSB458908 WBX458807:WBX458908 WLT458807:WLT458908 WVP458807:WVP458908 H524343:H524444 JD524343:JD524444 SZ524343:SZ524444 ACV524343:ACV524444 AMR524343:AMR524444 AWN524343:AWN524444 BGJ524343:BGJ524444 BQF524343:BQF524444 CAB524343:CAB524444 CJX524343:CJX524444 CTT524343:CTT524444 DDP524343:DDP524444 DNL524343:DNL524444 DXH524343:DXH524444 EHD524343:EHD524444 EQZ524343:EQZ524444 FAV524343:FAV524444 FKR524343:FKR524444 FUN524343:FUN524444 GEJ524343:GEJ524444 GOF524343:GOF524444 GYB524343:GYB524444 HHX524343:HHX524444 HRT524343:HRT524444 IBP524343:IBP524444 ILL524343:ILL524444 IVH524343:IVH524444 JFD524343:JFD524444 JOZ524343:JOZ524444 JYV524343:JYV524444 KIR524343:KIR524444 KSN524343:KSN524444 LCJ524343:LCJ524444 LMF524343:LMF524444 LWB524343:LWB524444 MFX524343:MFX524444 MPT524343:MPT524444 MZP524343:MZP524444 NJL524343:NJL524444 NTH524343:NTH524444 ODD524343:ODD524444 OMZ524343:OMZ524444 OWV524343:OWV524444 PGR524343:PGR524444 PQN524343:PQN524444 QAJ524343:QAJ524444 QKF524343:QKF524444 QUB524343:QUB524444 RDX524343:RDX524444 RNT524343:RNT524444 RXP524343:RXP524444 SHL524343:SHL524444 SRH524343:SRH524444 TBD524343:TBD524444 TKZ524343:TKZ524444 TUV524343:TUV524444 UER524343:UER524444 UON524343:UON524444 UYJ524343:UYJ524444 VIF524343:VIF524444 VSB524343:VSB524444 WBX524343:WBX524444 WLT524343:WLT524444 WVP524343:WVP524444 H589879:H589980 JD589879:JD589980 SZ589879:SZ589980 ACV589879:ACV589980 AMR589879:AMR589980 AWN589879:AWN589980 BGJ589879:BGJ589980 BQF589879:BQF589980 CAB589879:CAB589980 CJX589879:CJX589980 CTT589879:CTT589980 DDP589879:DDP589980 DNL589879:DNL589980 DXH589879:DXH589980 EHD589879:EHD589980 EQZ589879:EQZ589980 FAV589879:FAV589980 FKR589879:FKR589980 FUN589879:FUN589980 GEJ589879:GEJ589980 GOF589879:GOF589980 GYB589879:GYB589980 HHX589879:HHX589980 HRT589879:HRT589980 IBP589879:IBP589980 ILL589879:ILL589980 IVH589879:IVH589980 JFD589879:JFD589980 JOZ589879:JOZ589980 JYV589879:JYV589980 KIR589879:KIR589980 KSN589879:KSN589980 LCJ589879:LCJ589980 LMF589879:LMF589980 LWB589879:LWB589980 MFX589879:MFX589980 MPT589879:MPT589980 MZP589879:MZP589980 NJL589879:NJL589980 NTH589879:NTH589980 ODD589879:ODD589980 OMZ589879:OMZ589980 OWV589879:OWV589980 PGR589879:PGR589980 PQN589879:PQN589980 QAJ589879:QAJ589980 QKF589879:QKF589980 QUB589879:QUB589980 RDX589879:RDX589980 RNT589879:RNT589980 RXP589879:RXP589980 SHL589879:SHL589980 SRH589879:SRH589980 TBD589879:TBD589980 TKZ589879:TKZ589980 TUV589879:TUV589980 UER589879:UER589980 UON589879:UON589980 UYJ589879:UYJ589980 VIF589879:VIF589980 VSB589879:VSB589980 WBX589879:WBX589980 WLT589879:WLT589980 WVP589879:WVP589980 H655415:H655516 JD655415:JD655516 SZ655415:SZ655516 ACV655415:ACV655516 AMR655415:AMR655516 AWN655415:AWN655516 BGJ655415:BGJ655516 BQF655415:BQF655516 CAB655415:CAB655516 CJX655415:CJX655516 CTT655415:CTT655516 DDP655415:DDP655516 DNL655415:DNL655516 DXH655415:DXH655516 EHD655415:EHD655516 EQZ655415:EQZ655516 FAV655415:FAV655516 FKR655415:FKR655516 FUN655415:FUN655516 GEJ655415:GEJ655516 GOF655415:GOF655516 GYB655415:GYB655516 HHX655415:HHX655516 HRT655415:HRT655516 IBP655415:IBP655516 ILL655415:ILL655516 IVH655415:IVH655516 JFD655415:JFD655516 JOZ655415:JOZ655516 JYV655415:JYV655516 KIR655415:KIR655516 KSN655415:KSN655516 LCJ655415:LCJ655516 LMF655415:LMF655516 LWB655415:LWB655516 MFX655415:MFX655516 MPT655415:MPT655516 MZP655415:MZP655516 NJL655415:NJL655516 NTH655415:NTH655516 ODD655415:ODD655516 OMZ655415:OMZ655516 OWV655415:OWV655516 PGR655415:PGR655516 PQN655415:PQN655516 QAJ655415:QAJ655516 QKF655415:QKF655516 QUB655415:QUB655516 RDX655415:RDX655516 RNT655415:RNT655516 RXP655415:RXP655516 SHL655415:SHL655516 SRH655415:SRH655516 TBD655415:TBD655516 TKZ655415:TKZ655516 TUV655415:TUV655516 UER655415:UER655516 UON655415:UON655516 UYJ655415:UYJ655516 VIF655415:VIF655516 VSB655415:VSB655516 WBX655415:WBX655516 WLT655415:WLT655516 WVP655415:WVP655516 H720951:H721052 JD720951:JD721052 SZ720951:SZ721052 ACV720951:ACV721052 AMR720951:AMR721052 AWN720951:AWN721052 BGJ720951:BGJ721052 BQF720951:BQF721052 CAB720951:CAB721052 CJX720951:CJX721052 CTT720951:CTT721052 DDP720951:DDP721052 DNL720951:DNL721052 DXH720951:DXH721052 EHD720951:EHD721052 EQZ720951:EQZ721052 FAV720951:FAV721052 FKR720951:FKR721052 FUN720951:FUN721052 GEJ720951:GEJ721052 GOF720951:GOF721052 GYB720951:GYB721052 HHX720951:HHX721052 HRT720951:HRT721052 IBP720951:IBP721052 ILL720951:ILL721052 IVH720951:IVH721052 JFD720951:JFD721052 JOZ720951:JOZ721052 JYV720951:JYV721052 KIR720951:KIR721052 KSN720951:KSN721052 LCJ720951:LCJ721052 LMF720951:LMF721052 LWB720951:LWB721052 MFX720951:MFX721052 MPT720951:MPT721052 MZP720951:MZP721052 NJL720951:NJL721052 NTH720951:NTH721052 ODD720951:ODD721052 OMZ720951:OMZ721052 OWV720951:OWV721052 PGR720951:PGR721052 PQN720951:PQN721052 QAJ720951:QAJ721052 QKF720951:QKF721052 QUB720951:QUB721052 RDX720951:RDX721052 RNT720951:RNT721052 RXP720951:RXP721052 SHL720951:SHL721052 SRH720951:SRH721052 TBD720951:TBD721052 TKZ720951:TKZ721052 TUV720951:TUV721052 UER720951:UER721052 UON720951:UON721052 UYJ720951:UYJ721052 VIF720951:VIF721052 VSB720951:VSB721052 WBX720951:WBX721052 WLT720951:WLT721052 WVP720951:WVP721052 H786487:H786588 JD786487:JD786588 SZ786487:SZ786588 ACV786487:ACV786588 AMR786487:AMR786588 AWN786487:AWN786588 BGJ786487:BGJ786588 BQF786487:BQF786588 CAB786487:CAB786588 CJX786487:CJX786588 CTT786487:CTT786588 DDP786487:DDP786588 DNL786487:DNL786588 DXH786487:DXH786588 EHD786487:EHD786588 EQZ786487:EQZ786588 FAV786487:FAV786588 FKR786487:FKR786588 FUN786487:FUN786588 GEJ786487:GEJ786588 GOF786487:GOF786588 GYB786487:GYB786588 HHX786487:HHX786588 HRT786487:HRT786588 IBP786487:IBP786588 ILL786487:ILL786588 IVH786487:IVH786588 JFD786487:JFD786588 JOZ786487:JOZ786588 JYV786487:JYV786588 KIR786487:KIR786588 KSN786487:KSN786588 LCJ786487:LCJ786588 LMF786487:LMF786588 LWB786487:LWB786588 MFX786487:MFX786588 MPT786487:MPT786588 MZP786487:MZP786588 NJL786487:NJL786588 NTH786487:NTH786588 ODD786487:ODD786588 OMZ786487:OMZ786588 OWV786487:OWV786588 PGR786487:PGR786588 PQN786487:PQN786588 QAJ786487:QAJ786588 QKF786487:QKF786588 QUB786487:QUB786588 RDX786487:RDX786588 RNT786487:RNT786588 RXP786487:RXP786588 SHL786487:SHL786588 SRH786487:SRH786588 TBD786487:TBD786588 TKZ786487:TKZ786588 TUV786487:TUV786588 UER786487:UER786588 UON786487:UON786588 UYJ786487:UYJ786588 VIF786487:VIF786588 VSB786487:VSB786588 WBX786487:WBX786588 WLT786487:WLT786588 WVP786487:WVP786588 H852023:H852124 JD852023:JD852124 SZ852023:SZ852124 ACV852023:ACV852124 AMR852023:AMR852124 AWN852023:AWN852124 BGJ852023:BGJ852124 BQF852023:BQF852124 CAB852023:CAB852124 CJX852023:CJX852124 CTT852023:CTT852124 DDP852023:DDP852124 DNL852023:DNL852124 DXH852023:DXH852124 EHD852023:EHD852124 EQZ852023:EQZ852124 FAV852023:FAV852124 FKR852023:FKR852124 FUN852023:FUN852124 GEJ852023:GEJ852124 GOF852023:GOF852124 GYB852023:GYB852124 HHX852023:HHX852124 HRT852023:HRT852124 IBP852023:IBP852124 ILL852023:ILL852124 IVH852023:IVH852124 JFD852023:JFD852124 JOZ852023:JOZ852124 JYV852023:JYV852124 KIR852023:KIR852124 KSN852023:KSN852124 LCJ852023:LCJ852124 LMF852023:LMF852124 LWB852023:LWB852124 MFX852023:MFX852124 MPT852023:MPT852124 MZP852023:MZP852124 NJL852023:NJL852124 NTH852023:NTH852124 ODD852023:ODD852124 OMZ852023:OMZ852124 OWV852023:OWV852124 PGR852023:PGR852124 PQN852023:PQN852124 QAJ852023:QAJ852124 QKF852023:QKF852124 QUB852023:QUB852124 RDX852023:RDX852124 RNT852023:RNT852124 RXP852023:RXP852124 SHL852023:SHL852124 SRH852023:SRH852124 TBD852023:TBD852124 TKZ852023:TKZ852124 TUV852023:TUV852124 UER852023:UER852124 UON852023:UON852124 UYJ852023:UYJ852124 VIF852023:VIF852124 VSB852023:VSB852124 WBX852023:WBX852124 WLT852023:WLT852124 WVP852023:WVP852124 H917559:H917660 JD917559:JD917660 SZ917559:SZ917660 ACV917559:ACV917660 AMR917559:AMR917660 AWN917559:AWN917660 BGJ917559:BGJ917660 BQF917559:BQF917660 CAB917559:CAB917660 CJX917559:CJX917660 CTT917559:CTT917660 DDP917559:DDP917660 DNL917559:DNL917660 DXH917559:DXH917660 EHD917559:EHD917660 EQZ917559:EQZ917660 FAV917559:FAV917660 FKR917559:FKR917660 FUN917559:FUN917660 GEJ917559:GEJ917660 GOF917559:GOF917660 GYB917559:GYB917660 HHX917559:HHX917660 HRT917559:HRT917660 IBP917559:IBP917660 ILL917559:ILL917660 IVH917559:IVH917660 JFD917559:JFD917660 JOZ917559:JOZ917660 JYV917559:JYV917660 KIR917559:KIR917660 KSN917559:KSN917660 LCJ917559:LCJ917660 LMF917559:LMF917660 LWB917559:LWB917660 MFX917559:MFX917660 MPT917559:MPT917660 MZP917559:MZP917660 NJL917559:NJL917660 NTH917559:NTH917660 ODD917559:ODD917660 OMZ917559:OMZ917660 OWV917559:OWV917660 PGR917559:PGR917660 PQN917559:PQN917660 QAJ917559:QAJ917660 QKF917559:QKF917660 QUB917559:QUB917660 RDX917559:RDX917660 RNT917559:RNT917660 RXP917559:RXP917660 SHL917559:SHL917660 SRH917559:SRH917660 TBD917559:TBD917660 TKZ917559:TKZ917660 TUV917559:TUV917660 UER917559:UER917660 UON917559:UON917660 UYJ917559:UYJ917660 VIF917559:VIF917660 VSB917559:VSB917660 WBX917559:WBX917660 WLT917559:WLT917660 WVP917559:WVP917660 H983095:H983196 JD983095:JD983196 SZ983095:SZ983196 ACV983095:ACV983196 AMR983095:AMR983196 AWN983095:AWN983196 BGJ983095:BGJ983196 BQF983095:BQF983196 CAB983095:CAB983196 CJX983095:CJX983196 CTT983095:CTT983196 DDP983095:DDP983196 DNL983095:DNL983196 DXH983095:DXH983196 EHD983095:EHD983196 EQZ983095:EQZ983196 FAV983095:FAV983196 FKR983095:FKR983196 FUN983095:FUN983196 GEJ983095:GEJ983196 GOF983095:GOF983196 GYB983095:GYB983196 HHX983095:HHX983196 HRT983095:HRT983196 IBP983095:IBP983196 ILL983095:ILL983196 IVH983095:IVH983196 JFD983095:JFD983196 JOZ983095:JOZ983196 JYV983095:JYV983196 KIR983095:KIR983196 KSN983095:KSN983196 LCJ983095:LCJ983196 LMF983095:LMF983196 LWB983095:LWB983196 MFX983095:MFX983196 MPT983095:MPT983196 MZP983095:MZP983196 NJL983095:NJL983196 NTH983095:NTH983196 ODD983095:ODD983196 OMZ983095:OMZ983196 OWV983095:OWV983196 PGR983095:PGR983196 PQN983095:PQN983196 QAJ983095:QAJ983196 QKF983095:QKF983196 QUB983095:QUB983196 RDX983095:RDX983196 RNT983095:RNT983196 RXP983095:RXP983196 SHL983095:SHL983196 SRH983095:SRH983196 TBD983095:TBD983196 TKZ983095:TKZ983196 TUV983095:TUV983196 UER983095:UER983196 UON983095:UON983196 UYJ983095:UYJ983196 VIF983095:VIF983196 VSB983095:VSB983196 WBX983095:WBX983196 WLT983095:WLT983196 WVP983095:WVP983196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J117"/>
  <sheetViews>
    <sheetView workbookViewId="0">
      <selection activeCell="C7" sqref="C7"/>
    </sheetView>
  </sheetViews>
  <sheetFormatPr defaultRowHeight="15" x14ac:dyDescent="0.25"/>
  <sheetData>
    <row r="1" spans="2:35" ht="17.25" x14ac:dyDescent="0.35">
      <c r="B1" s="488" t="s">
        <v>8</v>
      </c>
      <c r="C1" s="488"/>
      <c r="D1" s="488"/>
      <c r="E1" s="488"/>
      <c r="F1" s="488"/>
      <c r="G1" s="488"/>
      <c r="H1" s="488"/>
      <c r="I1" s="488"/>
      <c r="J1" s="488"/>
      <c r="K1" s="488"/>
      <c r="L1" s="488"/>
      <c r="M1" s="488"/>
      <c r="N1" s="488"/>
      <c r="O1" s="488"/>
      <c r="P1" s="488"/>
      <c r="Q1" s="488"/>
      <c r="R1" s="488"/>
      <c r="S1" s="488"/>
      <c r="T1" s="488"/>
      <c r="U1" s="488"/>
      <c r="V1" s="488"/>
      <c r="W1" s="488"/>
      <c r="X1" s="488"/>
      <c r="Y1" s="488"/>
      <c r="Z1" s="488"/>
      <c r="AA1" s="488"/>
      <c r="AB1" s="488"/>
      <c r="AC1" s="488"/>
      <c r="AD1" s="488"/>
      <c r="AE1" s="488"/>
      <c r="AF1" s="488"/>
      <c r="AG1" s="488"/>
      <c r="AH1" s="488"/>
      <c r="AI1" s="261"/>
    </row>
    <row r="2" spans="2:35" ht="17.25" x14ac:dyDescent="0.35">
      <c r="B2" s="492" t="s">
        <v>1120</v>
      </c>
      <c r="C2" s="492"/>
      <c r="D2" s="492"/>
      <c r="E2" s="492"/>
      <c r="F2" s="492"/>
      <c r="G2" s="492"/>
      <c r="H2" s="492"/>
      <c r="I2" s="492"/>
      <c r="J2" s="492"/>
      <c r="K2" s="492"/>
      <c r="L2" s="492"/>
      <c r="M2" s="492"/>
      <c r="N2" s="492"/>
      <c r="O2" s="492"/>
      <c r="P2" s="492"/>
      <c r="Q2" s="492"/>
      <c r="R2" s="492"/>
      <c r="S2" s="492"/>
      <c r="T2" s="492"/>
      <c r="U2" s="492"/>
      <c r="V2" s="492"/>
      <c r="W2" s="492"/>
      <c r="X2" s="492"/>
      <c r="Y2" s="492"/>
      <c r="Z2" s="492"/>
      <c r="AA2" s="492"/>
      <c r="AB2" s="492"/>
      <c r="AC2" s="492"/>
      <c r="AD2" s="492"/>
      <c r="AE2" s="492"/>
      <c r="AF2" s="492"/>
      <c r="AG2" s="492"/>
      <c r="AH2" s="492"/>
      <c r="AI2" s="261"/>
    </row>
    <row r="3" spans="2:35" ht="19.5" x14ac:dyDescent="0.35">
      <c r="B3" s="278"/>
      <c r="C3" s="278"/>
      <c r="D3" s="278"/>
      <c r="E3" s="278"/>
      <c r="F3" s="278"/>
      <c r="G3" s="278"/>
      <c r="H3" s="278"/>
      <c r="I3" s="279"/>
      <c r="J3" s="279"/>
      <c r="K3" s="279"/>
      <c r="L3" s="280"/>
      <c r="M3" s="280"/>
      <c r="N3" s="280"/>
      <c r="O3" s="279"/>
      <c r="P3" s="278"/>
      <c r="Q3" s="278"/>
      <c r="R3" s="281"/>
      <c r="S3" s="278"/>
      <c r="T3" s="282"/>
      <c r="U3" s="278"/>
      <c r="V3" s="278"/>
      <c r="W3" s="278"/>
      <c r="X3" s="278"/>
      <c r="Y3" s="278"/>
      <c r="Z3" s="283"/>
      <c r="AA3" s="278"/>
      <c r="AB3" s="262"/>
      <c r="AC3" s="278"/>
      <c r="AD3" s="284"/>
      <c r="AE3" s="283"/>
      <c r="AF3" s="285"/>
      <c r="AG3" s="283"/>
      <c r="AH3" s="285"/>
      <c r="AI3" s="286"/>
    </row>
    <row r="4" spans="2:35" ht="17.25" x14ac:dyDescent="0.35">
      <c r="B4" s="489" t="s">
        <v>11</v>
      </c>
      <c r="C4" s="360"/>
      <c r="D4" s="490" t="s">
        <v>1121</v>
      </c>
      <c r="E4" s="359"/>
      <c r="F4" s="359"/>
      <c r="G4" s="359"/>
      <c r="H4" s="500"/>
      <c r="I4" s="500"/>
      <c r="J4" s="500"/>
      <c r="K4" s="500"/>
      <c r="L4" s="500"/>
      <c r="M4" s="500"/>
      <c r="N4" s="500"/>
      <c r="O4" s="500"/>
      <c r="P4" s="500"/>
      <c r="Q4" s="500"/>
      <c r="R4" s="500" t="s">
        <v>492</v>
      </c>
      <c r="S4" s="500"/>
      <c r="T4" s="500"/>
      <c r="U4" s="500"/>
      <c r="V4" s="500"/>
      <c r="W4" s="500"/>
      <c r="X4" s="500"/>
      <c r="Y4" s="500"/>
      <c r="Z4" s="500"/>
      <c r="AA4" s="500"/>
      <c r="AB4" s="500"/>
      <c r="AC4" s="500"/>
      <c r="AD4" s="500"/>
      <c r="AE4" s="500"/>
      <c r="AF4" s="500"/>
      <c r="AG4" s="496" t="s">
        <v>493</v>
      </c>
      <c r="AH4" s="490" t="s">
        <v>16</v>
      </c>
      <c r="AI4" s="261"/>
    </row>
    <row r="5" spans="2:35" ht="17.25" x14ac:dyDescent="0.25">
      <c r="B5" s="490"/>
      <c r="C5" s="359"/>
      <c r="D5" s="490"/>
      <c r="E5" s="359"/>
      <c r="F5" s="359"/>
      <c r="G5" s="359"/>
      <c r="H5" s="497" t="s">
        <v>496</v>
      </c>
      <c r="I5" s="489" t="s">
        <v>19</v>
      </c>
      <c r="J5" s="489" t="s">
        <v>20</v>
      </c>
      <c r="K5" s="489" t="s">
        <v>497</v>
      </c>
      <c r="L5" s="498" t="s">
        <v>1122</v>
      </c>
      <c r="M5" s="371"/>
      <c r="N5" s="371"/>
      <c r="O5" s="489" t="s">
        <v>1123</v>
      </c>
      <c r="P5" s="489" t="s">
        <v>1124</v>
      </c>
      <c r="Q5" s="490" t="s">
        <v>502</v>
      </c>
      <c r="R5" s="489" t="s">
        <v>503</v>
      </c>
      <c r="S5" s="489"/>
      <c r="T5" s="494" t="s">
        <v>504</v>
      </c>
      <c r="U5" s="489" t="s">
        <v>505</v>
      </c>
      <c r="V5" s="489" t="s">
        <v>31</v>
      </c>
      <c r="W5" s="490" t="s">
        <v>1125</v>
      </c>
      <c r="X5" s="489" t="s">
        <v>1126</v>
      </c>
      <c r="Y5" s="489" t="s">
        <v>509</v>
      </c>
      <c r="Z5" s="502" t="s">
        <v>510</v>
      </c>
      <c r="AA5" s="489" t="s">
        <v>36</v>
      </c>
      <c r="AB5" s="501" t="s">
        <v>37</v>
      </c>
      <c r="AC5" s="489" t="s">
        <v>1127</v>
      </c>
      <c r="AD5" s="489" t="s">
        <v>513</v>
      </c>
      <c r="AE5" s="491" t="s">
        <v>1128</v>
      </c>
      <c r="AF5" s="490" t="s">
        <v>515</v>
      </c>
      <c r="AG5" s="496"/>
      <c r="AH5" s="490"/>
      <c r="AI5" s="261"/>
    </row>
    <row r="6" spans="2:35" ht="34.5" x14ac:dyDescent="0.25">
      <c r="B6" s="490"/>
      <c r="C6" s="359" t="s">
        <v>1129</v>
      </c>
      <c r="D6" s="490"/>
      <c r="E6" s="359" t="s">
        <v>2</v>
      </c>
      <c r="F6" s="359" t="s">
        <v>494</v>
      </c>
      <c r="G6" s="359" t="s">
        <v>495</v>
      </c>
      <c r="H6" s="497"/>
      <c r="I6" s="493"/>
      <c r="J6" s="489"/>
      <c r="K6" s="489"/>
      <c r="L6" s="499"/>
      <c r="M6" s="370"/>
      <c r="N6" s="370"/>
      <c r="O6" s="489"/>
      <c r="P6" s="489"/>
      <c r="Q6" s="490"/>
      <c r="R6" s="287" t="s">
        <v>43</v>
      </c>
      <c r="S6" s="360" t="s">
        <v>1130</v>
      </c>
      <c r="T6" s="495"/>
      <c r="U6" s="490"/>
      <c r="V6" s="489"/>
      <c r="W6" s="490"/>
      <c r="X6" s="490"/>
      <c r="Y6" s="490"/>
      <c r="Z6" s="503"/>
      <c r="AA6" s="489"/>
      <c r="AB6" s="501"/>
      <c r="AC6" s="490"/>
      <c r="AD6" s="489"/>
      <c r="AE6" s="491"/>
      <c r="AF6" s="490"/>
      <c r="AG6" s="496"/>
      <c r="AH6" s="490"/>
      <c r="AI6" s="261"/>
    </row>
    <row r="7" spans="2:35" ht="172.5" x14ac:dyDescent="0.25">
      <c r="B7" s="288">
        <v>1</v>
      </c>
      <c r="C7" s="288">
        <v>200002</v>
      </c>
      <c r="D7" s="271" t="s">
        <v>1131</v>
      </c>
      <c r="E7" s="289" t="s">
        <v>1132</v>
      </c>
      <c r="F7" s="294" t="s">
        <v>1133</v>
      </c>
      <c r="G7" s="372" t="s">
        <v>1134</v>
      </c>
      <c r="H7" s="263">
        <v>71200</v>
      </c>
      <c r="I7" s="263">
        <v>7120</v>
      </c>
      <c r="J7" s="263">
        <v>35600</v>
      </c>
      <c r="K7" s="373">
        <v>1500</v>
      </c>
      <c r="L7" s="263">
        <v>0</v>
      </c>
      <c r="M7" s="263"/>
      <c r="N7" s="263"/>
      <c r="O7" s="263">
        <v>3000</v>
      </c>
      <c r="P7" s="264">
        <v>1000</v>
      </c>
      <c r="Q7" s="333">
        <v>119420</v>
      </c>
      <c r="R7" s="290">
        <v>7120</v>
      </c>
      <c r="S7" s="263"/>
      <c r="T7" s="291">
        <v>712</v>
      </c>
      <c r="U7" s="263"/>
      <c r="V7" s="263"/>
      <c r="W7" s="263">
        <v>0</v>
      </c>
      <c r="X7" s="263">
        <v>0</v>
      </c>
      <c r="Y7" s="263">
        <v>0</v>
      </c>
      <c r="Z7" s="374"/>
      <c r="AA7" s="263">
        <v>250</v>
      </c>
      <c r="AB7" s="275"/>
      <c r="AC7" s="263">
        <v>50</v>
      </c>
      <c r="AD7" s="263">
        <v>10</v>
      </c>
      <c r="AE7" s="263"/>
      <c r="AF7" s="263">
        <v>8142</v>
      </c>
      <c r="AG7" s="263">
        <v>111278</v>
      </c>
      <c r="AH7" s="295"/>
      <c r="AI7" s="293"/>
    </row>
    <row r="8" spans="2:35" ht="155.25" x14ac:dyDescent="0.25">
      <c r="B8" s="288">
        <v>2</v>
      </c>
      <c r="C8" s="288">
        <v>200003</v>
      </c>
      <c r="D8" s="271" t="s">
        <v>1135</v>
      </c>
      <c r="E8" s="289" t="s">
        <v>1136</v>
      </c>
      <c r="F8" s="294" t="s">
        <v>1137</v>
      </c>
      <c r="G8" s="372" t="s">
        <v>1138</v>
      </c>
      <c r="H8" s="263">
        <v>71200</v>
      </c>
      <c r="I8" s="263">
        <v>7120</v>
      </c>
      <c r="J8" s="263">
        <v>35600</v>
      </c>
      <c r="K8" s="263">
        <v>1500</v>
      </c>
      <c r="L8" s="263">
        <v>1500</v>
      </c>
      <c r="M8" s="263"/>
      <c r="N8" s="263"/>
      <c r="O8" s="263">
        <v>3000</v>
      </c>
      <c r="P8" s="265">
        <v>1000</v>
      </c>
      <c r="Q8" s="333">
        <v>120920</v>
      </c>
      <c r="R8" s="290">
        <v>7120</v>
      </c>
      <c r="S8" s="264"/>
      <c r="T8" s="291">
        <v>712</v>
      </c>
      <c r="U8" s="263"/>
      <c r="V8" s="263"/>
      <c r="W8" s="263">
        <v>0</v>
      </c>
      <c r="X8" s="263">
        <v>0</v>
      </c>
      <c r="Y8" s="263">
        <v>0</v>
      </c>
      <c r="Z8" s="339"/>
      <c r="AA8" s="263">
        <v>250</v>
      </c>
      <c r="AB8" s="275">
        <v>3512</v>
      </c>
      <c r="AC8" s="263">
        <v>50</v>
      </c>
      <c r="AD8" s="263">
        <v>10</v>
      </c>
      <c r="AE8" s="263"/>
      <c r="AF8" s="263">
        <v>11654</v>
      </c>
      <c r="AG8" s="263">
        <v>109266</v>
      </c>
      <c r="AH8" s="296"/>
      <c r="AI8" s="293"/>
    </row>
    <row r="9" spans="2:35" ht="155.25" x14ac:dyDescent="0.25">
      <c r="B9" s="288">
        <v>3</v>
      </c>
      <c r="C9" s="288">
        <v>200005</v>
      </c>
      <c r="D9" s="271" t="s">
        <v>1139</v>
      </c>
      <c r="E9" s="297" t="s">
        <v>1140</v>
      </c>
      <c r="F9" s="294" t="s">
        <v>1141</v>
      </c>
      <c r="G9" s="372" t="s">
        <v>1142</v>
      </c>
      <c r="H9" s="263">
        <v>63960</v>
      </c>
      <c r="I9" s="263">
        <v>6396</v>
      </c>
      <c r="J9" s="263">
        <v>31980</v>
      </c>
      <c r="K9" s="263">
        <v>1500</v>
      </c>
      <c r="L9" s="263"/>
      <c r="M9" s="263"/>
      <c r="N9" s="263"/>
      <c r="O9" s="263"/>
      <c r="P9" s="263"/>
      <c r="Q9" s="333">
        <v>103836</v>
      </c>
      <c r="R9" s="290">
        <v>6396</v>
      </c>
      <c r="S9" s="264"/>
      <c r="T9" s="291">
        <v>640</v>
      </c>
      <c r="U9" s="263"/>
      <c r="V9" s="263"/>
      <c r="W9" s="263"/>
      <c r="X9" s="263"/>
      <c r="Y9" s="263"/>
      <c r="Z9" s="339"/>
      <c r="AA9" s="263">
        <v>250</v>
      </c>
      <c r="AB9" s="275">
        <v>500</v>
      </c>
      <c r="AC9" s="263">
        <v>50</v>
      </c>
      <c r="AD9" s="263">
        <v>10</v>
      </c>
      <c r="AE9" s="263"/>
      <c r="AF9" s="263">
        <v>7846</v>
      </c>
      <c r="AG9" s="263">
        <v>95990</v>
      </c>
      <c r="AH9" s="296" t="s">
        <v>1143</v>
      </c>
      <c r="AI9" s="293"/>
    </row>
    <row r="10" spans="2:35" ht="224.25" x14ac:dyDescent="0.25">
      <c r="B10" s="288">
        <v>4</v>
      </c>
      <c r="C10" s="288">
        <v>200006</v>
      </c>
      <c r="D10" s="271" t="s">
        <v>1144</v>
      </c>
      <c r="E10" s="297" t="s">
        <v>1145</v>
      </c>
      <c r="F10" s="294" t="s">
        <v>1146</v>
      </c>
      <c r="G10" s="372" t="s">
        <v>1147</v>
      </c>
      <c r="H10" s="263">
        <v>63960</v>
      </c>
      <c r="I10" s="263">
        <v>6396</v>
      </c>
      <c r="J10" s="263"/>
      <c r="K10" s="263">
        <v>1500</v>
      </c>
      <c r="L10" s="263">
        <v>1500</v>
      </c>
      <c r="M10" s="263"/>
      <c r="N10" s="263"/>
      <c r="O10" s="263"/>
      <c r="P10" s="263">
        <v>500</v>
      </c>
      <c r="Q10" s="333">
        <v>73856</v>
      </c>
      <c r="R10" s="290">
        <v>6396</v>
      </c>
      <c r="S10" s="264"/>
      <c r="T10" s="291">
        <v>640</v>
      </c>
      <c r="U10" s="263"/>
      <c r="V10" s="263"/>
      <c r="W10" s="263">
        <v>1080</v>
      </c>
      <c r="X10" s="263">
        <v>120</v>
      </c>
      <c r="Y10" s="263">
        <v>30</v>
      </c>
      <c r="Z10" s="374">
        <v>1936</v>
      </c>
      <c r="AA10" s="263"/>
      <c r="AB10" s="275">
        <v>1853</v>
      </c>
      <c r="AC10" s="263">
        <v>50</v>
      </c>
      <c r="AD10" s="263">
        <v>10</v>
      </c>
      <c r="AE10" s="263"/>
      <c r="AF10" s="263">
        <v>12115</v>
      </c>
      <c r="AG10" s="263">
        <v>61741</v>
      </c>
      <c r="AH10" s="295"/>
      <c r="AI10" s="293"/>
    </row>
    <row r="11" spans="2:35" ht="155.25" x14ac:dyDescent="0.25">
      <c r="B11" s="288">
        <v>5</v>
      </c>
      <c r="C11" s="288">
        <v>200007</v>
      </c>
      <c r="D11" s="298" t="s">
        <v>1148</v>
      </c>
      <c r="E11" s="299" t="s">
        <v>1149</v>
      </c>
      <c r="F11" s="300" t="s">
        <v>1150</v>
      </c>
      <c r="G11" s="375" t="s">
        <v>1151</v>
      </c>
      <c r="H11" s="264">
        <v>53610</v>
      </c>
      <c r="I11" s="263">
        <v>5361</v>
      </c>
      <c r="J11" s="264">
        <v>26805</v>
      </c>
      <c r="K11" s="264">
        <v>1500</v>
      </c>
      <c r="L11" s="264">
        <v>0</v>
      </c>
      <c r="M11" s="264"/>
      <c r="N11" s="264"/>
      <c r="O11" s="263"/>
      <c r="P11" s="264">
        <v>500</v>
      </c>
      <c r="Q11" s="376">
        <v>87776</v>
      </c>
      <c r="R11" s="277">
        <v>5361</v>
      </c>
      <c r="S11" s="264"/>
      <c r="T11" s="274">
        <v>536</v>
      </c>
      <c r="U11" s="264"/>
      <c r="V11" s="264"/>
      <c r="W11" s="264">
        <v>0</v>
      </c>
      <c r="X11" s="264">
        <v>0</v>
      </c>
      <c r="Y11" s="264">
        <v>0</v>
      </c>
      <c r="Z11" s="340">
        <v>0</v>
      </c>
      <c r="AA11" s="264">
        <v>250</v>
      </c>
      <c r="AB11" s="301">
        <v>663</v>
      </c>
      <c r="AC11" s="264">
        <v>50</v>
      </c>
      <c r="AD11" s="264">
        <v>10</v>
      </c>
      <c r="AE11" s="263"/>
      <c r="AF11" s="264">
        <v>6870</v>
      </c>
      <c r="AG11" s="264">
        <v>80906</v>
      </c>
      <c r="AH11" s="295"/>
      <c r="AI11" s="302"/>
    </row>
    <row r="12" spans="2:35" ht="155.25" x14ac:dyDescent="0.25">
      <c r="B12" s="288">
        <v>6</v>
      </c>
      <c r="C12" s="288">
        <v>200012</v>
      </c>
      <c r="D12" s="361" t="s">
        <v>1152</v>
      </c>
      <c r="E12" s="297" t="s">
        <v>1153</v>
      </c>
      <c r="F12" s="294" t="s">
        <v>1154</v>
      </c>
      <c r="G12" s="372" t="s">
        <v>1155</v>
      </c>
      <c r="H12" s="263">
        <v>46970</v>
      </c>
      <c r="I12" s="263">
        <v>4697</v>
      </c>
      <c r="J12" s="263">
        <v>0</v>
      </c>
      <c r="K12" s="263">
        <v>1500</v>
      </c>
      <c r="L12" s="263"/>
      <c r="M12" s="263"/>
      <c r="N12" s="263"/>
      <c r="O12" s="263">
        <v>0</v>
      </c>
      <c r="P12" s="264">
        <v>1000</v>
      </c>
      <c r="Q12" s="333">
        <v>54167</v>
      </c>
      <c r="R12" s="290">
        <v>4697</v>
      </c>
      <c r="S12" s="263">
        <v>0</v>
      </c>
      <c r="T12" s="291">
        <v>470</v>
      </c>
      <c r="U12" s="263"/>
      <c r="V12" s="263"/>
      <c r="W12" s="263">
        <v>1080</v>
      </c>
      <c r="X12" s="263">
        <v>120</v>
      </c>
      <c r="Y12" s="263">
        <v>30</v>
      </c>
      <c r="Z12" s="339">
        <v>1881</v>
      </c>
      <c r="AA12" s="263">
        <v>0</v>
      </c>
      <c r="AB12" s="275">
        <v>417</v>
      </c>
      <c r="AC12" s="263">
        <v>50</v>
      </c>
      <c r="AD12" s="263">
        <v>10</v>
      </c>
      <c r="AE12" s="263"/>
      <c r="AF12" s="263">
        <v>8755</v>
      </c>
      <c r="AG12" s="263">
        <v>45412</v>
      </c>
      <c r="AH12" s="296"/>
      <c r="AI12" s="293"/>
    </row>
    <row r="13" spans="2:35" ht="155.25" x14ac:dyDescent="0.25">
      <c r="B13" s="288">
        <v>7</v>
      </c>
      <c r="C13" s="288">
        <v>200057</v>
      </c>
      <c r="D13" s="361" t="s">
        <v>1156</v>
      </c>
      <c r="E13" s="297" t="s">
        <v>1157</v>
      </c>
      <c r="F13" s="294" t="s">
        <v>1158</v>
      </c>
      <c r="G13" s="372" t="s">
        <v>1159</v>
      </c>
      <c r="H13" s="263">
        <v>46970</v>
      </c>
      <c r="I13" s="263">
        <v>4697</v>
      </c>
      <c r="J13" s="264">
        <v>23485</v>
      </c>
      <c r="K13" s="263">
        <v>1500</v>
      </c>
      <c r="L13" s="263"/>
      <c r="M13" s="263"/>
      <c r="N13" s="263"/>
      <c r="O13" s="263"/>
      <c r="P13" s="263">
        <v>500</v>
      </c>
      <c r="Q13" s="333">
        <v>77152</v>
      </c>
      <c r="R13" s="290">
        <v>4697</v>
      </c>
      <c r="S13" s="263"/>
      <c r="T13" s="291">
        <v>470</v>
      </c>
      <c r="U13" s="263"/>
      <c r="V13" s="263"/>
      <c r="W13" s="263"/>
      <c r="X13" s="263"/>
      <c r="Y13" s="263"/>
      <c r="Z13" s="341"/>
      <c r="AA13" s="263">
        <v>250</v>
      </c>
      <c r="AB13" s="275">
        <v>417</v>
      </c>
      <c r="AC13" s="263">
        <v>50</v>
      </c>
      <c r="AD13" s="263">
        <v>10</v>
      </c>
      <c r="AE13" s="263"/>
      <c r="AF13" s="263">
        <v>5894</v>
      </c>
      <c r="AG13" s="263">
        <v>71258</v>
      </c>
      <c r="AH13" s="296"/>
      <c r="AI13" s="293"/>
    </row>
    <row r="14" spans="2:35" ht="138" x14ac:dyDescent="0.25">
      <c r="B14" s="288">
        <v>8</v>
      </c>
      <c r="C14" s="288">
        <v>200009</v>
      </c>
      <c r="D14" s="271" t="s">
        <v>1160</v>
      </c>
      <c r="E14" s="297" t="s">
        <v>165</v>
      </c>
      <c r="F14" s="294" t="s">
        <v>1161</v>
      </c>
      <c r="G14" s="372" t="s">
        <v>1162</v>
      </c>
      <c r="H14" s="263">
        <v>53610</v>
      </c>
      <c r="I14" s="263">
        <v>5361</v>
      </c>
      <c r="J14" s="263">
        <v>26805</v>
      </c>
      <c r="K14" s="263">
        <v>1500</v>
      </c>
      <c r="L14" s="263">
        <v>0</v>
      </c>
      <c r="M14" s="263"/>
      <c r="N14" s="263"/>
      <c r="O14" s="263"/>
      <c r="P14" s="263">
        <v>0</v>
      </c>
      <c r="Q14" s="333">
        <v>87276</v>
      </c>
      <c r="R14" s="290">
        <v>5361</v>
      </c>
      <c r="S14" s="264"/>
      <c r="T14" s="291">
        <v>536</v>
      </c>
      <c r="U14" s="263"/>
      <c r="V14" s="263"/>
      <c r="W14" s="263">
        <v>0</v>
      </c>
      <c r="X14" s="263">
        <v>0</v>
      </c>
      <c r="Y14" s="263">
        <v>0</v>
      </c>
      <c r="Z14" s="339">
        <v>0</v>
      </c>
      <c r="AA14" s="263"/>
      <c r="AB14" s="275">
        <v>417</v>
      </c>
      <c r="AC14" s="263">
        <v>50</v>
      </c>
      <c r="AD14" s="263">
        <v>10</v>
      </c>
      <c r="AE14" s="263"/>
      <c r="AF14" s="263">
        <v>6374</v>
      </c>
      <c r="AG14" s="263">
        <v>80902</v>
      </c>
      <c r="AH14" s="296"/>
      <c r="AI14" s="293"/>
    </row>
    <row r="15" spans="2:35" ht="138" x14ac:dyDescent="0.25">
      <c r="B15" s="288">
        <v>9</v>
      </c>
      <c r="C15" s="288">
        <v>200017</v>
      </c>
      <c r="D15" s="361" t="s">
        <v>1163</v>
      </c>
      <c r="E15" s="297" t="s">
        <v>1164</v>
      </c>
      <c r="F15" s="294" t="s">
        <v>1150</v>
      </c>
      <c r="G15" s="372" t="s">
        <v>1165</v>
      </c>
      <c r="H15" s="263">
        <v>44940</v>
      </c>
      <c r="I15" s="263">
        <v>4494</v>
      </c>
      <c r="J15" s="263">
        <v>0</v>
      </c>
      <c r="K15" s="263">
        <v>1500</v>
      </c>
      <c r="L15" s="263">
        <v>0</v>
      </c>
      <c r="M15" s="263"/>
      <c r="N15" s="263"/>
      <c r="O15" s="263">
        <v>0</v>
      </c>
      <c r="P15" s="263">
        <v>1000</v>
      </c>
      <c r="Q15" s="333">
        <v>51934</v>
      </c>
      <c r="R15" s="290">
        <v>4494</v>
      </c>
      <c r="S15" s="263">
        <v>0</v>
      </c>
      <c r="T15" s="291">
        <v>449</v>
      </c>
      <c r="U15" s="263"/>
      <c r="V15" s="263"/>
      <c r="W15" s="263">
        <v>1080</v>
      </c>
      <c r="X15" s="263">
        <v>30</v>
      </c>
      <c r="Y15" s="263">
        <v>10</v>
      </c>
      <c r="Z15" s="339">
        <v>2579</v>
      </c>
      <c r="AA15" s="263">
        <v>0</v>
      </c>
      <c r="AB15" s="275">
        <v>417</v>
      </c>
      <c r="AC15" s="263">
        <v>50</v>
      </c>
      <c r="AD15" s="263">
        <v>10</v>
      </c>
      <c r="AE15" s="263"/>
      <c r="AF15" s="263">
        <v>9119</v>
      </c>
      <c r="AG15" s="263">
        <v>42815</v>
      </c>
      <c r="AH15" s="296"/>
      <c r="AI15" s="293"/>
    </row>
    <row r="16" spans="2:35" ht="120.75" x14ac:dyDescent="0.25">
      <c r="B16" s="288">
        <v>10</v>
      </c>
      <c r="C16" s="288">
        <v>200018</v>
      </c>
      <c r="D16" s="361" t="s">
        <v>1166</v>
      </c>
      <c r="E16" s="297" t="s">
        <v>1167</v>
      </c>
      <c r="F16" s="294" t="s">
        <v>1168</v>
      </c>
      <c r="G16" s="372" t="s">
        <v>1169</v>
      </c>
      <c r="H16" s="263">
        <v>43170</v>
      </c>
      <c r="I16" s="263">
        <v>4317</v>
      </c>
      <c r="J16" s="264">
        <v>21585</v>
      </c>
      <c r="K16" s="263">
        <v>1500</v>
      </c>
      <c r="L16" s="263"/>
      <c r="M16" s="263"/>
      <c r="N16" s="263"/>
      <c r="O16" s="263"/>
      <c r="P16" s="263">
        <v>500</v>
      </c>
      <c r="Q16" s="333">
        <v>71072</v>
      </c>
      <c r="R16" s="290">
        <v>4317</v>
      </c>
      <c r="S16" s="263">
        <v>5000</v>
      </c>
      <c r="T16" s="291">
        <v>432</v>
      </c>
      <c r="U16" s="263"/>
      <c r="V16" s="263"/>
      <c r="W16" s="263"/>
      <c r="X16" s="263"/>
      <c r="Y16" s="263"/>
      <c r="Z16" s="339"/>
      <c r="AA16" s="263"/>
      <c r="AB16" s="275">
        <v>417</v>
      </c>
      <c r="AC16" s="263">
        <v>50</v>
      </c>
      <c r="AD16" s="263">
        <v>10</v>
      </c>
      <c r="AE16" s="263"/>
      <c r="AF16" s="263">
        <v>10226</v>
      </c>
      <c r="AG16" s="263">
        <v>60846</v>
      </c>
      <c r="AH16" s="296" t="s">
        <v>1170</v>
      </c>
      <c r="AI16" s="293"/>
    </row>
    <row r="17" spans="2:34" ht="172.5" x14ac:dyDescent="0.25">
      <c r="B17" s="288">
        <v>11</v>
      </c>
      <c r="C17" s="288">
        <v>200056</v>
      </c>
      <c r="D17" s="361" t="s">
        <v>1171</v>
      </c>
      <c r="E17" s="297" t="s">
        <v>1172</v>
      </c>
      <c r="F17" s="294" t="s">
        <v>1173</v>
      </c>
      <c r="G17" s="372" t="s">
        <v>1174</v>
      </c>
      <c r="H17" s="263">
        <v>41110</v>
      </c>
      <c r="I17" s="263">
        <v>4111</v>
      </c>
      <c r="J17" s="264">
        <v>20555</v>
      </c>
      <c r="K17" s="263">
        <v>1500</v>
      </c>
      <c r="L17" s="263"/>
      <c r="M17" s="263"/>
      <c r="N17" s="263"/>
      <c r="O17" s="263"/>
      <c r="P17" s="263"/>
      <c r="Q17" s="333">
        <v>67276</v>
      </c>
      <c r="R17" s="290">
        <v>4111</v>
      </c>
      <c r="S17" s="263"/>
      <c r="T17" s="291">
        <v>411</v>
      </c>
      <c r="U17" s="263"/>
      <c r="V17" s="263"/>
      <c r="W17" s="263"/>
      <c r="X17" s="263"/>
      <c r="Y17" s="263"/>
      <c r="Z17" s="339"/>
      <c r="AA17" s="263"/>
      <c r="AB17" s="275">
        <v>417</v>
      </c>
      <c r="AC17" s="263">
        <v>50</v>
      </c>
      <c r="AD17" s="263">
        <v>10</v>
      </c>
      <c r="AE17" s="263"/>
      <c r="AF17" s="263">
        <v>4999</v>
      </c>
      <c r="AG17" s="263">
        <v>62277</v>
      </c>
      <c r="AH17" s="296"/>
    </row>
    <row r="18" spans="2:34" ht="120.75" x14ac:dyDescent="0.25">
      <c r="B18" s="288">
        <v>12</v>
      </c>
      <c r="C18" s="288">
        <v>200073</v>
      </c>
      <c r="D18" s="361" t="s">
        <v>1175</v>
      </c>
      <c r="E18" s="297" t="s">
        <v>1176</v>
      </c>
      <c r="F18" s="294" t="s">
        <v>1177</v>
      </c>
      <c r="G18" s="372" t="s">
        <v>1178</v>
      </c>
      <c r="H18" s="263">
        <v>39150</v>
      </c>
      <c r="I18" s="263">
        <v>3915</v>
      </c>
      <c r="J18" s="264">
        <v>19575</v>
      </c>
      <c r="K18" s="263">
        <v>1500</v>
      </c>
      <c r="L18" s="263"/>
      <c r="M18" s="263"/>
      <c r="N18" s="263"/>
      <c r="O18" s="263"/>
      <c r="P18" s="263">
        <v>1000</v>
      </c>
      <c r="Q18" s="333">
        <v>65140</v>
      </c>
      <c r="R18" s="290">
        <v>3915</v>
      </c>
      <c r="S18" s="263"/>
      <c r="T18" s="291">
        <v>392</v>
      </c>
      <c r="U18" s="263"/>
      <c r="V18" s="263"/>
      <c r="W18" s="263"/>
      <c r="X18" s="263"/>
      <c r="Y18" s="263"/>
      <c r="Z18" s="339"/>
      <c r="AA18" s="263">
        <v>250</v>
      </c>
      <c r="AB18" s="275">
        <v>417</v>
      </c>
      <c r="AC18" s="263">
        <v>50</v>
      </c>
      <c r="AD18" s="263">
        <v>10</v>
      </c>
      <c r="AE18" s="263"/>
      <c r="AF18" s="263">
        <v>5034</v>
      </c>
      <c r="AG18" s="263">
        <v>60106</v>
      </c>
      <c r="AH18" s="296"/>
    </row>
    <row r="19" spans="2:34" ht="138" x14ac:dyDescent="0.25">
      <c r="B19" s="288">
        <v>13</v>
      </c>
      <c r="C19" s="288">
        <v>200008</v>
      </c>
      <c r="D19" s="271" t="s">
        <v>1179</v>
      </c>
      <c r="E19" s="297" t="s">
        <v>1180</v>
      </c>
      <c r="F19" s="294" t="s">
        <v>1181</v>
      </c>
      <c r="G19" s="372" t="s">
        <v>1182</v>
      </c>
      <c r="H19" s="263">
        <v>40840</v>
      </c>
      <c r="I19" s="263">
        <v>4084</v>
      </c>
      <c r="J19" s="264">
        <v>20420</v>
      </c>
      <c r="K19" s="263">
        <v>1500</v>
      </c>
      <c r="L19" s="263">
        <v>0</v>
      </c>
      <c r="M19" s="263"/>
      <c r="N19" s="263"/>
      <c r="O19" s="263">
        <v>0</v>
      </c>
      <c r="P19" s="263">
        <v>500</v>
      </c>
      <c r="Q19" s="333">
        <v>67344</v>
      </c>
      <c r="R19" s="290">
        <v>4084</v>
      </c>
      <c r="S19" s="263">
        <v>0</v>
      </c>
      <c r="T19" s="291">
        <v>408</v>
      </c>
      <c r="U19" s="263"/>
      <c r="V19" s="263"/>
      <c r="W19" s="263">
        <v>0</v>
      </c>
      <c r="X19" s="263">
        <v>0</v>
      </c>
      <c r="Y19" s="263">
        <v>0</v>
      </c>
      <c r="Z19" s="339">
        <v>0</v>
      </c>
      <c r="AA19" s="263">
        <v>0</v>
      </c>
      <c r="AB19" s="275">
        <v>417</v>
      </c>
      <c r="AC19" s="263">
        <v>50</v>
      </c>
      <c r="AD19" s="263">
        <v>10</v>
      </c>
      <c r="AE19" s="263"/>
      <c r="AF19" s="263">
        <v>4969</v>
      </c>
      <c r="AG19" s="263">
        <v>62375</v>
      </c>
      <c r="AH19" s="296"/>
    </row>
    <row r="20" spans="2:34" ht="172.5" x14ac:dyDescent="0.25">
      <c r="B20" s="288">
        <v>14</v>
      </c>
      <c r="C20" s="288">
        <v>200026</v>
      </c>
      <c r="D20" s="271" t="s">
        <v>1183</v>
      </c>
      <c r="E20" s="297" t="s">
        <v>1184</v>
      </c>
      <c r="F20" s="294" t="s">
        <v>1185</v>
      </c>
      <c r="G20" s="372" t="s">
        <v>1186</v>
      </c>
      <c r="H20" s="263">
        <v>40840</v>
      </c>
      <c r="I20" s="263">
        <v>4084</v>
      </c>
      <c r="J20" s="264">
        <v>20420</v>
      </c>
      <c r="K20" s="263">
        <v>1500</v>
      </c>
      <c r="L20" s="263">
        <v>0</v>
      </c>
      <c r="M20" s="263"/>
      <c r="N20" s="263"/>
      <c r="O20" s="263">
        <v>0</v>
      </c>
      <c r="P20" s="263">
        <v>0</v>
      </c>
      <c r="Q20" s="333">
        <v>66844</v>
      </c>
      <c r="R20" s="290">
        <v>4084</v>
      </c>
      <c r="S20" s="263">
        <v>0</v>
      </c>
      <c r="T20" s="291">
        <v>408</v>
      </c>
      <c r="U20" s="263"/>
      <c r="V20" s="263"/>
      <c r="W20" s="263">
        <v>0</v>
      </c>
      <c r="X20" s="263">
        <v>0</v>
      </c>
      <c r="Y20" s="263">
        <v>0</v>
      </c>
      <c r="Z20" s="339"/>
      <c r="AA20" s="263">
        <v>0</v>
      </c>
      <c r="AB20" s="275">
        <v>417</v>
      </c>
      <c r="AC20" s="263">
        <v>50</v>
      </c>
      <c r="AD20" s="263">
        <v>10</v>
      </c>
      <c r="AE20" s="263"/>
      <c r="AF20" s="263">
        <v>4969</v>
      </c>
      <c r="AG20" s="263">
        <v>61875</v>
      </c>
      <c r="AH20" s="296"/>
    </row>
    <row r="21" spans="2:34" ht="138" x14ac:dyDescent="0.25">
      <c r="B21" s="288">
        <v>15</v>
      </c>
      <c r="C21" s="288">
        <v>200027</v>
      </c>
      <c r="D21" s="271" t="s">
        <v>1187</v>
      </c>
      <c r="E21" s="297" t="s">
        <v>1188</v>
      </c>
      <c r="F21" s="294" t="s">
        <v>1189</v>
      </c>
      <c r="G21" s="372" t="s">
        <v>1190</v>
      </c>
      <c r="H21" s="263">
        <v>40840</v>
      </c>
      <c r="I21" s="263">
        <v>4084</v>
      </c>
      <c r="J21" s="264">
        <v>20420</v>
      </c>
      <c r="K21" s="263">
        <v>1500</v>
      </c>
      <c r="L21" s="263">
        <v>0</v>
      </c>
      <c r="M21" s="263"/>
      <c r="N21" s="263"/>
      <c r="O21" s="263">
        <v>0</v>
      </c>
      <c r="P21" s="263">
        <v>1000</v>
      </c>
      <c r="Q21" s="333">
        <v>67844</v>
      </c>
      <c r="R21" s="290">
        <v>4084</v>
      </c>
      <c r="S21" s="263">
        <v>9375</v>
      </c>
      <c r="T21" s="291">
        <v>408</v>
      </c>
      <c r="U21" s="263"/>
      <c r="V21" s="263"/>
      <c r="W21" s="263"/>
      <c r="X21" s="263"/>
      <c r="Y21" s="263"/>
      <c r="Z21" s="339"/>
      <c r="AA21" s="263">
        <v>250</v>
      </c>
      <c r="AB21" s="275">
        <v>417</v>
      </c>
      <c r="AC21" s="263">
        <v>50</v>
      </c>
      <c r="AD21" s="263">
        <v>10</v>
      </c>
      <c r="AE21" s="263"/>
      <c r="AF21" s="263">
        <v>14594</v>
      </c>
      <c r="AG21" s="263">
        <v>53250</v>
      </c>
      <c r="AH21" s="296" t="s">
        <v>1191</v>
      </c>
    </row>
    <row r="22" spans="2:34" ht="172.5" x14ac:dyDescent="0.25">
      <c r="B22" s="288">
        <v>16</v>
      </c>
      <c r="C22" s="288">
        <v>200010</v>
      </c>
      <c r="D22" s="361" t="s">
        <v>1192</v>
      </c>
      <c r="E22" s="297" t="s">
        <v>1193</v>
      </c>
      <c r="F22" s="294" t="s">
        <v>1194</v>
      </c>
      <c r="G22" s="372" t="s">
        <v>1195</v>
      </c>
      <c r="H22" s="263">
        <v>45040</v>
      </c>
      <c r="I22" s="263">
        <v>4504</v>
      </c>
      <c r="J22" s="263">
        <v>0</v>
      </c>
      <c r="K22" s="263">
        <v>1500</v>
      </c>
      <c r="L22" s="263">
        <v>0</v>
      </c>
      <c r="M22" s="263"/>
      <c r="N22" s="263"/>
      <c r="O22" s="263">
        <v>0</v>
      </c>
      <c r="P22" s="263">
        <v>1000</v>
      </c>
      <c r="Q22" s="333">
        <v>52044</v>
      </c>
      <c r="R22" s="290">
        <v>4504</v>
      </c>
      <c r="S22" s="263"/>
      <c r="T22" s="291">
        <v>450</v>
      </c>
      <c r="U22" s="263"/>
      <c r="V22" s="263"/>
      <c r="W22" s="263">
        <v>1080</v>
      </c>
      <c r="X22" s="263">
        <v>30</v>
      </c>
      <c r="Y22" s="263">
        <v>10</v>
      </c>
      <c r="Z22" s="339">
        <v>1214</v>
      </c>
      <c r="AA22" s="263">
        <v>0</v>
      </c>
      <c r="AB22" s="275">
        <v>417</v>
      </c>
      <c r="AC22" s="263">
        <v>50</v>
      </c>
      <c r="AD22" s="263">
        <v>10</v>
      </c>
      <c r="AE22" s="263"/>
      <c r="AF22" s="263">
        <v>7765</v>
      </c>
      <c r="AG22" s="263">
        <v>44279</v>
      </c>
      <c r="AH22" s="296"/>
    </row>
    <row r="23" spans="2:34" ht="155.25" x14ac:dyDescent="0.25">
      <c r="B23" s="288">
        <v>17</v>
      </c>
      <c r="C23" s="288">
        <v>200015</v>
      </c>
      <c r="D23" s="361" t="s">
        <v>1196</v>
      </c>
      <c r="E23" s="304" t="s">
        <v>1197</v>
      </c>
      <c r="F23" s="294" t="s">
        <v>1198</v>
      </c>
      <c r="G23" s="372" t="s">
        <v>1199</v>
      </c>
      <c r="H23" s="263">
        <v>45040</v>
      </c>
      <c r="I23" s="263">
        <v>4504</v>
      </c>
      <c r="J23" s="263"/>
      <c r="K23" s="263">
        <v>1500</v>
      </c>
      <c r="L23" s="263">
        <v>0</v>
      </c>
      <c r="M23" s="263"/>
      <c r="N23" s="263"/>
      <c r="O23" s="263">
        <v>0</v>
      </c>
      <c r="P23" s="263">
        <v>500</v>
      </c>
      <c r="Q23" s="333">
        <v>51544</v>
      </c>
      <c r="R23" s="290">
        <v>4504</v>
      </c>
      <c r="S23" s="263">
        <v>0</v>
      </c>
      <c r="T23" s="291">
        <v>450</v>
      </c>
      <c r="U23" s="263"/>
      <c r="V23" s="263"/>
      <c r="W23" s="263">
        <v>1080</v>
      </c>
      <c r="X23" s="263">
        <v>30</v>
      </c>
      <c r="Y23" s="263">
        <v>10</v>
      </c>
      <c r="Z23" s="339">
        <v>1199</v>
      </c>
      <c r="AA23" s="263">
        <v>0</v>
      </c>
      <c r="AB23" s="275">
        <v>417</v>
      </c>
      <c r="AC23" s="263">
        <v>50</v>
      </c>
      <c r="AD23" s="263">
        <v>10</v>
      </c>
      <c r="AE23" s="263"/>
      <c r="AF23" s="263">
        <v>7750</v>
      </c>
      <c r="AG23" s="263">
        <v>43794</v>
      </c>
      <c r="AH23" s="296"/>
    </row>
    <row r="24" spans="2:34" ht="155.25" x14ac:dyDescent="0.25">
      <c r="B24" s="288">
        <v>18</v>
      </c>
      <c r="C24" s="288">
        <v>200016</v>
      </c>
      <c r="D24" s="269" t="s">
        <v>1200</v>
      </c>
      <c r="E24" s="305" t="s">
        <v>1201</v>
      </c>
      <c r="F24" s="300" t="s">
        <v>1198</v>
      </c>
      <c r="G24" s="375" t="s">
        <v>1202</v>
      </c>
      <c r="H24" s="264">
        <v>42890</v>
      </c>
      <c r="I24" s="263">
        <v>4289</v>
      </c>
      <c r="J24" s="264">
        <v>0</v>
      </c>
      <c r="K24" s="264">
        <v>1500</v>
      </c>
      <c r="L24" s="264">
        <v>0</v>
      </c>
      <c r="M24" s="264"/>
      <c r="N24" s="264"/>
      <c r="O24" s="264">
        <v>0</v>
      </c>
      <c r="P24" s="264">
        <v>1000</v>
      </c>
      <c r="Q24" s="376">
        <v>49679</v>
      </c>
      <c r="R24" s="277">
        <v>4289</v>
      </c>
      <c r="S24" s="264">
        <v>13550</v>
      </c>
      <c r="T24" s="274">
        <v>429</v>
      </c>
      <c r="U24" s="264"/>
      <c r="V24" s="264"/>
      <c r="W24" s="264">
        <v>1080</v>
      </c>
      <c r="X24" s="264">
        <v>30</v>
      </c>
      <c r="Y24" s="264">
        <v>10</v>
      </c>
      <c r="Z24" s="340">
        <v>1554</v>
      </c>
      <c r="AA24" s="264">
        <v>0</v>
      </c>
      <c r="AB24" s="275">
        <v>417</v>
      </c>
      <c r="AC24" s="264">
        <v>50</v>
      </c>
      <c r="AD24" s="264">
        <v>10</v>
      </c>
      <c r="AE24" s="263"/>
      <c r="AF24" s="264">
        <v>21419</v>
      </c>
      <c r="AG24" s="264">
        <v>28260</v>
      </c>
      <c r="AH24" s="295" t="s">
        <v>1203</v>
      </c>
    </row>
    <row r="25" spans="2:34" ht="172.5" x14ac:dyDescent="0.25">
      <c r="B25" s="288">
        <v>19</v>
      </c>
      <c r="C25" s="272">
        <v>200069</v>
      </c>
      <c r="D25" s="269" t="s">
        <v>1204</v>
      </c>
      <c r="E25" s="305" t="s">
        <v>1205</v>
      </c>
      <c r="F25" s="300" t="s">
        <v>1206</v>
      </c>
      <c r="G25" s="375" t="s">
        <v>1207</v>
      </c>
      <c r="H25" s="264">
        <v>33580</v>
      </c>
      <c r="I25" s="263">
        <v>3358</v>
      </c>
      <c r="J25" s="264">
        <v>18469</v>
      </c>
      <c r="K25" s="264">
        <v>1500</v>
      </c>
      <c r="L25" s="264"/>
      <c r="M25" s="264"/>
      <c r="N25" s="264"/>
      <c r="O25" s="264"/>
      <c r="P25" s="264">
        <v>500</v>
      </c>
      <c r="Q25" s="376">
        <v>57407</v>
      </c>
      <c r="R25" s="277">
        <v>3358</v>
      </c>
      <c r="S25" s="264"/>
      <c r="T25" s="274">
        <v>336</v>
      </c>
      <c r="U25" s="264"/>
      <c r="V25" s="264"/>
      <c r="W25" s="264"/>
      <c r="X25" s="264"/>
      <c r="Y25" s="264"/>
      <c r="Z25" s="340"/>
      <c r="AA25" s="264"/>
      <c r="AB25" s="275">
        <v>417</v>
      </c>
      <c r="AC25" s="264">
        <v>50</v>
      </c>
      <c r="AD25" s="264">
        <v>10</v>
      </c>
      <c r="AE25" s="263"/>
      <c r="AF25" s="264">
        <v>4171</v>
      </c>
      <c r="AG25" s="264">
        <v>53236</v>
      </c>
      <c r="AH25" s="295"/>
    </row>
    <row r="26" spans="2:34" ht="172.5" x14ac:dyDescent="0.25">
      <c r="B26" s="288">
        <v>20</v>
      </c>
      <c r="C26" s="288">
        <v>200029</v>
      </c>
      <c r="D26" s="271" t="s">
        <v>1208</v>
      </c>
      <c r="E26" s="297" t="s">
        <v>1209</v>
      </c>
      <c r="F26" s="294" t="s">
        <v>1206</v>
      </c>
      <c r="G26" s="372" t="s">
        <v>1210</v>
      </c>
      <c r="H26" s="263">
        <v>35260</v>
      </c>
      <c r="I26" s="263">
        <v>3526</v>
      </c>
      <c r="J26" s="263">
        <v>0</v>
      </c>
      <c r="K26" s="263">
        <v>1500</v>
      </c>
      <c r="L26" s="263">
        <v>0</v>
      </c>
      <c r="M26" s="263"/>
      <c r="N26" s="263"/>
      <c r="O26" s="263">
        <v>0</v>
      </c>
      <c r="P26" s="263">
        <v>0</v>
      </c>
      <c r="Q26" s="333">
        <v>40286</v>
      </c>
      <c r="R26" s="290">
        <v>3526</v>
      </c>
      <c r="S26" s="263">
        <v>10000</v>
      </c>
      <c r="T26" s="291">
        <v>353</v>
      </c>
      <c r="U26" s="263"/>
      <c r="V26" s="263"/>
      <c r="W26" s="263">
        <v>1080</v>
      </c>
      <c r="X26" s="263">
        <v>30</v>
      </c>
      <c r="Y26" s="263">
        <v>10</v>
      </c>
      <c r="Z26" s="340">
        <v>647</v>
      </c>
      <c r="AA26" s="263">
        <v>0</v>
      </c>
      <c r="AB26" s="275">
        <v>417</v>
      </c>
      <c r="AC26" s="263">
        <v>50</v>
      </c>
      <c r="AD26" s="263">
        <v>10</v>
      </c>
      <c r="AE26" s="263"/>
      <c r="AF26" s="263">
        <v>16123</v>
      </c>
      <c r="AG26" s="263">
        <v>24163</v>
      </c>
      <c r="AH26" s="292" t="s">
        <v>1211</v>
      </c>
    </row>
    <row r="27" spans="2:34" ht="155.25" x14ac:dyDescent="0.25">
      <c r="B27" s="288">
        <v>21</v>
      </c>
      <c r="C27" s="288">
        <v>200011</v>
      </c>
      <c r="D27" s="361" t="s">
        <v>1212</v>
      </c>
      <c r="E27" s="306" t="s">
        <v>1213</v>
      </c>
      <c r="F27" s="359" t="s">
        <v>1214</v>
      </c>
      <c r="G27" s="372" t="s">
        <v>1215</v>
      </c>
      <c r="H27" s="263">
        <v>42890</v>
      </c>
      <c r="I27" s="263">
        <v>4289</v>
      </c>
      <c r="J27" s="263"/>
      <c r="K27" s="263">
        <v>1500</v>
      </c>
      <c r="L27" s="263"/>
      <c r="M27" s="263"/>
      <c r="N27" s="263"/>
      <c r="O27" s="263"/>
      <c r="P27" s="263"/>
      <c r="Q27" s="333">
        <v>48679</v>
      </c>
      <c r="R27" s="290">
        <v>4289</v>
      </c>
      <c r="S27" s="264">
        <v>13650</v>
      </c>
      <c r="T27" s="291">
        <v>429</v>
      </c>
      <c r="U27" s="263"/>
      <c r="V27" s="263"/>
      <c r="W27" s="263">
        <v>1080</v>
      </c>
      <c r="X27" s="263">
        <v>30</v>
      </c>
      <c r="Y27" s="263">
        <v>10</v>
      </c>
      <c r="Z27" s="339">
        <v>564</v>
      </c>
      <c r="AA27" s="263"/>
      <c r="AB27" s="275">
        <v>417</v>
      </c>
      <c r="AC27" s="263">
        <v>50</v>
      </c>
      <c r="AD27" s="263">
        <v>10</v>
      </c>
      <c r="AE27" s="263"/>
      <c r="AF27" s="263">
        <v>20529</v>
      </c>
      <c r="AG27" s="263">
        <v>28150</v>
      </c>
      <c r="AH27" s="296" t="s">
        <v>1216</v>
      </c>
    </row>
    <row r="28" spans="2:34" ht="155.25" x14ac:dyDescent="0.25">
      <c r="B28" s="288">
        <v>22</v>
      </c>
      <c r="C28" s="288">
        <v>200054</v>
      </c>
      <c r="D28" s="361" t="s">
        <v>1217</v>
      </c>
      <c r="E28" s="297" t="s">
        <v>1218</v>
      </c>
      <c r="F28" s="294" t="s">
        <v>1219</v>
      </c>
      <c r="G28" s="372" t="s">
        <v>1220</v>
      </c>
      <c r="H28" s="263">
        <v>37030</v>
      </c>
      <c r="I28" s="263">
        <v>3703</v>
      </c>
      <c r="J28" s="263">
        <v>19500</v>
      </c>
      <c r="K28" s="263">
        <v>1500</v>
      </c>
      <c r="L28" s="263"/>
      <c r="M28" s="263"/>
      <c r="N28" s="263"/>
      <c r="O28" s="263"/>
      <c r="P28" s="263"/>
      <c r="Q28" s="333">
        <v>61733</v>
      </c>
      <c r="R28" s="290">
        <v>3703</v>
      </c>
      <c r="S28" s="263"/>
      <c r="T28" s="291">
        <v>370</v>
      </c>
      <c r="U28" s="263"/>
      <c r="V28" s="263"/>
      <c r="W28" s="263"/>
      <c r="X28" s="263"/>
      <c r="Y28" s="263"/>
      <c r="Z28" s="339"/>
      <c r="AA28" s="263"/>
      <c r="AB28" s="275">
        <v>417</v>
      </c>
      <c r="AC28" s="263">
        <v>50</v>
      </c>
      <c r="AD28" s="263">
        <v>10</v>
      </c>
      <c r="AE28" s="263"/>
      <c r="AF28" s="263">
        <v>4550</v>
      </c>
      <c r="AG28" s="263">
        <v>57183</v>
      </c>
      <c r="AH28" s="296"/>
    </row>
    <row r="29" spans="2:34" ht="155.25" x14ac:dyDescent="0.25">
      <c r="B29" s="288">
        <v>23</v>
      </c>
      <c r="C29" s="288">
        <v>200055</v>
      </c>
      <c r="D29" s="361" t="s">
        <v>1221</v>
      </c>
      <c r="E29" s="297" t="s">
        <v>1222</v>
      </c>
      <c r="F29" s="294" t="s">
        <v>1223</v>
      </c>
      <c r="G29" s="372" t="s">
        <v>1224</v>
      </c>
      <c r="H29" s="263">
        <v>35260</v>
      </c>
      <c r="I29" s="263">
        <v>3526</v>
      </c>
      <c r="J29" s="263">
        <v>19393</v>
      </c>
      <c r="K29" s="263">
        <v>1500</v>
      </c>
      <c r="L29" s="263"/>
      <c r="M29" s="263"/>
      <c r="N29" s="263"/>
      <c r="O29" s="263"/>
      <c r="P29" s="263">
        <v>500</v>
      </c>
      <c r="Q29" s="333">
        <v>60179</v>
      </c>
      <c r="R29" s="290">
        <v>3526</v>
      </c>
      <c r="S29" s="263">
        <v>6700</v>
      </c>
      <c r="T29" s="291">
        <v>353</v>
      </c>
      <c r="U29" s="263"/>
      <c r="V29" s="263"/>
      <c r="W29" s="263"/>
      <c r="X29" s="263"/>
      <c r="Y29" s="263"/>
      <c r="Z29" s="339"/>
      <c r="AA29" s="263"/>
      <c r="AB29" s="275">
        <v>417</v>
      </c>
      <c r="AC29" s="263">
        <v>50</v>
      </c>
      <c r="AD29" s="263">
        <v>10</v>
      </c>
      <c r="AE29" s="263"/>
      <c r="AF29" s="263">
        <v>11056</v>
      </c>
      <c r="AG29" s="263">
        <v>49123</v>
      </c>
      <c r="AH29" s="292" t="s">
        <v>1225</v>
      </c>
    </row>
    <row r="30" spans="2:34" ht="138" x14ac:dyDescent="0.25">
      <c r="B30" s="288">
        <v>24</v>
      </c>
      <c r="C30" s="288">
        <v>200019</v>
      </c>
      <c r="D30" s="271" t="s">
        <v>1226</v>
      </c>
      <c r="E30" s="307" t="s">
        <v>1227</v>
      </c>
      <c r="F30" s="294" t="s">
        <v>1228</v>
      </c>
      <c r="G30" s="372" t="s">
        <v>1229</v>
      </c>
      <c r="H30" s="263">
        <v>35260</v>
      </c>
      <c r="I30" s="263">
        <v>3526</v>
      </c>
      <c r="J30" s="263">
        <v>19393</v>
      </c>
      <c r="K30" s="263">
        <v>1500</v>
      </c>
      <c r="L30" s="263">
        <v>3000</v>
      </c>
      <c r="M30" s="263"/>
      <c r="N30" s="263"/>
      <c r="O30" s="263">
        <v>0</v>
      </c>
      <c r="P30" s="263">
        <v>1000</v>
      </c>
      <c r="Q30" s="333">
        <v>63679</v>
      </c>
      <c r="R30" s="290">
        <v>3526</v>
      </c>
      <c r="S30" s="264"/>
      <c r="T30" s="291">
        <v>353</v>
      </c>
      <c r="U30" s="263"/>
      <c r="V30" s="263"/>
      <c r="W30" s="263"/>
      <c r="X30" s="263"/>
      <c r="Y30" s="263"/>
      <c r="Z30" s="339"/>
      <c r="AA30" s="263">
        <v>0</v>
      </c>
      <c r="AB30" s="275">
        <v>417</v>
      </c>
      <c r="AC30" s="263">
        <v>50</v>
      </c>
      <c r="AD30" s="263">
        <v>10</v>
      </c>
      <c r="AE30" s="263"/>
      <c r="AF30" s="263">
        <v>4356</v>
      </c>
      <c r="AG30" s="263">
        <v>59323</v>
      </c>
      <c r="AH30" s="292"/>
    </row>
    <row r="31" spans="2:34" ht="186" x14ac:dyDescent="0.25">
      <c r="B31" s="288">
        <v>25</v>
      </c>
      <c r="C31" s="288">
        <v>200030</v>
      </c>
      <c r="D31" s="361" t="s">
        <v>1230</v>
      </c>
      <c r="E31" s="297" t="s">
        <v>1231</v>
      </c>
      <c r="F31" s="294" t="s">
        <v>1228</v>
      </c>
      <c r="G31" s="372" t="s">
        <v>1232</v>
      </c>
      <c r="H31" s="263">
        <v>33580</v>
      </c>
      <c r="I31" s="263">
        <v>3358</v>
      </c>
      <c r="J31" s="263">
        <v>18469</v>
      </c>
      <c r="K31" s="263">
        <v>1500</v>
      </c>
      <c r="L31" s="263">
        <v>0</v>
      </c>
      <c r="M31" s="263"/>
      <c r="N31" s="263"/>
      <c r="O31" s="263">
        <v>0</v>
      </c>
      <c r="P31" s="263">
        <v>0</v>
      </c>
      <c r="Q31" s="333">
        <v>56907</v>
      </c>
      <c r="R31" s="290">
        <v>3358</v>
      </c>
      <c r="S31" s="263">
        <v>5000</v>
      </c>
      <c r="T31" s="291">
        <v>336</v>
      </c>
      <c r="U31" s="263"/>
      <c r="V31" s="263"/>
      <c r="W31" s="263">
        <v>0</v>
      </c>
      <c r="X31" s="263">
        <v>0</v>
      </c>
      <c r="Y31" s="263">
        <v>0</v>
      </c>
      <c r="Z31" s="339"/>
      <c r="AA31" s="264">
        <v>250</v>
      </c>
      <c r="AB31" s="275">
        <v>417</v>
      </c>
      <c r="AC31" s="263">
        <v>50</v>
      </c>
      <c r="AD31" s="263">
        <v>10</v>
      </c>
      <c r="AE31" s="263"/>
      <c r="AF31" s="263">
        <v>9421</v>
      </c>
      <c r="AG31" s="263">
        <v>47486</v>
      </c>
      <c r="AH31" s="292" t="s">
        <v>1233</v>
      </c>
    </row>
    <row r="32" spans="2:34" ht="138" x14ac:dyDescent="0.25">
      <c r="B32" s="288">
        <v>26</v>
      </c>
      <c r="C32" s="288">
        <v>200031</v>
      </c>
      <c r="D32" s="361" t="s">
        <v>1234</v>
      </c>
      <c r="E32" s="297" t="s">
        <v>140</v>
      </c>
      <c r="F32" s="294" t="s">
        <v>1228</v>
      </c>
      <c r="G32" s="372" t="s">
        <v>1235</v>
      </c>
      <c r="H32" s="263">
        <v>33580</v>
      </c>
      <c r="I32" s="263">
        <v>3358</v>
      </c>
      <c r="J32" s="263"/>
      <c r="K32" s="263">
        <v>1500</v>
      </c>
      <c r="L32" s="362"/>
      <c r="M32" s="362"/>
      <c r="N32" s="263"/>
      <c r="O32" s="263">
        <v>0</v>
      </c>
      <c r="P32" s="263">
        <v>500</v>
      </c>
      <c r="Q32" s="333">
        <v>38938</v>
      </c>
      <c r="R32" s="290">
        <v>3358</v>
      </c>
      <c r="S32" s="264">
        <v>8000</v>
      </c>
      <c r="T32" s="291">
        <v>336</v>
      </c>
      <c r="U32" s="263"/>
      <c r="V32" s="263"/>
      <c r="W32" s="263">
        <v>1080</v>
      </c>
      <c r="X32" s="263">
        <v>30</v>
      </c>
      <c r="Y32" s="263">
        <v>10</v>
      </c>
      <c r="Z32" s="339">
        <v>889</v>
      </c>
      <c r="AA32" s="263"/>
      <c r="AB32" s="275">
        <v>417</v>
      </c>
      <c r="AC32" s="263">
        <v>50</v>
      </c>
      <c r="AD32" s="263">
        <v>10</v>
      </c>
      <c r="AE32" s="263"/>
      <c r="AF32" s="263">
        <v>14180</v>
      </c>
      <c r="AG32" s="263">
        <v>24758</v>
      </c>
      <c r="AH32" s="292" t="s">
        <v>1236</v>
      </c>
    </row>
    <row r="33" spans="2:35" ht="120.75" x14ac:dyDescent="0.25">
      <c r="B33" s="288">
        <v>27</v>
      </c>
      <c r="C33" s="288">
        <v>200032</v>
      </c>
      <c r="D33" s="361" t="s">
        <v>1237</v>
      </c>
      <c r="E33" s="297" t="s">
        <v>1238</v>
      </c>
      <c r="F33" s="294" t="s">
        <v>1228</v>
      </c>
      <c r="G33" s="372" t="s">
        <v>1239</v>
      </c>
      <c r="H33" s="263">
        <v>33580</v>
      </c>
      <c r="I33" s="263">
        <v>3358</v>
      </c>
      <c r="J33" s="263"/>
      <c r="K33" s="263">
        <v>1500</v>
      </c>
      <c r="L33" s="263">
        <v>0</v>
      </c>
      <c r="M33" s="263"/>
      <c r="N33" s="263"/>
      <c r="O33" s="263">
        <v>0</v>
      </c>
      <c r="P33" s="263">
        <v>500</v>
      </c>
      <c r="Q33" s="333">
        <v>38938</v>
      </c>
      <c r="R33" s="290">
        <v>3358</v>
      </c>
      <c r="S33" s="263">
        <v>0</v>
      </c>
      <c r="T33" s="291">
        <v>336</v>
      </c>
      <c r="U33" s="263"/>
      <c r="V33" s="263"/>
      <c r="W33" s="263">
        <v>1080</v>
      </c>
      <c r="X33" s="263">
        <v>30</v>
      </c>
      <c r="Y33" s="263">
        <v>10</v>
      </c>
      <c r="Z33" s="339">
        <v>1350</v>
      </c>
      <c r="AA33" s="263">
        <v>0</v>
      </c>
      <c r="AB33" s="275">
        <v>417</v>
      </c>
      <c r="AC33" s="263">
        <v>50</v>
      </c>
      <c r="AD33" s="263">
        <v>10</v>
      </c>
      <c r="AE33" s="263"/>
      <c r="AF33" s="263">
        <v>6641</v>
      </c>
      <c r="AG33" s="263">
        <v>32297</v>
      </c>
      <c r="AH33" s="292"/>
      <c r="AI33" s="293"/>
    </row>
    <row r="34" spans="2:35" ht="120.75" x14ac:dyDescent="0.25">
      <c r="B34" s="288">
        <v>28</v>
      </c>
      <c r="C34" s="288">
        <v>200061</v>
      </c>
      <c r="D34" s="271" t="s">
        <v>1240</v>
      </c>
      <c r="E34" s="307" t="s">
        <v>1241</v>
      </c>
      <c r="F34" s="294" t="s">
        <v>1242</v>
      </c>
      <c r="G34" s="372" t="s">
        <v>1243</v>
      </c>
      <c r="H34" s="263">
        <v>33580</v>
      </c>
      <c r="I34" s="263">
        <v>3358</v>
      </c>
      <c r="J34" s="263">
        <v>18469</v>
      </c>
      <c r="K34" s="263">
        <v>1500</v>
      </c>
      <c r="L34" s="263"/>
      <c r="M34" s="263"/>
      <c r="N34" s="263"/>
      <c r="O34" s="263"/>
      <c r="P34" s="263">
        <v>500</v>
      </c>
      <c r="Q34" s="333">
        <v>57407</v>
      </c>
      <c r="R34" s="290">
        <v>3358</v>
      </c>
      <c r="S34" s="263">
        <v>5000</v>
      </c>
      <c r="T34" s="291">
        <v>336</v>
      </c>
      <c r="U34" s="263"/>
      <c r="V34" s="263"/>
      <c r="W34" s="263"/>
      <c r="X34" s="263"/>
      <c r="Y34" s="263"/>
      <c r="Z34" s="339"/>
      <c r="AA34" s="263"/>
      <c r="AB34" s="275">
        <v>417</v>
      </c>
      <c r="AC34" s="263">
        <v>50</v>
      </c>
      <c r="AD34" s="263">
        <v>10</v>
      </c>
      <c r="AE34" s="263"/>
      <c r="AF34" s="263">
        <v>9171</v>
      </c>
      <c r="AG34" s="263">
        <v>48236</v>
      </c>
      <c r="AH34" s="292" t="s">
        <v>1244</v>
      </c>
      <c r="AI34" s="293"/>
    </row>
    <row r="35" spans="2:35" ht="138" x14ac:dyDescent="0.25">
      <c r="B35" s="288">
        <v>29</v>
      </c>
      <c r="C35" s="288">
        <v>200013</v>
      </c>
      <c r="D35" s="271" t="s">
        <v>1245</v>
      </c>
      <c r="E35" s="297" t="s">
        <v>1246</v>
      </c>
      <c r="F35" s="294" t="s">
        <v>1247</v>
      </c>
      <c r="G35" s="372" t="s">
        <v>1248</v>
      </c>
      <c r="H35" s="263">
        <v>45040</v>
      </c>
      <c r="I35" s="263">
        <v>4504</v>
      </c>
      <c r="J35" s="263">
        <v>22520</v>
      </c>
      <c r="K35" s="263">
        <v>1500</v>
      </c>
      <c r="L35" s="263">
        <v>0</v>
      </c>
      <c r="M35" s="263"/>
      <c r="N35" s="263"/>
      <c r="O35" s="263">
        <v>0</v>
      </c>
      <c r="P35" s="263">
        <v>1000</v>
      </c>
      <c r="Q35" s="333">
        <v>74564</v>
      </c>
      <c r="R35" s="290">
        <v>4504</v>
      </c>
      <c r="S35" s="263">
        <v>12500</v>
      </c>
      <c r="T35" s="291">
        <v>450</v>
      </c>
      <c r="U35" s="263"/>
      <c r="V35" s="263"/>
      <c r="W35" s="263"/>
      <c r="X35" s="263"/>
      <c r="Y35" s="263"/>
      <c r="Z35" s="339"/>
      <c r="AA35" s="263">
        <v>0</v>
      </c>
      <c r="AB35" s="275">
        <v>417</v>
      </c>
      <c r="AC35" s="263">
        <v>50</v>
      </c>
      <c r="AD35" s="263">
        <v>10</v>
      </c>
      <c r="AE35" s="263"/>
      <c r="AF35" s="263">
        <v>17931</v>
      </c>
      <c r="AG35" s="263">
        <v>56633</v>
      </c>
      <c r="AH35" s="292" t="s">
        <v>1249</v>
      </c>
      <c r="AI35" s="293"/>
    </row>
    <row r="36" spans="2:35" ht="172.5" x14ac:dyDescent="0.25">
      <c r="B36" s="288">
        <v>30</v>
      </c>
      <c r="C36" s="288">
        <v>200062</v>
      </c>
      <c r="D36" s="271" t="s">
        <v>1250</v>
      </c>
      <c r="E36" s="360" t="s">
        <v>1251</v>
      </c>
      <c r="F36" s="294" t="s">
        <v>1252</v>
      </c>
      <c r="G36" s="372" t="s">
        <v>1253</v>
      </c>
      <c r="H36" s="263">
        <v>31980</v>
      </c>
      <c r="I36" s="263">
        <v>3198</v>
      </c>
      <c r="J36" s="263">
        <v>17589</v>
      </c>
      <c r="K36" s="263">
        <v>1500</v>
      </c>
      <c r="L36" s="263"/>
      <c r="M36" s="263"/>
      <c r="N36" s="263"/>
      <c r="O36" s="263"/>
      <c r="P36" s="263"/>
      <c r="Q36" s="333">
        <v>54267</v>
      </c>
      <c r="R36" s="290">
        <v>3198</v>
      </c>
      <c r="S36" s="263"/>
      <c r="T36" s="291">
        <v>320</v>
      </c>
      <c r="U36" s="263"/>
      <c r="V36" s="263"/>
      <c r="W36" s="263"/>
      <c r="X36" s="263"/>
      <c r="Y36" s="263"/>
      <c r="Z36" s="339"/>
      <c r="AA36" s="263"/>
      <c r="AB36" s="275">
        <v>417</v>
      </c>
      <c r="AC36" s="263">
        <v>50</v>
      </c>
      <c r="AD36" s="263">
        <v>10</v>
      </c>
      <c r="AE36" s="263"/>
      <c r="AF36" s="263">
        <v>3995</v>
      </c>
      <c r="AG36" s="263">
        <v>50272</v>
      </c>
      <c r="AH36" s="292"/>
      <c r="AI36" s="293"/>
    </row>
    <row r="37" spans="2:35" ht="189.75" x14ac:dyDescent="0.25">
      <c r="B37" s="288">
        <v>31</v>
      </c>
      <c r="C37" s="288">
        <v>200079</v>
      </c>
      <c r="D37" s="271" t="s">
        <v>1254</v>
      </c>
      <c r="E37" s="360" t="s">
        <v>1255</v>
      </c>
      <c r="F37" s="294" t="s">
        <v>1256</v>
      </c>
      <c r="G37" s="372" t="s">
        <v>1257</v>
      </c>
      <c r="H37" s="263">
        <v>33580</v>
      </c>
      <c r="I37" s="263">
        <v>3358</v>
      </c>
      <c r="J37" s="263">
        <v>18469</v>
      </c>
      <c r="K37" s="263">
        <v>1500</v>
      </c>
      <c r="L37" s="263"/>
      <c r="M37" s="263"/>
      <c r="N37" s="263"/>
      <c r="O37" s="263"/>
      <c r="P37" s="263"/>
      <c r="Q37" s="333">
        <v>56907</v>
      </c>
      <c r="R37" s="290">
        <v>3358</v>
      </c>
      <c r="S37" s="263"/>
      <c r="T37" s="291">
        <v>336</v>
      </c>
      <c r="U37" s="263"/>
      <c r="V37" s="263"/>
      <c r="W37" s="263"/>
      <c r="X37" s="263"/>
      <c r="Y37" s="263"/>
      <c r="Z37" s="339"/>
      <c r="AA37" s="263"/>
      <c r="AB37" s="275">
        <v>417</v>
      </c>
      <c r="AC37" s="263">
        <v>50</v>
      </c>
      <c r="AD37" s="263">
        <v>10</v>
      </c>
      <c r="AE37" s="263"/>
      <c r="AF37" s="263">
        <v>4171</v>
      </c>
      <c r="AG37" s="263">
        <v>52736</v>
      </c>
      <c r="AH37" s="292"/>
      <c r="AI37" s="293"/>
    </row>
    <row r="38" spans="2:35" ht="138" x14ac:dyDescent="0.25">
      <c r="B38" s="288">
        <v>32</v>
      </c>
      <c r="C38" s="288">
        <v>200014</v>
      </c>
      <c r="D38" s="308" t="s">
        <v>1258</v>
      </c>
      <c r="E38" s="304" t="s">
        <v>1259</v>
      </c>
      <c r="F38" s="294" t="s">
        <v>1260</v>
      </c>
      <c r="G38" s="372" t="s">
        <v>1261</v>
      </c>
      <c r="H38" s="263">
        <v>45040</v>
      </c>
      <c r="I38" s="263">
        <v>4504</v>
      </c>
      <c r="J38" s="263"/>
      <c r="K38" s="263">
        <v>1500</v>
      </c>
      <c r="L38" s="263">
        <v>0</v>
      </c>
      <c r="M38" s="263"/>
      <c r="N38" s="263"/>
      <c r="O38" s="263">
        <v>0</v>
      </c>
      <c r="P38" s="264">
        <v>500</v>
      </c>
      <c r="Q38" s="333">
        <v>51544</v>
      </c>
      <c r="R38" s="290">
        <v>4504</v>
      </c>
      <c r="S38" s="263"/>
      <c r="T38" s="291">
        <v>450</v>
      </c>
      <c r="U38" s="263"/>
      <c r="V38" s="263"/>
      <c r="W38" s="263">
        <v>1080</v>
      </c>
      <c r="X38" s="263">
        <v>30</v>
      </c>
      <c r="Y38" s="263">
        <v>10</v>
      </c>
      <c r="Z38" s="339">
        <v>1969</v>
      </c>
      <c r="AA38" s="263">
        <v>0</v>
      </c>
      <c r="AB38" s="275">
        <v>417</v>
      </c>
      <c r="AC38" s="263">
        <v>50</v>
      </c>
      <c r="AD38" s="263">
        <v>10</v>
      </c>
      <c r="AE38" s="263"/>
      <c r="AF38" s="263">
        <v>8520</v>
      </c>
      <c r="AG38" s="263">
        <v>43024</v>
      </c>
      <c r="AH38" s="296"/>
      <c r="AI38" s="293" t="s">
        <v>318</v>
      </c>
    </row>
    <row r="39" spans="2:35" ht="138" x14ac:dyDescent="0.25">
      <c r="B39" s="288">
        <v>33</v>
      </c>
      <c r="C39" s="288">
        <v>200020</v>
      </c>
      <c r="D39" s="271" t="s">
        <v>1262</v>
      </c>
      <c r="E39" s="307" t="s">
        <v>229</v>
      </c>
      <c r="F39" s="294" t="s">
        <v>1263</v>
      </c>
      <c r="G39" s="372" t="s">
        <v>1264</v>
      </c>
      <c r="H39" s="263">
        <v>33580</v>
      </c>
      <c r="I39" s="263">
        <v>3358</v>
      </c>
      <c r="J39" s="263">
        <v>0</v>
      </c>
      <c r="K39" s="263">
        <v>1500</v>
      </c>
      <c r="L39" s="263">
        <v>0</v>
      </c>
      <c r="M39" s="263"/>
      <c r="N39" s="263"/>
      <c r="O39" s="263">
        <v>0</v>
      </c>
      <c r="P39" s="263">
        <v>1000</v>
      </c>
      <c r="Q39" s="333">
        <v>39438</v>
      </c>
      <c r="R39" s="290">
        <v>3358</v>
      </c>
      <c r="S39" s="263">
        <v>11000</v>
      </c>
      <c r="T39" s="291">
        <v>336</v>
      </c>
      <c r="U39" s="263"/>
      <c r="V39" s="263"/>
      <c r="W39" s="263">
        <v>1080</v>
      </c>
      <c r="X39" s="263">
        <v>30</v>
      </c>
      <c r="Y39" s="263">
        <v>10</v>
      </c>
      <c r="Z39" s="339">
        <v>942</v>
      </c>
      <c r="AA39" s="263">
        <v>0</v>
      </c>
      <c r="AB39" s="275">
        <v>417</v>
      </c>
      <c r="AC39" s="263">
        <v>50</v>
      </c>
      <c r="AD39" s="263">
        <v>10</v>
      </c>
      <c r="AE39" s="263"/>
      <c r="AF39" s="263">
        <v>17233</v>
      </c>
      <c r="AG39" s="263">
        <v>22205</v>
      </c>
      <c r="AH39" s="309" t="s">
        <v>1265</v>
      </c>
      <c r="AI39" s="293"/>
    </row>
    <row r="40" spans="2:35" ht="138" x14ac:dyDescent="0.25">
      <c r="B40" s="288">
        <v>34</v>
      </c>
      <c r="C40" s="288">
        <v>200021</v>
      </c>
      <c r="D40" s="361" t="s">
        <v>1266</v>
      </c>
      <c r="E40" s="297" t="s">
        <v>1267</v>
      </c>
      <c r="F40" s="294" t="s">
        <v>1268</v>
      </c>
      <c r="G40" s="372" t="s">
        <v>1269</v>
      </c>
      <c r="H40" s="263">
        <v>57510</v>
      </c>
      <c r="I40" s="263">
        <v>5751</v>
      </c>
      <c r="J40" s="263"/>
      <c r="K40" s="263">
        <v>1500</v>
      </c>
      <c r="L40" s="263"/>
      <c r="M40" s="263"/>
      <c r="N40" s="263"/>
      <c r="O40" s="263">
        <v>0</v>
      </c>
      <c r="P40" s="263">
        <v>1000</v>
      </c>
      <c r="Q40" s="333">
        <v>65761</v>
      </c>
      <c r="R40" s="290">
        <v>5751</v>
      </c>
      <c r="S40" s="263"/>
      <c r="T40" s="291">
        <v>575</v>
      </c>
      <c r="U40" s="263"/>
      <c r="V40" s="263"/>
      <c r="W40" s="263">
        <v>1080</v>
      </c>
      <c r="X40" s="263">
        <v>30</v>
      </c>
      <c r="Y40" s="263">
        <v>10</v>
      </c>
      <c r="Z40" s="339">
        <v>4080</v>
      </c>
      <c r="AA40" s="263"/>
      <c r="AB40" s="275">
        <v>1013</v>
      </c>
      <c r="AC40" s="263">
        <v>50</v>
      </c>
      <c r="AD40" s="263">
        <v>10</v>
      </c>
      <c r="AE40" s="263"/>
      <c r="AF40" s="263">
        <v>12599</v>
      </c>
      <c r="AG40" s="263">
        <v>53162</v>
      </c>
      <c r="AH40" s="382"/>
      <c r="AI40" s="293"/>
    </row>
    <row r="41" spans="2:35" ht="155.25" x14ac:dyDescent="0.25">
      <c r="B41" s="288">
        <v>35</v>
      </c>
      <c r="C41" s="288">
        <v>200024</v>
      </c>
      <c r="D41" s="271" t="s">
        <v>1270</v>
      </c>
      <c r="E41" s="307" t="s">
        <v>1271</v>
      </c>
      <c r="F41" s="294" t="s">
        <v>1268</v>
      </c>
      <c r="G41" s="372" t="s">
        <v>1272</v>
      </c>
      <c r="H41" s="263">
        <v>30990</v>
      </c>
      <c r="I41" s="263">
        <v>3099</v>
      </c>
      <c r="J41" s="263">
        <v>0</v>
      </c>
      <c r="K41" s="263">
        <v>1500</v>
      </c>
      <c r="L41" s="263">
        <v>0</v>
      </c>
      <c r="M41" s="263"/>
      <c r="N41" s="263"/>
      <c r="O41" s="263">
        <v>0</v>
      </c>
      <c r="P41" s="263">
        <v>1000</v>
      </c>
      <c r="Q41" s="333">
        <v>36589</v>
      </c>
      <c r="R41" s="290">
        <v>3099</v>
      </c>
      <c r="S41" s="263">
        <v>0</v>
      </c>
      <c r="T41" s="291">
        <v>310</v>
      </c>
      <c r="U41" s="263"/>
      <c r="V41" s="263"/>
      <c r="W41" s="263">
        <v>1080</v>
      </c>
      <c r="X41" s="263">
        <v>30</v>
      </c>
      <c r="Y41" s="263">
        <v>10</v>
      </c>
      <c r="Z41" s="339">
        <v>2184</v>
      </c>
      <c r="AA41" s="263">
        <v>0</v>
      </c>
      <c r="AB41" s="275">
        <v>417</v>
      </c>
      <c r="AC41" s="263">
        <v>50</v>
      </c>
      <c r="AD41" s="263">
        <v>10</v>
      </c>
      <c r="AE41" s="263"/>
      <c r="AF41" s="263">
        <v>7190</v>
      </c>
      <c r="AG41" s="263">
        <v>29399</v>
      </c>
      <c r="AH41" s="292"/>
      <c r="AI41" s="293"/>
    </row>
    <row r="42" spans="2:35" ht="138" x14ac:dyDescent="0.25">
      <c r="B42" s="288">
        <v>36</v>
      </c>
      <c r="C42" s="288">
        <v>200025</v>
      </c>
      <c r="D42" s="271" t="s">
        <v>1273</v>
      </c>
      <c r="E42" s="307" t="s">
        <v>1274</v>
      </c>
      <c r="F42" s="294" t="s">
        <v>1268</v>
      </c>
      <c r="G42" s="372" t="s">
        <v>1275</v>
      </c>
      <c r="H42" s="263">
        <v>30990</v>
      </c>
      <c r="I42" s="263">
        <v>3099</v>
      </c>
      <c r="J42" s="263">
        <v>0</v>
      </c>
      <c r="K42" s="263">
        <v>1500</v>
      </c>
      <c r="L42" s="263">
        <v>0</v>
      </c>
      <c r="M42" s="263"/>
      <c r="N42" s="263"/>
      <c r="O42" s="263">
        <v>0</v>
      </c>
      <c r="P42" s="263">
        <v>500</v>
      </c>
      <c r="Q42" s="333">
        <v>36089</v>
      </c>
      <c r="R42" s="290">
        <v>3099</v>
      </c>
      <c r="S42" s="263">
        <v>10625</v>
      </c>
      <c r="T42" s="291">
        <v>310</v>
      </c>
      <c r="U42" s="263"/>
      <c r="V42" s="263"/>
      <c r="W42" s="263">
        <v>1080</v>
      </c>
      <c r="X42" s="263">
        <v>30</v>
      </c>
      <c r="Y42" s="263">
        <v>10</v>
      </c>
      <c r="Z42" s="339">
        <v>1881</v>
      </c>
      <c r="AA42" s="263">
        <v>0</v>
      </c>
      <c r="AB42" s="275">
        <v>417</v>
      </c>
      <c r="AC42" s="263">
        <v>50</v>
      </c>
      <c r="AD42" s="263">
        <v>10</v>
      </c>
      <c r="AE42" s="263"/>
      <c r="AF42" s="263">
        <v>17512</v>
      </c>
      <c r="AG42" s="263">
        <v>18577</v>
      </c>
      <c r="AH42" s="292" t="s">
        <v>1276</v>
      </c>
      <c r="AI42" s="293"/>
    </row>
    <row r="43" spans="2:35" ht="138" x14ac:dyDescent="0.25">
      <c r="B43" s="288">
        <v>37</v>
      </c>
      <c r="C43" s="288">
        <v>200028</v>
      </c>
      <c r="D43" s="271" t="s">
        <v>1277</v>
      </c>
      <c r="E43" s="297" t="s">
        <v>1278</v>
      </c>
      <c r="F43" s="294" t="s">
        <v>1268</v>
      </c>
      <c r="G43" s="372" t="s">
        <v>1279</v>
      </c>
      <c r="H43" s="263">
        <v>30990</v>
      </c>
      <c r="I43" s="263">
        <v>3099</v>
      </c>
      <c r="J43" s="263">
        <v>0</v>
      </c>
      <c r="K43" s="263">
        <v>1500</v>
      </c>
      <c r="L43" s="263">
        <v>0</v>
      </c>
      <c r="M43" s="263"/>
      <c r="N43" s="263"/>
      <c r="O43" s="263">
        <v>0</v>
      </c>
      <c r="P43" s="263">
        <v>1000</v>
      </c>
      <c r="Q43" s="333">
        <v>36589</v>
      </c>
      <c r="R43" s="290">
        <v>3099</v>
      </c>
      <c r="S43" s="263">
        <v>2100</v>
      </c>
      <c r="T43" s="291">
        <v>310</v>
      </c>
      <c r="U43" s="263"/>
      <c r="V43" s="263"/>
      <c r="W43" s="263">
        <v>1080</v>
      </c>
      <c r="X43" s="263">
        <v>30</v>
      </c>
      <c r="Y43" s="263">
        <v>10</v>
      </c>
      <c r="Z43" s="339">
        <v>1078</v>
      </c>
      <c r="AA43" s="263">
        <v>0</v>
      </c>
      <c r="AB43" s="275">
        <v>417</v>
      </c>
      <c r="AC43" s="263">
        <v>50</v>
      </c>
      <c r="AD43" s="263">
        <v>10</v>
      </c>
      <c r="AE43" s="263"/>
      <c r="AF43" s="263">
        <v>8184</v>
      </c>
      <c r="AG43" s="263">
        <v>28405</v>
      </c>
      <c r="AH43" s="292" t="s">
        <v>1280</v>
      </c>
      <c r="AI43" s="293"/>
    </row>
    <row r="44" spans="2:35" ht="138" x14ac:dyDescent="0.25">
      <c r="B44" s="288">
        <v>38</v>
      </c>
      <c r="C44" s="288">
        <v>200033</v>
      </c>
      <c r="D44" s="361" t="s">
        <v>1281</v>
      </c>
      <c r="E44" s="297" t="s">
        <v>1282</v>
      </c>
      <c r="F44" s="294" t="s">
        <v>1268</v>
      </c>
      <c r="G44" s="372" t="s">
        <v>1283</v>
      </c>
      <c r="H44" s="263">
        <v>28100</v>
      </c>
      <c r="I44" s="263">
        <v>2810</v>
      </c>
      <c r="J44" s="263">
        <v>15455</v>
      </c>
      <c r="K44" s="263">
        <v>1500</v>
      </c>
      <c r="L44" s="263">
        <v>0</v>
      </c>
      <c r="M44" s="263"/>
      <c r="N44" s="263"/>
      <c r="O44" s="263">
        <v>0</v>
      </c>
      <c r="P44" s="263">
        <v>0</v>
      </c>
      <c r="Q44" s="333">
        <v>47865</v>
      </c>
      <c r="R44" s="290">
        <v>2810</v>
      </c>
      <c r="S44" s="263">
        <v>0</v>
      </c>
      <c r="T44" s="291">
        <v>281</v>
      </c>
      <c r="U44" s="263"/>
      <c r="V44" s="263"/>
      <c r="W44" s="263">
        <v>0</v>
      </c>
      <c r="X44" s="263">
        <v>0</v>
      </c>
      <c r="Y44" s="263">
        <v>0</v>
      </c>
      <c r="Z44" s="339"/>
      <c r="AA44" s="263">
        <v>0</v>
      </c>
      <c r="AB44" s="275">
        <v>417</v>
      </c>
      <c r="AC44" s="263">
        <v>50</v>
      </c>
      <c r="AD44" s="263">
        <v>10</v>
      </c>
      <c r="AE44" s="263"/>
      <c r="AF44" s="263">
        <v>3568</v>
      </c>
      <c r="AG44" s="263">
        <v>44297</v>
      </c>
      <c r="AH44" s="292"/>
      <c r="AI44" s="293"/>
    </row>
    <row r="45" spans="2:35" ht="155.25" x14ac:dyDescent="0.25">
      <c r="B45" s="288">
        <v>39</v>
      </c>
      <c r="C45" s="288">
        <v>200036</v>
      </c>
      <c r="D45" s="361" t="s">
        <v>1284</v>
      </c>
      <c r="E45" s="297" t="s">
        <v>1285</v>
      </c>
      <c r="F45" s="294" t="s">
        <v>1286</v>
      </c>
      <c r="G45" s="372" t="s">
        <v>1287</v>
      </c>
      <c r="H45" s="263">
        <v>29510</v>
      </c>
      <c r="I45" s="263">
        <v>2951</v>
      </c>
      <c r="J45" s="263"/>
      <c r="K45" s="263">
        <v>1500</v>
      </c>
      <c r="L45" s="263"/>
      <c r="M45" s="263"/>
      <c r="N45" s="263"/>
      <c r="O45" s="263"/>
      <c r="P45" s="263"/>
      <c r="Q45" s="333">
        <v>33961</v>
      </c>
      <c r="R45" s="290">
        <v>2951</v>
      </c>
      <c r="S45" s="264"/>
      <c r="T45" s="291">
        <v>295</v>
      </c>
      <c r="U45" s="263"/>
      <c r="V45" s="263"/>
      <c r="W45" s="263">
        <v>1080</v>
      </c>
      <c r="X45" s="266">
        <v>30</v>
      </c>
      <c r="Y45" s="263">
        <v>10</v>
      </c>
      <c r="Z45" s="339">
        <v>3069</v>
      </c>
      <c r="AA45" s="263"/>
      <c r="AB45" s="275"/>
      <c r="AC45" s="263">
        <v>50</v>
      </c>
      <c r="AD45" s="263">
        <v>10</v>
      </c>
      <c r="AE45" s="263"/>
      <c r="AF45" s="263">
        <v>7495</v>
      </c>
      <c r="AG45" s="263">
        <v>26466</v>
      </c>
      <c r="AH45" s="292"/>
      <c r="AI45" s="293"/>
    </row>
    <row r="46" spans="2:35" ht="138" x14ac:dyDescent="0.25">
      <c r="B46" s="288">
        <v>40</v>
      </c>
      <c r="C46" s="352">
        <v>200039</v>
      </c>
      <c r="D46" s="267" t="s">
        <v>1288</v>
      </c>
      <c r="E46" s="377" t="s">
        <v>1289</v>
      </c>
      <c r="F46" s="353" t="s">
        <v>1286</v>
      </c>
      <c r="G46" s="378" t="s">
        <v>1290</v>
      </c>
      <c r="H46" s="265">
        <v>28100</v>
      </c>
      <c r="I46" s="263">
        <v>2810</v>
      </c>
      <c r="J46" s="263"/>
      <c r="K46" s="265">
        <v>1500</v>
      </c>
      <c r="L46" s="265"/>
      <c r="M46" s="265"/>
      <c r="N46" s="265"/>
      <c r="O46" s="265"/>
      <c r="P46" s="265">
        <v>1000</v>
      </c>
      <c r="Q46" s="333">
        <v>33410</v>
      </c>
      <c r="R46" s="290">
        <v>2810</v>
      </c>
      <c r="S46" s="264">
        <v>5000</v>
      </c>
      <c r="T46" s="291">
        <v>281</v>
      </c>
      <c r="U46" s="265"/>
      <c r="V46" s="265"/>
      <c r="W46" s="265">
        <v>1080</v>
      </c>
      <c r="X46" s="268">
        <v>30</v>
      </c>
      <c r="Y46" s="265">
        <v>10</v>
      </c>
      <c r="Z46" s="339">
        <v>2225</v>
      </c>
      <c r="AA46" s="265"/>
      <c r="AB46" s="275"/>
      <c r="AC46" s="265">
        <v>50</v>
      </c>
      <c r="AD46" s="265">
        <v>10</v>
      </c>
      <c r="AE46" s="263"/>
      <c r="AF46" s="263">
        <v>11496</v>
      </c>
      <c r="AG46" s="265">
        <v>21914</v>
      </c>
      <c r="AH46" s="310" t="s">
        <v>1291</v>
      </c>
      <c r="AI46" s="354"/>
    </row>
    <row r="47" spans="2:35" ht="120.75" x14ac:dyDescent="0.25">
      <c r="B47" s="288">
        <v>41</v>
      </c>
      <c r="C47" s="288">
        <v>200040</v>
      </c>
      <c r="D47" s="267" t="s">
        <v>1292</v>
      </c>
      <c r="E47" s="297" t="s">
        <v>1293</v>
      </c>
      <c r="F47" s="294" t="s">
        <v>1286</v>
      </c>
      <c r="G47" s="372" t="s">
        <v>1294</v>
      </c>
      <c r="H47" s="265">
        <v>28100</v>
      </c>
      <c r="I47" s="263">
        <v>2810</v>
      </c>
      <c r="J47" s="263">
        <v>15455</v>
      </c>
      <c r="K47" s="265">
        <v>1500</v>
      </c>
      <c r="L47" s="265"/>
      <c r="M47" s="265"/>
      <c r="N47" s="265"/>
      <c r="O47" s="265"/>
      <c r="P47" s="265">
        <v>1000</v>
      </c>
      <c r="Q47" s="333">
        <v>48865</v>
      </c>
      <c r="R47" s="290">
        <v>2810</v>
      </c>
      <c r="S47" s="265">
        <v>4200</v>
      </c>
      <c r="T47" s="291">
        <v>281</v>
      </c>
      <c r="U47" s="265"/>
      <c r="V47" s="265"/>
      <c r="W47" s="265"/>
      <c r="X47" s="268"/>
      <c r="Y47" s="265"/>
      <c r="Z47" s="339" t="s">
        <v>490</v>
      </c>
      <c r="AA47" s="265">
        <v>250</v>
      </c>
      <c r="AB47" s="275"/>
      <c r="AC47" s="265">
        <v>50</v>
      </c>
      <c r="AD47" s="265">
        <v>10</v>
      </c>
      <c r="AE47" s="263"/>
      <c r="AF47" s="263">
        <v>7601</v>
      </c>
      <c r="AG47" s="265">
        <v>41264</v>
      </c>
      <c r="AH47" s="312" t="s">
        <v>1295</v>
      </c>
      <c r="AI47" s="311"/>
    </row>
    <row r="48" spans="2:35" ht="138" x14ac:dyDescent="0.25">
      <c r="B48" s="288">
        <v>42</v>
      </c>
      <c r="C48" s="288">
        <v>200041</v>
      </c>
      <c r="D48" s="267" t="s">
        <v>1296</v>
      </c>
      <c r="E48" s="297" t="s">
        <v>1297</v>
      </c>
      <c r="F48" s="294" t="s">
        <v>1286</v>
      </c>
      <c r="G48" s="372" t="s">
        <v>1298</v>
      </c>
      <c r="H48" s="265">
        <v>28100</v>
      </c>
      <c r="I48" s="263">
        <v>2810</v>
      </c>
      <c r="J48" s="263"/>
      <c r="K48" s="265">
        <v>1500</v>
      </c>
      <c r="L48" s="265"/>
      <c r="M48" s="265"/>
      <c r="N48" s="265"/>
      <c r="O48" s="265"/>
      <c r="P48" s="265"/>
      <c r="Q48" s="333">
        <v>32410</v>
      </c>
      <c r="R48" s="290">
        <v>2810</v>
      </c>
      <c r="S48" s="265"/>
      <c r="T48" s="291">
        <v>281</v>
      </c>
      <c r="U48" s="265"/>
      <c r="V48" s="265"/>
      <c r="W48" s="265">
        <v>1080</v>
      </c>
      <c r="X48" s="268">
        <v>30</v>
      </c>
      <c r="Y48" s="265">
        <v>10</v>
      </c>
      <c r="Z48" s="339">
        <v>1554</v>
      </c>
      <c r="AA48" s="265"/>
      <c r="AB48" s="275">
        <v>417</v>
      </c>
      <c r="AC48" s="265">
        <v>50</v>
      </c>
      <c r="AD48" s="265">
        <v>10</v>
      </c>
      <c r="AE48" s="263"/>
      <c r="AF48" s="263">
        <v>6242</v>
      </c>
      <c r="AG48" s="265">
        <v>26168</v>
      </c>
      <c r="AH48" s="312"/>
      <c r="AI48" s="311"/>
    </row>
    <row r="49" spans="2:36" ht="138" x14ac:dyDescent="0.25">
      <c r="B49" s="288">
        <v>43</v>
      </c>
      <c r="C49" s="288">
        <v>200042</v>
      </c>
      <c r="D49" s="267" t="s">
        <v>1299</v>
      </c>
      <c r="E49" s="297" t="s">
        <v>1300</v>
      </c>
      <c r="F49" s="294" t="s">
        <v>1286</v>
      </c>
      <c r="G49" s="372" t="s">
        <v>1301</v>
      </c>
      <c r="H49" s="265">
        <v>28100</v>
      </c>
      <c r="I49" s="263">
        <v>2810</v>
      </c>
      <c r="J49" s="263"/>
      <c r="K49" s="265">
        <v>1500</v>
      </c>
      <c r="L49" s="265"/>
      <c r="M49" s="265"/>
      <c r="N49" s="265"/>
      <c r="O49" s="265"/>
      <c r="P49" s="265">
        <v>1000</v>
      </c>
      <c r="Q49" s="333">
        <v>33410</v>
      </c>
      <c r="R49" s="290">
        <v>2810</v>
      </c>
      <c r="S49" s="265">
        <v>5000</v>
      </c>
      <c r="T49" s="291">
        <v>281</v>
      </c>
      <c r="U49" s="265"/>
      <c r="V49" s="265"/>
      <c r="W49" s="265">
        <v>1080</v>
      </c>
      <c r="X49" s="268">
        <v>30</v>
      </c>
      <c r="Y49" s="265">
        <v>10</v>
      </c>
      <c r="Z49" s="339">
        <v>2419</v>
      </c>
      <c r="AA49" s="265"/>
      <c r="AB49" s="275">
        <v>417</v>
      </c>
      <c r="AC49" s="265">
        <v>50</v>
      </c>
      <c r="AD49" s="265">
        <v>10</v>
      </c>
      <c r="AE49" s="263"/>
      <c r="AF49" s="263">
        <v>12107</v>
      </c>
      <c r="AG49" s="265">
        <v>21303</v>
      </c>
      <c r="AH49" s="312" t="s">
        <v>1302</v>
      </c>
      <c r="AI49" s="311"/>
      <c r="AJ49" s="311"/>
    </row>
    <row r="50" spans="2:36" ht="155.25" x14ac:dyDescent="0.25">
      <c r="B50" s="288">
        <v>44</v>
      </c>
      <c r="C50" s="288">
        <v>200043</v>
      </c>
      <c r="D50" s="269" t="s">
        <v>1303</v>
      </c>
      <c r="E50" s="297" t="s">
        <v>1304</v>
      </c>
      <c r="F50" s="294" t="s">
        <v>1305</v>
      </c>
      <c r="G50" s="372" t="s">
        <v>1306</v>
      </c>
      <c r="H50" s="264">
        <v>39570</v>
      </c>
      <c r="I50" s="263">
        <v>3957</v>
      </c>
      <c r="J50" s="264"/>
      <c r="K50" s="264">
        <v>1500</v>
      </c>
      <c r="L50" s="264"/>
      <c r="M50" s="264"/>
      <c r="N50" s="264"/>
      <c r="O50" s="264"/>
      <c r="P50" s="264"/>
      <c r="Q50" s="333">
        <v>45027</v>
      </c>
      <c r="R50" s="290">
        <v>3957</v>
      </c>
      <c r="S50" s="264"/>
      <c r="T50" s="291">
        <v>396</v>
      </c>
      <c r="U50" s="264"/>
      <c r="V50" s="264"/>
      <c r="W50" s="264">
        <v>1080</v>
      </c>
      <c r="X50" s="270">
        <v>30</v>
      </c>
      <c r="Y50" s="264">
        <v>10</v>
      </c>
      <c r="Z50" s="340">
        <v>2136</v>
      </c>
      <c r="AA50" s="264"/>
      <c r="AB50" s="275">
        <v>417</v>
      </c>
      <c r="AC50" s="264">
        <v>50</v>
      </c>
      <c r="AD50" s="264">
        <v>10</v>
      </c>
      <c r="AE50" s="263"/>
      <c r="AF50" s="263">
        <v>8086</v>
      </c>
      <c r="AG50" s="264">
        <v>36941</v>
      </c>
      <c r="AH50" s="310"/>
      <c r="AI50" s="303"/>
      <c r="AJ50" s="303"/>
    </row>
    <row r="51" spans="2:36" ht="138" x14ac:dyDescent="0.25">
      <c r="B51" s="288">
        <v>45</v>
      </c>
      <c r="C51" s="288">
        <v>200044</v>
      </c>
      <c r="D51" s="361" t="s">
        <v>1307</v>
      </c>
      <c r="E51" s="297" t="s">
        <v>1308</v>
      </c>
      <c r="F51" s="294" t="s">
        <v>1305</v>
      </c>
      <c r="G51" s="372" t="s">
        <v>1309</v>
      </c>
      <c r="H51" s="264">
        <v>39570</v>
      </c>
      <c r="I51" s="263">
        <v>3957</v>
      </c>
      <c r="J51" s="263">
        <v>19785</v>
      </c>
      <c r="K51" s="263">
        <v>1500</v>
      </c>
      <c r="L51" s="263"/>
      <c r="M51" s="263"/>
      <c r="N51" s="263"/>
      <c r="O51" s="263"/>
      <c r="P51" s="263"/>
      <c r="Q51" s="333">
        <v>64812</v>
      </c>
      <c r="R51" s="290">
        <v>3957</v>
      </c>
      <c r="S51" s="265"/>
      <c r="T51" s="291">
        <v>396</v>
      </c>
      <c r="U51" s="263"/>
      <c r="V51" s="263"/>
      <c r="W51" s="263"/>
      <c r="X51" s="266"/>
      <c r="Y51" s="263"/>
      <c r="Z51" s="339"/>
      <c r="AA51" s="263"/>
      <c r="AB51" s="275">
        <v>417</v>
      </c>
      <c r="AC51" s="263">
        <v>50</v>
      </c>
      <c r="AD51" s="263">
        <v>10</v>
      </c>
      <c r="AE51" s="263"/>
      <c r="AF51" s="263">
        <v>4830</v>
      </c>
      <c r="AG51" s="263">
        <v>59982</v>
      </c>
      <c r="AH51" s="310"/>
      <c r="AI51" s="293"/>
      <c r="AJ51" s="293"/>
    </row>
    <row r="52" spans="2:36" ht="138" x14ac:dyDescent="0.25">
      <c r="B52" s="288">
        <v>46</v>
      </c>
      <c r="C52" s="288">
        <v>200051</v>
      </c>
      <c r="D52" s="271" t="s">
        <v>1310</v>
      </c>
      <c r="E52" s="307" t="s">
        <v>1311</v>
      </c>
      <c r="F52" s="294" t="s">
        <v>1312</v>
      </c>
      <c r="G52" s="372" t="s">
        <v>1313</v>
      </c>
      <c r="H52" s="263">
        <v>28100</v>
      </c>
      <c r="I52" s="263">
        <v>2810</v>
      </c>
      <c r="J52" s="263"/>
      <c r="K52" s="263">
        <v>1500</v>
      </c>
      <c r="L52" s="263"/>
      <c r="M52" s="263"/>
      <c r="N52" s="263"/>
      <c r="O52" s="263"/>
      <c r="P52" s="263"/>
      <c r="Q52" s="333">
        <v>32410</v>
      </c>
      <c r="R52" s="290">
        <v>2810</v>
      </c>
      <c r="S52" s="264">
        <v>4090</v>
      </c>
      <c r="T52" s="291">
        <v>281</v>
      </c>
      <c r="U52" s="263"/>
      <c r="V52" s="263"/>
      <c r="W52" s="263">
        <v>1080</v>
      </c>
      <c r="X52" s="266">
        <v>30</v>
      </c>
      <c r="Y52" s="263">
        <v>10</v>
      </c>
      <c r="Z52" s="339">
        <v>1267</v>
      </c>
      <c r="AA52" s="263"/>
      <c r="AB52" s="275">
        <v>417</v>
      </c>
      <c r="AC52" s="263">
        <v>50</v>
      </c>
      <c r="AD52" s="263">
        <v>10</v>
      </c>
      <c r="AE52" s="263"/>
      <c r="AF52" s="263">
        <v>10045</v>
      </c>
      <c r="AG52" s="263">
        <v>22365</v>
      </c>
      <c r="AH52" s="292" t="s">
        <v>1314</v>
      </c>
      <c r="AI52" s="293"/>
      <c r="AJ52" s="293"/>
    </row>
    <row r="53" spans="2:36" ht="138" x14ac:dyDescent="0.25">
      <c r="B53" s="288">
        <v>47</v>
      </c>
      <c r="C53" s="288">
        <v>200063</v>
      </c>
      <c r="D53" s="361" t="s">
        <v>1315</v>
      </c>
      <c r="E53" s="307" t="s">
        <v>1316</v>
      </c>
      <c r="F53" s="294" t="s">
        <v>1305</v>
      </c>
      <c r="G53" s="372" t="s">
        <v>1317</v>
      </c>
      <c r="H53" s="263">
        <v>28100</v>
      </c>
      <c r="I53" s="263">
        <v>2810</v>
      </c>
      <c r="J53" s="263">
        <v>15455</v>
      </c>
      <c r="K53" s="263">
        <v>1500</v>
      </c>
      <c r="L53" s="263"/>
      <c r="M53" s="263"/>
      <c r="N53" s="263"/>
      <c r="O53" s="263"/>
      <c r="P53" s="263"/>
      <c r="Q53" s="333">
        <v>47865</v>
      </c>
      <c r="R53" s="290">
        <v>2810</v>
      </c>
      <c r="S53" s="264"/>
      <c r="T53" s="291">
        <v>281</v>
      </c>
      <c r="U53" s="263"/>
      <c r="V53" s="263"/>
      <c r="W53" s="263"/>
      <c r="X53" s="266"/>
      <c r="Y53" s="263"/>
      <c r="Z53" s="339"/>
      <c r="AA53" s="263"/>
      <c r="AB53" s="275">
        <v>417</v>
      </c>
      <c r="AC53" s="263">
        <v>50</v>
      </c>
      <c r="AD53" s="263">
        <v>10</v>
      </c>
      <c r="AE53" s="263"/>
      <c r="AF53" s="263">
        <v>3568</v>
      </c>
      <c r="AG53" s="263">
        <v>44297</v>
      </c>
      <c r="AH53" s="292"/>
      <c r="AI53" s="293"/>
      <c r="AJ53" s="293"/>
    </row>
    <row r="54" spans="2:36" ht="155.25" x14ac:dyDescent="0.25">
      <c r="B54" s="288">
        <v>48</v>
      </c>
      <c r="C54" s="288">
        <v>200050</v>
      </c>
      <c r="D54" s="271" t="s">
        <v>1318</v>
      </c>
      <c r="E54" s="307" t="s">
        <v>1319</v>
      </c>
      <c r="F54" s="294" t="s">
        <v>1320</v>
      </c>
      <c r="G54" s="372" t="s">
        <v>1321</v>
      </c>
      <c r="H54" s="263">
        <v>26760</v>
      </c>
      <c r="I54" s="263">
        <v>2676</v>
      </c>
      <c r="J54" s="263">
        <v>14718</v>
      </c>
      <c r="K54" s="263">
        <v>1500</v>
      </c>
      <c r="L54" s="263"/>
      <c r="M54" s="263"/>
      <c r="N54" s="263"/>
      <c r="O54" s="263"/>
      <c r="P54" s="263"/>
      <c r="Q54" s="333">
        <v>45654</v>
      </c>
      <c r="R54" s="290">
        <v>2676</v>
      </c>
      <c r="S54" s="263">
        <v>5500</v>
      </c>
      <c r="T54" s="291">
        <v>268</v>
      </c>
      <c r="U54" s="263"/>
      <c r="V54" s="263"/>
      <c r="W54" s="263"/>
      <c r="X54" s="266"/>
      <c r="Y54" s="263"/>
      <c r="Z54" s="339"/>
      <c r="AA54" s="263"/>
      <c r="AB54" s="275"/>
      <c r="AC54" s="263">
        <v>50</v>
      </c>
      <c r="AD54" s="263">
        <v>10</v>
      </c>
      <c r="AE54" s="263"/>
      <c r="AF54" s="263">
        <v>8504</v>
      </c>
      <c r="AG54" s="263">
        <v>37150</v>
      </c>
      <c r="AH54" s="292" t="s">
        <v>1322</v>
      </c>
      <c r="AI54" s="293"/>
      <c r="AJ54" s="293"/>
    </row>
    <row r="55" spans="2:36" ht="120.75" x14ac:dyDescent="0.25">
      <c r="B55" s="288">
        <v>49</v>
      </c>
      <c r="C55" s="288">
        <v>200058</v>
      </c>
      <c r="D55" s="271" t="s">
        <v>1323</v>
      </c>
      <c r="E55" s="307" t="s">
        <v>1324</v>
      </c>
      <c r="F55" s="294" t="s">
        <v>1325</v>
      </c>
      <c r="G55" s="372" t="s">
        <v>1326</v>
      </c>
      <c r="H55" s="263">
        <v>26760</v>
      </c>
      <c r="I55" s="263">
        <v>2676</v>
      </c>
      <c r="J55" s="263">
        <v>14718</v>
      </c>
      <c r="K55" s="263">
        <v>1500</v>
      </c>
      <c r="L55" s="263"/>
      <c r="M55" s="263"/>
      <c r="N55" s="263"/>
      <c r="O55" s="263"/>
      <c r="P55" s="263">
        <v>500</v>
      </c>
      <c r="Q55" s="333">
        <v>46154</v>
      </c>
      <c r="R55" s="290">
        <v>2676</v>
      </c>
      <c r="S55" s="263"/>
      <c r="T55" s="291">
        <v>268</v>
      </c>
      <c r="U55" s="263"/>
      <c r="V55" s="263"/>
      <c r="W55" s="263"/>
      <c r="X55" s="266"/>
      <c r="Y55" s="263"/>
      <c r="Z55" s="339"/>
      <c r="AA55" s="263">
        <v>250</v>
      </c>
      <c r="AB55" s="275"/>
      <c r="AC55" s="263">
        <v>50</v>
      </c>
      <c r="AD55" s="263">
        <v>10</v>
      </c>
      <c r="AE55" s="263"/>
      <c r="AF55" s="263">
        <v>3254</v>
      </c>
      <c r="AG55" s="263">
        <v>42900</v>
      </c>
      <c r="AH55" s="292"/>
      <c r="AI55" s="293"/>
      <c r="AJ55" s="293"/>
    </row>
    <row r="56" spans="2:36" ht="120.75" x14ac:dyDescent="0.25">
      <c r="B56" s="288">
        <v>50</v>
      </c>
      <c r="C56" s="288">
        <v>300005</v>
      </c>
      <c r="D56" s="271" t="s">
        <v>1327</v>
      </c>
      <c r="E56" s="360" t="s">
        <v>1328</v>
      </c>
      <c r="F56" s="360" t="s">
        <v>1329</v>
      </c>
      <c r="G56" s="372" t="s">
        <v>1330</v>
      </c>
      <c r="H56" s="263">
        <v>24260</v>
      </c>
      <c r="I56" s="263">
        <v>2426</v>
      </c>
      <c r="J56" s="263">
        <v>13343</v>
      </c>
      <c r="K56" s="263">
        <v>1500</v>
      </c>
      <c r="L56" s="263"/>
      <c r="M56" s="263"/>
      <c r="N56" s="263"/>
      <c r="O56" s="263"/>
      <c r="P56" s="263">
        <v>500</v>
      </c>
      <c r="Q56" s="333">
        <v>42029</v>
      </c>
      <c r="R56" s="290">
        <v>2426</v>
      </c>
      <c r="S56" s="263"/>
      <c r="T56" s="291">
        <v>243</v>
      </c>
      <c r="U56" s="263"/>
      <c r="V56" s="263"/>
      <c r="W56" s="263"/>
      <c r="X56" s="266"/>
      <c r="Y56" s="263"/>
      <c r="Z56" s="339"/>
      <c r="AA56" s="263">
        <v>250</v>
      </c>
      <c r="AB56" s="275"/>
      <c r="AC56" s="263">
        <v>50</v>
      </c>
      <c r="AD56" s="263">
        <v>10</v>
      </c>
      <c r="AE56" s="263"/>
      <c r="AF56" s="263">
        <v>2979</v>
      </c>
      <c r="AG56" s="263">
        <v>39050</v>
      </c>
      <c r="AH56" s="292"/>
      <c r="AI56" s="293"/>
      <c r="AJ56" s="293"/>
    </row>
    <row r="57" spans="2:36" ht="207" x14ac:dyDescent="0.25">
      <c r="B57" s="288">
        <v>51</v>
      </c>
      <c r="C57" s="288">
        <v>200077</v>
      </c>
      <c r="D57" s="271" t="s">
        <v>1331</v>
      </c>
      <c r="E57" s="360" t="s">
        <v>1332</v>
      </c>
      <c r="F57" s="360" t="s">
        <v>1333</v>
      </c>
      <c r="G57" s="323" t="s">
        <v>1334</v>
      </c>
      <c r="H57" s="263">
        <v>24260</v>
      </c>
      <c r="I57" s="263">
        <v>2426</v>
      </c>
      <c r="J57" s="263">
        <v>13343</v>
      </c>
      <c r="K57" s="263">
        <v>1500</v>
      </c>
      <c r="L57" s="263"/>
      <c r="M57" s="263"/>
      <c r="N57" s="263"/>
      <c r="O57" s="263"/>
      <c r="P57" s="263">
        <v>500</v>
      </c>
      <c r="Q57" s="333">
        <v>42029</v>
      </c>
      <c r="R57" s="290">
        <v>2426</v>
      </c>
      <c r="S57" s="263"/>
      <c r="T57" s="291">
        <v>243</v>
      </c>
      <c r="U57" s="263"/>
      <c r="V57" s="263"/>
      <c r="W57" s="263"/>
      <c r="X57" s="266"/>
      <c r="Y57" s="263"/>
      <c r="Z57" s="339"/>
      <c r="AA57" s="263"/>
      <c r="AB57" s="275"/>
      <c r="AC57" s="263">
        <v>50</v>
      </c>
      <c r="AD57" s="263">
        <v>10</v>
      </c>
      <c r="AE57" s="263"/>
      <c r="AF57" s="263">
        <v>2729</v>
      </c>
      <c r="AG57" s="263">
        <v>39300</v>
      </c>
      <c r="AH57" s="292"/>
      <c r="AI57" s="293"/>
      <c r="AJ57" s="293"/>
    </row>
    <row r="58" spans="2:36" ht="120.75" x14ac:dyDescent="0.25">
      <c r="B58" s="288">
        <v>52</v>
      </c>
      <c r="C58" s="288">
        <v>200060</v>
      </c>
      <c r="D58" s="271" t="s">
        <v>1335</v>
      </c>
      <c r="E58" s="307" t="s">
        <v>1336</v>
      </c>
      <c r="F58" s="307" t="s">
        <v>1337</v>
      </c>
      <c r="G58" s="372" t="s">
        <v>1338</v>
      </c>
      <c r="H58" s="263">
        <v>24260</v>
      </c>
      <c r="I58" s="263">
        <v>2426</v>
      </c>
      <c r="J58" s="263">
        <v>13343</v>
      </c>
      <c r="K58" s="263">
        <v>1500</v>
      </c>
      <c r="L58" s="263"/>
      <c r="M58" s="263"/>
      <c r="N58" s="263"/>
      <c r="O58" s="263"/>
      <c r="P58" s="263"/>
      <c r="Q58" s="333">
        <v>41529</v>
      </c>
      <c r="R58" s="290">
        <v>2426</v>
      </c>
      <c r="S58" s="263">
        <v>2250</v>
      </c>
      <c r="T58" s="291">
        <v>243</v>
      </c>
      <c r="U58" s="263"/>
      <c r="V58" s="263"/>
      <c r="W58" s="263"/>
      <c r="X58" s="266"/>
      <c r="Y58" s="263"/>
      <c r="Z58" s="339"/>
      <c r="AA58" s="263"/>
      <c r="AB58" s="275"/>
      <c r="AC58" s="263">
        <v>50</v>
      </c>
      <c r="AD58" s="263">
        <v>10</v>
      </c>
      <c r="AE58" s="263"/>
      <c r="AF58" s="263">
        <v>4979</v>
      </c>
      <c r="AG58" s="263">
        <v>36550</v>
      </c>
      <c r="AH58" s="292" t="s">
        <v>1339</v>
      </c>
      <c r="AI58" s="293"/>
      <c r="AJ58" s="293"/>
    </row>
    <row r="59" spans="2:36" ht="138" x14ac:dyDescent="0.25">
      <c r="B59" s="288">
        <v>53</v>
      </c>
      <c r="C59" s="288">
        <v>200059</v>
      </c>
      <c r="D59" s="271" t="s">
        <v>1340</v>
      </c>
      <c r="E59" s="307" t="s">
        <v>1341</v>
      </c>
      <c r="F59" s="294" t="s">
        <v>1342</v>
      </c>
      <c r="G59" s="372" t="s">
        <v>1343</v>
      </c>
      <c r="H59" s="263">
        <v>24260</v>
      </c>
      <c r="I59" s="263">
        <v>2426</v>
      </c>
      <c r="J59" s="263">
        <v>13343</v>
      </c>
      <c r="K59" s="263">
        <v>1500</v>
      </c>
      <c r="L59" s="263"/>
      <c r="M59" s="263"/>
      <c r="N59" s="263"/>
      <c r="O59" s="263"/>
      <c r="P59" s="263"/>
      <c r="Q59" s="333">
        <v>41529</v>
      </c>
      <c r="R59" s="290">
        <v>2426</v>
      </c>
      <c r="S59" s="263"/>
      <c r="T59" s="291">
        <v>243</v>
      </c>
      <c r="U59" s="263"/>
      <c r="V59" s="263"/>
      <c r="W59" s="263"/>
      <c r="X59" s="266"/>
      <c r="Y59" s="263"/>
      <c r="Z59" s="339"/>
      <c r="AA59" s="263"/>
      <c r="AB59" s="275"/>
      <c r="AC59" s="263">
        <v>50</v>
      </c>
      <c r="AD59" s="263">
        <v>10</v>
      </c>
      <c r="AE59" s="263"/>
      <c r="AF59" s="263">
        <v>2729</v>
      </c>
      <c r="AG59" s="263">
        <v>38800</v>
      </c>
      <c r="AH59" s="292"/>
      <c r="AI59" s="293"/>
      <c r="AJ59" s="293"/>
    </row>
    <row r="60" spans="2:36" ht="120.75" x14ac:dyDescent="0.25">
      <c r="B60" s="288">
        <v>54</v>
      </c>
      <c r="C60" s="288">
        <v>200048</v>
      </c>
      <c r="D60" s="271" t="s">
        <v>1344</v>
      </c>
      <c r="E60" s="307" t="s">
        <v>1345</v>
      </c>
      <c r="F60" s="294" t="s">
        <v>1305</v>
      </c>
      <c r="G60" s="372" t="s">
        <v>1346</v>
      </c>
      <c r="H60" s="263">
        <v>26760</v>
      </c>
      <c r="I60" s="263">
        <v>2676</v>
      </c>
      <c r="J60" s="263"/>
      <c r="K60" s="263">
        <v>1500</v>
      </c>
      <c r="L60" s="263"/>
      <c r="M60" s="263"/>
      <c r="N60" s="263"/>
      <c r="O60" s="263"/>
      <c r="P60" s="263"/>
      <c r="Q60" s="333">
        <v>30936</v>
      </c>
      <c r="R60" s="290">
        <v>2676</v>
      </c>
      <c r="S60" s="264"/>
      <c r="T60" s="291">
        <v>268</v>
      </c>
      <c r="U60" s="263"/>
      <c r="V60" s="263"/>
      <c r="W60" s="263">
        <v>1080</v>
      </c>
      <c r="X60" s="266">
        <v>30</v>
      </c>
      <c r="Y60" s="263">
        <v>10</v>
      </c>
      <c r="Z60" s="339">
        <v>2587</v>
      </c>
      <c r="AA60" s="263"/>
      <c r="AB60" s="275"/>
      <c r="AC60" s="263">
        <v>50</v>
      </c>
      <c r="AD60" s="263">
        <v>10</v>
      </c>
      <c r="AE60" s="263"/>
      <c r="AF60" s="263">
        <v>6711</v>
      </c>
      <c r="AG60" s="263">
        <v>24225</v>
      </c>
      <c r="AH60" s="292"/>
      <c r="AI60" s="293"/>
      <c r="AJ60" s="293"/>
    </row>
    <row r="61" spans="2:36" ht="172.5" x14ac:dyDescent="0.25">
      <c r="B61" s="288">
        <v>55</v>
      </c>
      <c r="C61" s="288">
        <v>200078</v>
      </c>
      <c r="D61" s="271" t="s">
        <v>1347</v>
      </c>
      <c r="E61" s="307" t="s">
        <v>1348</v>
      </c>
      <c r="F61" s="294" t="s">
        <v>1329</v>
      </c>
      <c r="G61" s="372" t="s">
        <v>1349</v>
      </c>
      <c r="H61" s="263">
        <v>23100</v>
      </c>
      <c r="I61" s="263">
        <v>2310</v>
      </c>
      <c r="J61" s="263">
        <v>12705</v>
      </c>
      <c r="K61" s="263">
        <v>1500</v>
      </c>
      <c r="L61" s="263"/>
      <c r="M61" s="263"/>
      <c r="N61" s="263"/>
      <c r="O61" s="263"/>
      <c r="P61" s="263"/>
      <c r="Q61" s="333">
        <v>39615</v>
      </c>
      <c r="R61" s="290">
        <v>2310</v>
      </c>
      <c r="S61" s="264"/>
      <c r="T61" s="291">
        <v>231</v>
      </c>
      <c r="U61" s="263"/>
      <c r="V61" s="263"/>
      <c r="W61" s="263"/>
      <c r="X61" s="266"/>
      <c r="Y61" s="263"/>
      <c r="Z61" s="339"/>
      <c r="AA61" s="263"/>
      <c r="AB61" s="275"/>
      <c r="AC61" s="263">
        <v>50</v>
      </c>
      <c r="AD61" s="263">
        <v>10</v>
      </c>
      <c r="AE61" s="263"/>
      <c r="AF61" s="263">
        <v>2601</v>
      </c>
      <c r="AG61" s="263">
        <v>37014</v>
      </c>
      <c r="AH61" s="292"/>
      <c r="AI61" s="293"/>
      <c r="AJ61" s="293"/>
    </row>
    <row r="62" spans="2:36" ht="120.75" x14ac:dyDescent="0.25">
      <c r="B62" s="288">
        <v>56</v>
      </c>
      <c r="C62" s="288">
        <v>300001</v>
      </c>
      <c r="D62" s="271" t="s">
        <v>1350</v>
      </c>
      <c r="E62" s="360" t="s">
        <v>1351</v>
      </c>
      <c r="F62" s="360" t="s">
        <v>1352</v>
      </c>
      <c r="G62" s="372" t="s">
        <v>1353</v>
      </c>
      <c r="H62" s="263">
        <v>23100</v>
      </c>
      <c r="I62" s="263">
        <v>2310</v>
      </c>
      <c r="J62" s="263">
        <v>12705</v>
      </c>
      <c r="K62" s="263">
        <v>1500</v>
      </c>
      <c r="L62" s="263"/>
      <c r="M62" s="263"/>
      <c r="N62" s="263"/>
      <c r="O62" s="263"/>
      <c r="P62" s="263">
        <v>1000</v>
      </c>
      <c r="Q62" s="333">
        <v>40615</v>
      </c>
      <c r="R62" s="290">
        <v>2310</v>
      </c>
      <c r="S62" s="263"/>
      <c r="T62" s="291">
        <v>231</v>
      </c>
      <c r="U62" s="263"/>
      <c r="V62" s="263"/>
      <c r="W62" s="263"/>
      <c r="X62" s="266"/>
      <c r="Y62" s="263"/>
      <c r="Z62" s="339"/>
      <c r="AA62" s="263"/>
      <c r="AB62" s="275"/>
      <c r="AC62" s="263">
        <v>50</v>
      </c>
      <c r="AD62" s="263">
        <v>10</v>
      </c>
      <c r="AE62" s="263"/>
      <c r="AF62" s="263">
        <v>2601</v>
      </c>
      <c r="AG62" s="263">
        <v>38014</v>
      </c>
      <c r="AH62" s="292"/>
      <c r="AI62" s="293"/>
      <c r="AJ62" s="293"/>
    </row>
    <row r="63" spans="2:36" ht="120.75" x14ac:dyDescent="0.25">
      <c r="B63" s="288">
        <v>57</v>
      </c>
      <c r="C63" s="288">
        <v>300009</v>
      </c>
      <c r="D63" s="271" t="s">
        <v>1354</v>
      </c>
      <c r="E63" s="360" t="s">
        <v>1355</v>
      </c>
      <c r="F63" s="360" t="s">
        <v>1356</v>
      </c>
      <c r="G63" s="372" t="s">
        <v>1357</v>
      </c>
      <c r="H63" s="263">
        <v>23100</v>
      </c>
      <c r="I63" s="263">
        <v>2310</v>
      </c>
      <c r="J63" s="263">
        <v>12705</v>
      </c>
      <c r="K63" s="263">
        <v>1500</v>
      </c>
      <c r="L63" s="263"/>
      <c r="M63" s="263"/>
      <c r="N63" s="263"/>
      <c r="O63" s="263"/>
      <c r="P63" s="263"/>
      <c r="Q63" s="333">
        <v>39615</v>
      </c>
      <c r="R63" s="290">
        <v>2310</v>
      </c>
      <c r="S63" s="263"/>
      <c r="T63" s="291">
        <v>231</v>
      </c>
      <c r="U63" s="263"/>
      <c r="V63" s="263"/>
      <c r="W63" s="263"/>
      <c r="X63" s="266"/>
      <c r="Y63" s="263"/>
      <c r="Z63" s="339"/>
      <c r="AA63" s="263">
        <v>250</v>
      </c>
      <c r="AB63" s="275"/>
      <c r="AC63" s="263">
        <v>50</v>
      </c>
      <c r="AD63" s="263">
        <v>10</v>
      </c>
      <c r="AE63" s="263"/>
      <c r="AF63" s="263">
        <v>2851</v>
      </c>
      <c r="AG63" s="263">
        <v>36764</v>
      </c>
      <c r="AH63" s="292"/>
      <c r="AI63" s="293"/>
      <c r="AJ63" s="293"/>
    </row>
    <row r="64" spans="2:36" ht="138" x14ac:dyDescent="0.25">
      <c r="B64" s="288">
        <v>58</v>
      </c>
      <c r="C64" s="288">
        <v>300092</v>
      </c>
      <c r="D64" s="271" t="s">
        <v>1358</v>
      </c>
      <c r="E64" s="360" t="s">
        <v>1359</v>
      </c>
      <c r="F64" s="360" t="s">
        <v>1356</v>
      </c>
      <c r="G64" s="372" t="s">
        <v>1360</v>
      </c>
      <c r="H64" s="263">
        <v>23100</v>
      </c>
      <c r="I64" s="263">
        <v>2310</v>
      </c>
      <c r="J64" s="263">
        <v>12705</v>
      </c>
      <c r="K64" s="263">
        <v>1500</v>
      </c>
      <c r="L64" s="263"/>
      <c r="M64" s="263"/>
      <c r="N64" s="263"/>
      <c r="O64" s="263"/>
      <c r="P64" s="263">
        <v>500</v>
      </c>
      <c r="Q64" s="333">
        <v>40115</v>
      </c>
      <c r="R64" s="290">
        <v>2310</v>
      </c>
      <c r="S64" s="263"/>
      <c r="T64" s="291">
        <v>231</v>
      </c>
      <c r="U64" s="263"/>
      <c r="V64" s="263"/>
      <c r="W64" s="263"/>
      <c r="X64" s="266"/>
      <c r="Y64" s="263"/>
      <c r="Z64" s="339"/>
      <c r="AA64" s="263">
        <v>250</v>
      </c>
      <c r="AB64" s="275"/>
      <c r="AC64" s="263">
        <v>50</v>
      </c>
      <c r="AD64" s="263">
        <v>10</v>
      </c>
      <c r="AE64" s="263"/>
      <c r="AF64" s="263">
        <v>2851</v>
      </c>
      <c r="AG64" s="263">
        <v>37264</v>
      </c>
      <c r="AH64" s="292"/>
      <c r="AI64" s="293"/>
      <c r="AJ64" s="293"/>
    </row>
    <row r="65" spans="2:34" ht="138" x14ac:dyDescent="0.25">
      <c r="B65" s="288">
        <v>59</v>
      </c>
      <c r="C65" s="288">
        <v>200080</v>
      </c>
      <c r="D65" s="271" t="s">
        <v>1361</v>
      </c>
      <c r="E65" s="360" t="s">
        <v>1362</v>
      </c>
      <c r="F65" s="360" t="s">
        <v>1363</v>
      </c>
      <c r="G65" s="372" t="s">
        <v>1364</v>
      </c>
      <c r="H65" s="263">
        <v>24260</v>
      </c>
      <c r="I65" s="263">
        <v>2426</v>
      </c>
      <c r="J65" s="263">
        <v>13343</v>
      </c>
      <c r="K65" s="263">
        <v>1500</v>
      </c>
      <c r="L65" s="263"/>
      <c r="M65" s="263"/>
      <c r="N65" s="263"/>
      <c r="O65" s="263"/>
      <c r="P65" s="263"/>
      <c r="Q65" s="333">
        <v>41529</v>
      </c>
      <c r="R65" s="290">
        <v>2426</v>
      </c>
      <c r="S65" s="263"/>
      <c r="T65" s="291">
        <v>243</v>
      </c>
      <c r="U65" s="263"/>
      <c r="V65" s="263"/>
      <c r="W65" s="263"/>
      <c r="X65" s="266"/>
      <c r="Y65" s="263"/>
      <c r="Z65" s="339"/>
      <c r="AA65" s="263"/>
      <c r="AB65" s="275"/>
      <c r="AC65" s="263">
        <v>50</v>
      </c>
      <c r="AD65" s="263">
        <v>10</v>
      </c>
      <c r="AE65" s="263"/>
      <c r="AF65" s="263">
        <v>2729</v>
      </c>
      <c r="AG65" s="263">
        <v>38800</v>
      </c>
      <c r="AH65" s="292"/>
    </row>
    <row r="66" spans="2:34" ht="155.25" x14ac:dyDescent="0.25">
      <c r="B66" s="288">
        <v>60</v>
      </c>
      <c r="C66" s="288">
        <v>200047</v>
      </c>
      <c r="D66" s="271" t="s">
        <v>1365</v>
      </c>
      <c r="E66" s="307" t="s">
        <v>1366</v>
      </c>
      <c r="F66" s="294" t="s">
        <v>1367</v>
      </c>
      <c r="G66" s="372" t="s">
        <v>1368</v>
      </c>
      <c r="H66" s="263">
        <v>26760</v>
      </c>
      <c r="I66" s="263">
        <v>2676</v>
      </c>
      <c r="J66" s="263"/>
      <c r="K66" s="263">
        <v>1500</v>
      </c>
      <c r="L66" s="263"/>
      <c r="M66" s="263"/>
      <c r="N66" s="263"/>
      <c r="O66" s="263"/>
      <c r="P66" s="263"/>
      <c r="Q66" s="333">
        <v>30936</v>
      </c>
      <c r="R66" s="290">
        <v>2676</v>
      </c>
      <c r="S66" s="263"/>
      <c r="T66" s="291">
        <v>268</v>
      </c>
      <c r="U66" s="263"/>
      <c r="V66" s="263"/>
      <c r="W66" s="263">
        <v>1080</v>
      </c>
      <c r="X66" s="266">
        <v>30</v>
      </c>
      <c r="Y66" s="263">
        <v>10</v>
      </c>
      <c r="Z66" s="339">
        <v>1602</v>
      </c>
      <c r="AA66" s="263"/>
      <c r="AB66" s="275"/>
      <c r="AC66" s="263">
        <v>50</v>
      </c>
      <c r="AD66" s="263">
        <v>10</v>
      </c>
      <c r="AE66" s="263"/>
      <c r="AF66" s="263">
        <v>5726</v>
      </c>
      <c r="AG66" s="263">
        <v>25210</v>
      </c>
      <c r="AH66" s="292"/>
    </row>
    <row r="67" spans="2:34" ht="138" x14ac:dyDescent="0.25">
      <c r="B67" s="288">
        <v>61</v>
      </c>
      <c r="C67" s="288">
        <v>200049</v>
      </c>
      <c r="D67" s="271" t="s">
        <v>1369</v>
      </c>
      <c r="E67" s="307" t="s">
        <v>1370</v>
      </c>
      <c r="F67" s="294" t="s">
        <v>1367</v>
      </c>
      <c r="G67" s="372" t="s">
        <v>1371</v>
      </c>
      <c r="H67" s="263">
        <v>26760</v>
      </c>
      <c r="I67" s="263">
        <v>2676</v>
      </c>
      <c r="J67" s="263"/>
      <c r="K67" s="263">
        <v>1500</v>
      </c>
      <c r="L67" s="263">
        <v>1500</v>
      </c>
      <c r="M67" s="263"/>
      <c r="N67" s="263"/>
      <c r="O67" s="263"/>
      <c r="P67" s="263"/>
      <c r="Q67" s="333">
        <v>32436</v>
      </c>
      <c r="R67" s="290">
        <v>2676</v>
      </c>
      <c r="S67" s="263">
        <v>5000</v>
      </c>
      <c r="T67" s="291">
        <v>268</v>
      </c>
      <c r="U67" s="263"/>
      <c r="V67" s="263"/>
      <c r="W67" s="263">
        <v>1080</v>
      </c>
      <c r="X67" s="266">
        <v>30</v>
      </c>
      <c r="Y67" s="263">
        <v>10</v>
      </c>
      <c r="Z67" s="339">
        <v>1578</v>
      </c>
      <c r="AA67" s="263"/>
      <c r="AB67" s="275"/>
      <c r="AC67" s="263">
        <v>50</v>
      </c>
      <c r="AD67" s="263">
        <v>10</v>
      </c>
      <c r="AE67" s="263"/>
      <c r="AF67" s="263">
        <v>10702</v>
      </c>
      <c r="AG67" s="263">
        <v>21734</v>
      </c>
      <c r="AH67" s="292" t="s">
        <v>1372</v>
      </c>
    </row>
    <row r="68" spans="2:34" ht="207" x14ac:dyDescent="0.25">
      <c r="B68" s="288">
        <v>62</v>
      </c>
      <c r="C68" s="288">
        <v>200067</v>
      </c>
      <c r="D68" s="271" t="s">
        <v>1373</v>
      </c>
      <c r="E68" s="360" t="s">
        <v>1374</v>
      </c>
      <c r="F68" s="360" t="s">
        <v>1375</v>
      </c>
      <c r="G68" s="372" t="s">
        <v>1376</v>
      </c>
      <c r="H68" s="263">
        <v>22000</v>
      </c>
      <c r="I68" s="263">
        <v>2200</v>
      </c>
      <c r="J68" s="263"/>
      <c r="K68" s="263">
        <v>1500</v>
      </c>
      <c r="L68" s="263"/>
      <c r="M68" s="263"/>
      <c r="N68" s="263"/>
      <c r="O68" s="263"/>
      <c r="P68" s="263"/>
      <c r="Q68" s="333">
        <v>25700</v>
      </c>
      <c r="R68" s="290">
        <v>2200</v>
      </c>
      <c r="S68" s="263"/>
      <c r="T68" s="291">
        <v>220</v>
      </c>
      <c r="U68" s="263"/>
      <c r="V68" s="263"/>
      <c r="W68" s="263">
        <v>1080</v>
      </c>
      <c r="X68" s="266">
        <v>30</v>
      </c>
      <c r="Y68" s="263">
        <v>10</v>
      </c>
      <c r="Z68" s="339">
        <v>1040</v>
      </c>
      <c r="AA68" s="263"/>
      <c r="AB68" s="275"/>
      <c r="AC68" s="263">
        <v>50</v>
      </c>
      <c r="AD68" s="263">
        <v>10</v>
      </c>
      <c r="AE68" s="263"/>
      <c r="AF68" s="263">
        <v>4640</v>
      </c>
      <c r="AG68" s="263">
        <v>21060</v>
      </c>
      <c r="AH68" s="292"/>
    </row>
    <row r="69" spans="2:34" ht="207" x14ac:dyDescent="0.25">
      <c r="B69" s="288">
        <v>63</v>
      </c>
      <c r="C69" s="288">
        <v>200068</v>
      </c>
      <c r="D69" s="271" t="s">
        <v>1377</v>
      </c>
      <c r="E69" s="360" t="s">
        <v>1378</v>
      </c>
      <c r="F69" s="360" t="s">
        <v>1379</v>
      </c>
      <c r="G69" s="372" t="s">
        <v>1380</v>
      </c>
      <c r="H69" s="263">
        <v>22000</v>
      </c>
      <c r="I69" s="263">
        <v>2200</v>
      </c>
      <c r="J69" s="263">
        <v>12100</v>
      </c>
      <c r="K69" s="263">
        <v>1500</v>
      </c>
      <c r="L69" s="263"/>
      <c r="M69" s="263"/>
      <c r="N69" s="263"/>
      <c r="O69" s="263"/>
      <c r="P69" s="263"/>
      <c r="Q69" s="333">
        <v>37800</v>
      </c>
      <c r="R69" s="290">
        <v>2200</v>
      </c>
      <c r="S69" s="263"/>
      <c r="T69" s="291">
        <v>220</v>
      </c>
      <c r="U69" s="263"/>
      <c r="V69" s="263"/>
      <c r="W69" s="263"/>
      <c r="X69" s="266"/>
      <c r="Y69" s="263"/>
      <c r="Z69" s="339"/>
      <c r="AA69" s="263">
        <v>250</v>
      </c>
      <c r="AB69" s="275"/>
      <c r="AC69" s="263">
        <v>50</v>
      </c>
      <c r="AD69" s="263">
        <v>10</v>
      </c>
      <c r="AE69" s="263"/>
      <c r="AF69" s="263">
        <v>2730</v>
      </c>
      <c r="AG69" s="263">
        <v>35070</v>
      </c>
      <c r="AH69" s="292"/>
    </row>
    <row r="70" spans="2:34" ht="189.75" x14ac:dyDescent="0.25">
      <c r="B70" s="288">
        <v>64</v>
      </c>
      <c r="C70" s="288">
        <v>200066</v>
      </c>
      <c r="D70" s="271" t="s">
        <v>1381</v>
      </c>
      <c r="E70" s="360" t="s">
        <v>1382</v>
      </c>
      <c r="F70" s="360" t="s">
        <v>1379</v>
      </c>
      <c r="G70" s="372" t="s">
        <v>1383</v>
      </c>
      <c r="H70" s="263">
        <v>22000</v>
      </c>
      <c r="I70" s="263">
        <v>2200</v>
      </c>
      <c r="J70" s="263">
        <v>12100</v>
      </c>
      <c r="K70" s="263">
        <v>1500</v>
      </c>
      <c r="L70" s="263"/>
      <c r="M70" s="263"/>
      <c r="N70" s="263"/>
      <c r="O70" s="263"/>
      <c r="P70" s="263"/>
      <c r="Q70" s="333">
        <v>37800</v>
      </c>
      <c r="R70" s="290">
        <v>2200</v>
      </c>
      <c r="S70" s="263"/>
      <c r="T70" s="291">
        <v>220</v>
      </c>
      <c r="U70" s="263"/>
      <c r="V70" s="263"/>
      <c r="W70" s="263"/>
      <c r="X70" s="266"/>
      <c r="Y70" s="263"/>
      <c r="Z70" s="339"/>
      <c r="AA70" s="263"/>
      <c r="AB70" s="275"/>
      <c r="AC70" s="263">
        <v>50</v>
      </c>
      <c r="AD70" s="263">
        <v>10</v>
      </c>
      <c r="AE70" s="263"/>
      <c r="AF70" s="263">
        <v>2480</v>
      </c>
      <c r="AG70" s="263">
        <v>35320</v>
      </c>
      <c r="AH70" s="292"/>
    </row>
    <row r="71" spans="2:34" ht="172.5" x14ac:dyDescent="0.25">
      <c r="B71" s="288">
        <v>65</v>
      </c>
      <c r="C71" s="276">
        <v>200070</v>
      </c>
      <c r="D71" s="271" t="s">
        <v>1384</v>
      </c>
      <c r="E71" s="360" t="s">
        <v>1385</v>
      </c>
      <c r="F71" s="360" t="s">
        <v>1386</v>
      </c>
      <c r="G71" s="372" t="s">
        <v>1387</v>
      </c>
      <c r="H71" s="263">
        <v>22000</v>
      </c>
      <c r="I71" s="263">
        <v>2200</v>
      </c>
      <c r="J71" s="263">
        <v>12100</v>
      </c>
      <c r="K71" s="263">
        <v>1500</v>
      </c>
      <c r="L71" s="263"/>
      <c r="M71" s="263"/>
      <c r="N71" s="263"/>
      <c r="O71" s="263"/>
      <c r="P71" s="263"/>
      <c r="Q71" s="333">
        <v>37800</v>
      </c>
      <c r="R71" s="290">
        <v>2200</v>
      </c>
      <c r="S71" s="263"/>
      <c r="T71" s="291">
        <v>220</v>
      </c>
      <c r="U71" s="263"/>
      <c r="V71" s="263"/>
      <c r="W71" s="263"/>
      <c r="X71" s="266"/>
      <c r="Y71" s="263"/>
      <c r="Z71" s="339"/>
      <c r="AA71" s="263"/>
      <c r="AB71" s="275"/>
      <c r="AC71" s="263">
        <v>50</v>
      </c>
      <c r="AD71" s="263">
        <v>10</v>
      </c>
      <c r="AE71" s="263"/>
      <c r="AF71" s="263">
        <v>2480</v>
      </c>
      <c r="AG71" s="263">
        <v>35320</v>
      </c>
      <c r="AH71" s="292"/>
    </row>
    <row r="72" spans="2:34" ht="207" x14ac:dyDescent="0.25">
      <c r="B72" s="288">
        <v>66</v>
      </c>
      <c r="C72" s="276">
        <v>200071</v>
      </c>
      <c r="D72" s="271" t="s">
        <v>1388</v>
      </c>
      <c r="E72" s="360" t="s">
        <v>1389</v>
      </c>
      <c r="F72" s="360" t="s">
        <v>1390</v>
      </c>
      <c r="G72" s="372" t="s">
        <v>1391</v>
      </c>
      <c r="H72" s="263">
        <v>22000</v>
      </c>
      <c r="I72" s="263">
        <v>2200</v>
      </c>
      <c r="J72" s="263">
        <v>12100</v>
      </c>
      <c r="K72" s="263">
        <v>1500</v>
      </c>
      <c r="L72" s="263"/>
      <c r="M72" s="263"/>
      <c r="N72" s="263"/>
      <c r="O72" s="263"/>
      <c r="P72" s="263"/>
      <c r="Q72" s="333">
        <v>37800</v>
      </c>
      <c r="R72" s="290">
        <v>2200</v>
      </c>
      <c r="S72" s="263"/>
      <c r="T72" s="291">
        <v>220</v>
      </c>
      <c r="U72" s="263"/>
      <c r="V72" s="263"/>
      <c r="W72" s="263"/>
      <c r="X72" s="266"/>
      <c r="Y72" s="263"/>
      <c r="Z72" s="339"/>
      <c r="AA72" s="263"/>
      <c r="AB72" s="275"/>
      <c r="AC72" s="263">
        <v>50</v>
      </c>
      <c r="AD72" s="263">
        <v>10</v>
      </c>
      <c r="AE72" s="263"/>
      <c r="AF72" s="263">
        <v>2480</v>
      </c>
      <c r="AG72" s="263">
        <v>35320</v>
      </c>
      <c r="AH72" s="292"/>
    </row>
    <row r="73" spans="2:34" ht="120.75" x14ac:dyDescent="0.25">
      <c r="B73" s="288">
        <v>67</v>
      </c>
      <c r="C73" s="288">
        <v>300003</v>
      </c>
      <c r="D73" s="271" t="s">
        <v>1392</v>
      </c>
      <c r="E73" s="360" t="s">
        <v>1393</v>
      </c>
      <c r="F73" s="360" t="s">
        <v>1352</v>
      </c>
      <c r="G73" s="372" t="s">
        <v>1394</v>
      </c>
      <c r="H73" s="263">
        <v>22000</v>
      </c>
      <c r="I73" s="263">
        <v>2200</v>
      </c>
      <c r="J73" s="263">
        <v>12100</v>
      </c>
      <c r="K73" s="263">
        <v>1500</v>
      </c>
      <c r="L73" s="263"/>
      <c r="M73" s="263"/>
      <c r="N73" s="263"/>
      <c r="O73" s="263"/>
      <c r="P73" s="263">
        <v>1000</v>
      </c>
      <c r="Q73" s="333">
        <v>38800</v>
      </c>
      <c r="R73" s="290">
        <v>2200</v>
      </c>
      <c r="S73" s="263">
        <v>5000</v>
      </c>
      <c r="T73" s="291">
        <v>220</v>
      </c>
      <c r="U73" s="263"/>
      <c r="V73" s="263"/>
      <c r="W73" s="263"/>
      <c r="X73" s="266"/>
      <c r="Y73" s="263"/>
      <c r="Z73" s="339"/>
      <c r="AA73" s="263"/>
      <c r="AB73" s="275"/>
      <c r="AC73" s="263">
        <v>50</v>
      </c>
      <c r="AD73" s="263">
        <v>10</v>
      </c>
      <c r="AE73" s="263"/>
      <c r="AF73" s="263">
        <v>7480</v>
      </c>
      <c r="AG73" s="263">
        <v>31320</v>
      </c>
      <c r="AH73" s="292" t="s">
        <v>1395</v>
      </c>
    </row>
    <row r="74" spans="2:34" ht="120.75" x14ac:dyDescent="0.25">
      <c r="B74" s="288">
        <v>68</v>
      </c>
      <c r="C74" s="288">
        <v>200064</v>
      </c>
      <c r="D74" s="271" t="s">
        <v>1396</v>
      </c>
      <c r="E74" s="360" t="s">
        <v>1397</v>
      </c>
      <c r="F74" s="360" t="s">
        <v>1375</v>
      </c>
      <c r="G74" s="372" t="s">
        <v>1398</v>
      </c>
      <c r="H74" s="263">
        <v>22000</v>
      </c>
      <c r="I74" s="263">
        <v>2200</v>
      </c>
      <c r="J74" s="263">
        <v>12100</v>
      </c>
      <c r="K74" s="263">
        <v>1500</v>
      </c>
      <c r="L74" s="263"/>
      <c r="M74" s="263"/>
      <c r="N74" s="263"/>
      <c r="O74" s="263"/>
      <c r="P74" s="263"/>
      <c r="Q74" s="333">
        <v>37800</v>
      </c>
      <c r="R74" s="290">
        <v>2200</v>
      </c>
      <c r="S74" s="263"/>
      <c r="T74" s="291">
        <v>220</v>
      </c>
      <c r="U74" s="263"/>
      <c r="V74" s="263"/>
      <c r="W74" s="263"/>
      <c r="X74" s="266"/>
      <c r="Y74" s="263"/>
      <c r="Z74" s="339"/>
      <c r="AA74" s="263"/>
      <c r="AB74" s="275"/>
      <c r="AC74" s="263">
        <v>50</v>
      </c>
      <c r="AD74" s="263">
        <v>10</v>
      </c>
      <c r="AE74" s="263"/>
      <c r="AF74" s="263">
        <v>2480</v>
      </c>
      <c r="AG74" s="263">
        <v>35320</v>
      </c>
      <c r="AH74" s="292"/>
    </row>
    <row r="75" spans="2:34" ht="155.25" x14ac:dyDescent="0.25">
      <c r="B75" s="288">
        <v>69</v>
      </c>
      <c r="C75" s="288">
        <v>200065</v>
      </c>
      <c r="D75" s="271" t="s">
        <v>1399</v>
      </c>
      <c r="E75" s="360" t="s">
        <v>1400</v>
      </c>
      <c r="F75" s="360" t="s">
        <v>1379</v>
      </c>
      <c r="G75" s="372" t="s">
        <v>1401</v>
      </c>
      <c r="H75" s="263">
        <v>22000</v>
      </c>
      <c r="I75" s="263">
        <v>2200</v>
      </c>
      <c r="J75" s="263">
        <v>12100</v>
      </c>
      <c r="K75" s="263">
        <v>1500</v>
      </c>
      <c r="L75" s="263"/>
      <c r="M75" s="263"/>
      <c r="N75" s="263"/>
      <c r="O75" s="263"/>
      <c r="P75" s="263"/>
      <c r="Q75" s="333">
        <v>37800</v>
      </c>
      <c r="R75" s="290">
        <v>2200</v>
      </c>
      <c r="S75" s="263"/>
      <c r="T75" s="291">
        <v>220</v>
      </c>
      <c r="U75" s="263"/>
      <c r="V75" s="263"/>
      <c r="W75" s="263"/>
      <c r="X75" s="266"/>
      <c r="Y75" s="263"/>
      <c r="Z75" s="339"/>
      <c r="AA75" s="263"/>
      <c r="AB75" s="275"/>
      <c r="AC75" s="263">
        <v>50</v>
      </c>
      <c r="AD75" s="263">
        <v>10</v>
      </c>
      <c r="AE75" s="263"/>
      <c r="AF75" s="263">
        <v>2480</v>
      </c>
      <c r="AG75" s="263">
        <v>35320</v>
      </c>
      <c r="AH75" s="292"/>
    </row>
    <row r="76" spans="2:34" ht="126" x14ac:dyDescent="0.25">
      <c r="B76" s="288">
        <v>70</v>
      </c>
      <c r="C76" s="359">
        <v>300108</v>
      </c>
      <c r="D76" s="316" t="s">
        <v>1402</v>
      </c>
      <c r="E76" s="360" t="s">
        <v>1403</v>
      </c>
      <c r="F76" s="360" t="s">
        <v>1404</v>
      </c>
      <c r="G76" s="372" t="s">
        <v>1405</v>
      </c>
      <c r="H76" s="263">
        <v>22000</v>
      </c>
      <c r="I76" s="263">
        <v>2200</v>
      </c>
      <c r="J76" s="263">
        <v>12100</v>
      </c>
      <c r="K76" s="263">
        <v>1500</v>
      </c>
      <c r="L76" s="263"/>
      <c r="M76" s="263"/>
      <c r="N76" s="263"/>
      <c r="O76" s="263"/>
      <c r="P76" s="263"/>
      <c r="Q76" s="333">
        <v>37800</v>
      </c>
      <c r="R76" s="290">
        <v>2200</v>
      </c>
      <c r="S76" s="263"/>
      <c r="T76" s="291">
        <v>220</v>
      </c>
      <c r="U76" s="263"/>
      <c r="V76" s="263"/>
      <c r="W76" s="313"/>
      <c r="X76" s="313"/>
      <c r="Y76" s="315"/>
      <c r="Z76" s="342"/>
      <c r="AA76" s="263"/>
      <c r="AB76" s="275"/>
      <c r="AC76" s="263">
        <v>50</v>
      </c>
      <c r="AD76" s="263">
        <v>10</v>
      </c>
      <c r="AE76" s="263"/>
      <c r="AF76" s="263">
        <v>2480</v>
      </c>
      <c r="AG76" s="263">
        <v>35320</v>
      </c>
      <c r="AH76" s="292"/>
    </row>
    <row r="77" spans="2:34" ht="110.25" x14ac:dyDescent="0.25">
      <c r="B77" s="288">
        <v>71</v>
      </c>
      <c r="C77" s="318">
        <v>300012</v>
      </c>
      <c r="D77" s="316" t="s">
        <v>1406</v>
      </c>
      <c r="E77" s="360" t="s">
        <v>1407</v>
      </c>
      <c r="F77" s="360" t="s">
        <v>1408</v>
      </c>
      <c r="G77" s="372" t="s">
        <v>1409</v>
      </c>
      <c r="H77" s="263">
        <v>22000</v>
      </c>
      <c r="I77" s="263">
        <v>2200</v>
      </c>
      <c r="J77" s="263"/>
      <c r="K77" s="263">
        <v>1500</v>
      </c>
      <c r="L77" s="263"/>
      <c r="M77" s="263"/>
      <c r="N77" s="263"/>
      <c r="O77" s="263"/>
      <c r="P77" s="263">
        <v>1000</v>
      </c>
      <c r="Q77" s="333">
        <v>26700</v>
      </c>
      <c r="R77" s="290">
        <v>2200</v>
      </c>
      <c r="S77" s="263"/>
      <c r="T77" s="291">
        <v>220</v>
      </c>
      <c r="U77" s="263"/>
      <c r="V77" s="263"/>
      <c r="W77" s="314">
        <v>1080</v>
      </c>
      <c r="X77" s="314">
        <v>30</v>
      </c>
      <c r="Y77" s="317">
        <v>10</v>
      </c>
      <c r="Z77" s="343">
        <v>549</v>
      </c>
      <c r="AA77" s="263"/>
      <c r="AB77" s="275"/>
      <c r="AC77" s="263">
        <v>50</v>
      </c>
      <c r="AD77" s="263">
        <v>10</v>
      </c>
      <c r="AE77" s="263"/>
      <c r="AF77" s="263">
        <v>4149</v>
      </c>
      <c r="AG77" s="263">
        <v>22551</v>
      </c>
      <c r="AH77" s="292"/>
    </row>
    <row r="78" spans="2:34" ht="110.25" x14ac:dyDescent="0.25">
      <c r="B78" s="288">
        <v>72</v>
      </c>
      <c r="C78" s="318">
        <v>300114</v>
      </c>
      <c r="D78" s="316" t="s">
        <v>1410</v>
      </c>
      <c r="E78" s="360" t="s">
        <v>1411</v>
      </c>
      <c r="F78" s="360" t="s">
        <v>1412</v>
      </c>
      <c r="G78" s="372" t="s">
        <v>1413</v>
      </c>
      <c r="H78" s="263">
        <v>22000</v>
      </c>
      <c r="I78" s="263">
        <v>2200</v>
      </c>
      <c r="J78" s="263">
        <v>12100</v>
      </c>
      <c r="K78" s="263">
        <v>1500</v>
      </c>
      <c r="L78" s="263"/>
      <c r="M78" s="263"/>
      <c r="N78" s="263"/>
      <c r="O78" s="263"/>
      <c r="P78" s="263">
        <v>500</v>
      </c>
      <c r="Q78" s="333">
        <v>38300</v>
      </c>
      <c r="R78" s="290">
        <v>2200</v>
      </c>
      <c r="S78" s="263">
        <v>2700</v>
      </c>
      <c r="T78" s="291">
        <v>220</v>
      </c>
      <c r="U78" s="263"/>
      <c r="V78" s="263"/>
      <c r="W78" s="313"/>
      <c r="X78" s="313"/>
      <c r="Y78" s="315"/>
      <c r="Z78" s="342"/>
      <c r="AA78" s="263">
        <v>250</v>
      </c>
      <c r="AB78" s="275"/>
      <c r="AC78" s="263">
        <v>50</v>
      </c>
      <c r="AD78" s="263">
        <v>10</v>
      </c>
      <c r="AE78" s="263"/>
      <c r="AF78" s="263">
        <v>5430</v>
      </c>
      <c r="AG78" s="263">
        <v>32870</v>
      </c>
      <c r="AH78" s="292" t="s">
        <v>1414</v>
      </c>
    </row>
    <row r="79" spans="2:34" ht="157.5" x14ac:dyDescent="0.25">
      <c r="B79" s="288">
        <v>73</v>
      </c>
      <c r="C79" s="318"/>
      <c r="D79" s="316" t="s">
        <v>1415</v>
      </c>
      <c r="E79" s="360" t="s">
        <v>1416</v>
      </c>
      <c r="F79" s="360" t="s">
        <v>1417</v>
      </c>
      <c r="G79" s="372" t="s">
        <v>1418</v>
      </c>
      <c r="H79" s="263">
        <v>23100</v>
      </c>
      <c r="I79" s="263">
        <v>2310</v>
      </c>
      <c r="J79" s="263">
        <v>12705</v>
      </c>
      <c r="K79" s="263">
        <v>1500</v>
      </c>
      <c r="L79" s="263"/>
      <c r="M79" s="263"/>
      <c r="N79" s="263"/>
      <c r="O79" s="263"/>
      <c r="P79" s="263"/>
      <c r="Q79" s="333">
        <v>39615</v>
      </c>
      <c r="R79" s="290">
        <v>2310</v>
      </c>
      <c r="S79" s="263"/>
      <c r="T79" s="291">
        <v>231</v>
      </c>
      <c r="U79" s="263"/>
      <c r="V79" s="263"/>
      <c r="W79" s="313"/>
      <c r="X79" s="313"/>
      <c r="Y79" s="315"/>
      <c r="Z79" s="342"/>
      <c r="AA79" s="263"/>
      <c r="AB79" s="275"/>
      <c r="AC79" s="263">
        <v>50</v>
      </c>
      <c r="AD79" s="263">
        <v>10</v>
      </c>
      <c r="AE79" s="263"/>
      <c r="AF79" s="263">
        <v>2601</v>
      </c>
      <c r="AG79" s="263">
        <v>37014</v>
      </c>
      <c r="AH79" s="292"/>
    </row>
    <row r="80" spans="2:34" ht="19.5" x14ac:dyDescent="0.25">
      <c r="B80" s="288"/>
      <c r="C80" s="288"/>
      <c r="D80" s="271" t="s">
        <v>1419</v>
      </c>
      <c r="E80" s="307"/>
      <c r="F80" s="294"/>
      <c r="G80" s="372"/>
      <c r="H80" s="263"/>
      <c r="I80" s="263"/>
      <c r="J80" s="263"/>
      <c r="K80" s="263"/>
      <c r="L80" s="263"/>
      <c r="M80" s="263"/>
      <c r="N80" s="263"/>
      <c r="O80" s="263"/>
      <c r="P80" s="263"/>
      <c r="Q80" s="333"/>
      <c r="R80" s="290"/>
      <c r="S80" s="263"/>
      <c r="T80" s="291"/>
      <c r="U80" s="263"/>
      <c r="V80" s="263"/>
      <c r="W80" s="263"/>
      <c r="X80" s="266"/>
      <c r="Y80" s="263"/>
      <c r="Z80" s="339"/>
      <c r="AA80" s="263"/>
      <c r="AB80" s="275"/>
      <c r="AC80" s="263"/>
      <c r="AD80" s="263"/>
      <c r="AE80" s="263"/>
      <c r="AF80" s="263"/>
      <c r="AG80" s="263"/>
      <c r="AH80" s="292"/>
    </row>
    <row r="81" spans="2:34" ht="138" x14ac:dyDescent="0.25">
      <c r="B81" s="288">
        <v>74</v>
      </c>
      <c r="C81" s="288">
        <v>300015</v>
      </c>
      <c r="D81" s="271" t="s">
        <v>1420</v>
      </c>
      <c r="E81" s="307" t="s">
        <v>1421</v>
      </c>
      <c r="F81" s="294" t="s">
        <v>1422</v>
      </c>
      <c r="G81" s="372" t="s">
        <v>1423</v>
      </c>
      <c r="H81" s="263">
        <v>24870</v>
      </c>
      <c r="I81" s="263">
        <v>3731</v>
      </c>
      <c r="J81" s="263"/>
      <c r="K81" s="263">
        <v>1500</v>
      </c>
      <c r="L81" s="263"/>
      <c r="M81" s="263"/>
      <c r="N81" s="263"/>
      <c r="O81" s="263"/>
      <c r="P81" s="263">
        <v>500</v>
      </c>
      <c r="Q81" s="333">
        <v>30601</v>
      </c>
      <c r="R81" s="290">
        <v>2487</v>
      </c>
      <c r="S81" s="263"/>
      <c r="T81" s="291">
        <v>249</v>
      </c>
      <c r="U81" s="263"/>
      <c r="V81" s="263"/>
      <c r="W81" s="263">
        <v>1080</v>
      </c>
      <c r="X81" s="266">
        <v>30</v>
      </c>
      <c r="Y81" s="263">
        <v>10</v>
      </c>
      <c r="Z81" s="339">
        <v>2646</v>
      </c>
      <c r="AA81" s="263"/>
      <c r="AB81" s="275"/>
      <c r="AC81" s="263">
        <v>50</v>
      </c>
      <c r="AD81" s="263">
        <v>10</v>
      </c>
      <c r="AE81" s="263"/>
      <c r="AF81" s="263">
        <v>6562</v>
      </c>
      <c r="AG81" s="263">
        <v>24039</v>
      </c>
      <c r="AH81" s="292"/>
    </row>
    <row r="82" spans="2:34" ht="172.5" x14ac:dyDescent="0.25">
      <c r="B82" s="288">
        <v>75</v>
      </c>
      <c r="C82" s="288">
        <v>300013</v>
      </c>
      <c r="D82" s="271" t="s">
        <v>1424</v>
      </c>
      <c r="E82" s="360" t="s">
        <v>1425</v>
      </c>
      <c r="F82" s="360" t="s">
        <v>1426</v>
      </c>
      <c r="G82" s="372" t="s">
        <v>1427</v>
      </c>
      <c r="H82" s="263">
        <v>24870</v>
      </c>
      <c r="I82" s="263">
        <v>3731</v>
      </c>
      <c r="J82" s="263"/>
      <c r="K82" s="263">
        <v>1500</v>
      </c>
      <c r="L82" s="263"/>
      <c r="M82" s="263"/>
      <c r="N82" s="263"/>
      <c r="O82" s="263"/>
      <c r="P82" s="263">
        <v>500</v>
      </c>
      <c r="Q82" s="333">
        <v>30601</v>
      </c>
      <c r="R82" s="290">
        <v>2487</v>
      </c>
      <c r="S82" s="263"/>
      <c r="T82" s="291">
        <v>249</v>
      </c>
      <c r="U82" s="263"/>
      <c r="V82" s="263"/>
      <c r="W82" s="313">
        <v>1080</v>
      </c>
      <c r="X82" s="313">
        <v>30</v>
      </c>
      <c r="Y82" s="313">
        <v>10</v>
      </c>
      <c r="Z82" s="342">
        <v>2823</v>
      </c>
      <c r="AA82" s="313"/>
      <c r="AB82" s="275"/>
      <c r="AC82" s="313">
        <v>50</v>
      </c>
      <c r="AD82" s="263">
        <v>10</v>
      </c>
      <c r="AE82" s="263"/>
      <c r="AF82" s="263">
        <v>6739</v>
      </c>
      <c r="AG82" s="263">
        <v>23862</v>
      </c>
      <c r="AH82" s="292"/>
    </row>
    <row r="83" spans="2:34" ht="189.75" x14ac:dyDescent="0.25">
      <c r="B83" s="288">
        <v>76</v>
      </c>
      <c r="C83" s="288">
        <v>300014</v>
      </c>
      <c r="D83" s="271" t="s">
        <v>1428</v>
      </c>
      <c r="E83" s="360" t="s">
        <v>1429</v>
      </c>
      <c r="F83" s="360" t="s">
        <v>1426</v>
      </c>
      <c r="G83" s="372" t="s">
        <v>1430</v>
      </c>
      <c r="H83" s="263">
        <v>24870</v>
      </c>
      <c r="I83" s="263">
        <v>3731</v>
      </c>
      <c r="J83" s="263"/>
      <c r="K83" s="263">
        <v>1500</v>
      </c>
      <c r="L83" s="263"/>
      <c r="M83" s="263"/>
      <c r="N83" s="263"/>
      <c r="O83" s="263"/>
      <c r="P83" s="263">
        <v>500</v>
      </c>
      <c r="Q83" s="333">
        <v>30601</v>
      </c>
      <c r="R83" s="290">
        <v>2487</v>
      </c>
      <c r="S83" s="263"/>
      <c r="T83" s="291">
        <v>249</v>
      </c>
      <c r="U83" s="263"/>
      <c r="V83" s="263"/>
      <c r="W83" s="313">
        <v>1080</v>
      </c>
      <c r="X83" s="313">
        <v>30</v>
      </c>
      <c r="Y83" s="313">
        <v>10</v>
      </c>
      <c r="Z83" s="342">
        <v>1327</v>
      </c>
      <c r="AA83" s="313"/>
      <c r="AB83" s="275"/>
      <c r="AC83" s="313">
        <v>50</v>
      </c>
      <c r="AD83" s="263">
        <v>10</v>
      </c>
      <c r="AE83" s="263"/>
      <c r="AF83" s="263">
        <v>5243</v>
      </c>
      <c r="AG83" s="263">
        <v>25358</v>
      </c>
      <c r="AH83" s="292"/>
    </row>
    <row r="84" spans="2:34" ht="155.25" x14ac:dyDescent="0.25">
      <c r="B84" s="288">
        <v>77</v>
      </c>
      <c r="C84" s="288">
        <v>300016</v>
      </c>
      <c r="D84" s="271" t="s">
        <v>1431</v>
      </c>
      <c r="E84" s="360" t="s">
        <v>1432</v>
      </c>
      <c r="F84" s="360" t="s">
        <v>1426</v>
      </c>
      <c r="G84" s="372" t="s">
        <v>1433</v>
      </c>
      <c r="H84" s="263">
        <v>24870</v>
      </c>
      <c r="I84" s="263">
        <v>3731</v>
      </c>
      <c r="J84" s="263"/>
      <c r="K84" s="263">
        <v>1500</v>
      </c>
      <c r="L84" s="263"/>
      <c r="M84" s="263"/>
      <c r="N84" s="263"/>
      <c r="O84" s="263"/>
      <c r="P84" s="263">
        <v>500</v>
      </c>
      <c r="Q84" s="333">
        <v>30601</v>
      </c>
      <c r="R84" s="290">
        <v>2487</v>
      </c>
      <c r="S84" s="263">
        <v>1500</v>
      </c>
      <c r="T84" s="291">
        <v>249</v>
      </c>
      <c r="U84" s="263"/>
      <c r="V84" s="263"/>
      <c r="W84" s="314">
        <v>1080</v>
      </c>
      <c r="X84" s="314">
        <v>30</v>
      </c>
      <c r="Y84" s="314">
        <v>10</v>
      </c>
      <c r="Z84" s="343">
        <v>1475</v>
      </c>
      <c r="AA84" s="314"/>
      <c r="AB84" s="275"/>
      <c r="AC84" s="314">
        <v>50</v>
      </c>
      <c r="AD84" s="263">
        <v>10</v>
      </c>
      <c r="AE84" s="263"/>
      <c r="AF84" s="263">
        <v>6891</v>
      </c>
      <c r="AG84" s="263">
        <v>23710</v>
      </c>
      <c r="AH84" s="292" t="s">
        <v>1434</v>
      </c>
    </row>
    <row r="85" spans="2:34" ht="155.25" x14ac:dyDescent="0.25">
      <c r="B85" s="288">
        <v>78</v>
      </c>
      <c r="C85" s="359">
        <v>300020</v>
      </c>
      <c r="D85" s="298" t="s">
        <v>1435</v>
      </c>
      <c r="E85" s="360" t="s">
        <v>1436</v>
      </c>
      <c r="F85" s="360" t="s">
        <v>1379</v>
      </c>
      <c r="G85" s="372" t="s">
        <v>1437</v>
      </c>
      <c r="H85" s="263">
        <v>24870</v>
      </c>
      <c r="I85" s="263">
        <v>3731</v>
      </c>
      <c r="J85" s="263"/>
      <c r="K85" s="263">
        <v>1500</v>
      </c>
      <c r="L85" s="263"/>
      <c r="M85" s="263"/>
      <c r="N85" s="263"/>
      <c r="O85" s="263"/>
      <c r="P85" s="319">
        <v>1000</v>
      </c>
      <c r="Q85" s="333">
        <v>31101</v>
      </c>
      <c r="R85" s="290">
        <v>2487</v>
      </c>
      <c r="S85" s="263">
        <v>5000</v>
      </c>
      <c r="T85" s="291">
        <v>249</v>
      </c>
      <c r="U85" s="263"/>
      <c r="V85" s="263"/>
      <c r="W85" s="313">
        <v>1080</v>
      </c>
      <c r="X85" s="313">
        <v>30</v>
      </c>
      <c r="Y85" s="315">
        <v>10</v>
      </c>
      <c r="Z85" s="342">
        <v>1403</v>
      </c>
      <c r="AA85" s="263"/>
      <c r="AB85" s="275"/>
      <c r="AC85" s="263">
        <v>50</v>
      </c>
      <c r="AD85" s="263">
        <v>10</v>
      </c>
      <c r="AE85" s="263"/>
      <c r="AF85" s="263">
        <v>10319</v>
      </c>
      <c r="AG85" s="263">
        <v>20782</v>
      </c>
      <c r="AH85" s="296" t="s">
        <v>1438</v>
      </c>
    </row>
    <row r="86" spans="2:34" ht="138" x14ac:dyDescent="0.35">
      <c r="B86" s="288">
        <v>79</v>
      </c>
      <c r="C86" s="273">
        <v>300022</v>
      </c>
      <c r="D86" s="298" t="s">
        <v>1439</v>
      </c>
      <c r="E86" s="360" t="s">
        <v>1440</v>
      </c>
      <c r="F86" s="360" t="s">
        <v>1379</v>
      </c>
      <c r="G86" s="372" t="s">
        <v>1441</v>
      </c>
      <c r="H86" s="263">
        <v>24870</v>
      </c>
      <c r="I86" s="263">
        <v>3731</v>
      </c>
      <c r="J86" s="263"/>
      <c r="K86" s="263">
        <v>1500</v>
      </c>
      <c r="L86" s="263"/>
      <c r="M86" s="263"/>
      <c r="N86" s="263"/>
      <c r="O86" s="263"/>
      <c r="P86" s="263">
        <v>1000</v>
      </c>
      <c r="Q86" s="333">
        <v>31101</v>
      </c>
      <c r="R86" s="290">
        <v>2487</v>
      </c>
      <c r="S86" s="263">
        <v>7500</v>
      </c>
      <c r="T86" s="291">
        <v>249</v>
      </c>
      <c r="U86" s="263"/>
      <c r="V86" s="263"/>
      <c r="W86" s="313">
        <v>1080</v>
      </c>
      <c r="X86" s="313">
        <v>30</v>
      </c>
      <c r="Y86" s="315">
        <v>10</v>
      </c>
      <c r="Z86" s="342">
        <v>1706</v>
      </c>
      <c r="AA86" s="263"/>
      <c r="AB86" s="275"/>
      <c r="AC86" s="263">
        <v>50</v>
      </c>
      <c r="AD86" s="263">
        <v>10</v>
      </c>
      <c r="AE86" s="263"/>
      <c r="AF86" s="263">
        <v>13122</v>
      </c>
      <c r="AG86" s="263">
        <v>17979</v>
      </c>
      <c r="AH86" s="296" t="s">
        <v>1442</v>
      </c>
    </row>
    <row r="87" spans="2:34" ht="138" x14ac:dyDescent="0.25">
      <c r="B87" s="288">
        <v>80</v>
      </c>
      <c r="C87" s="359">
        <v>300023</v>
      </c>
      <c r="D87" s="298" t="s">
        <v>1443</v>
      </c>
      <c r="E87" s="360" t="s">
        <v>1444</v>
      </c>
      <c r="F87" s="360" t="s">
        <v>1379</v>
      </c>
      <c r="G87" s="372" t="s">
        <v>1445</v>
      </c>
      <c r="H87" s="263">
        <v>24870</v>
      </c>
      <c r="I87" s="263">
        <v>3731</v>
      </c>
      <c r="J87" s="263"/>
      <c r="K87" s="263">
        <v>1500</v>
      </c>
      <c r="L87" s="263"/>
      <c r="M87" s="263"/>
      <c r="N87" s="263"/>
      <c r="O87" s="263"/>
      <c r="P87" s="263">
        <v>1000</v>
      </c>
      <c r="Q87" s="333">
        <v>31101</v>
      </c>
      <c r="R87" s="290">
        <v>2487</v>
      </c>
      <c r="S87" s="263"/>
      <c r="T87" s="291">
        <v>249</v>
      </c>
      <c r="U87" s="263"/>
      <c r="V87" s="263"/>
      <c r="W87" s="313">
        <v>1080</v>
      </c>
      <c r="X87" s="313">
        <v>30</v>
      </c>
      <c r="Y87" s="315">
        <v>10</v>
      </c>
      <c r="Z87" s="342">
        <v>1131</v>
      </c>
      <c r="AA87" s="263"/>
      <c r="AB87" s="275"/>
      <c r="AC87" s="263">
        <v>50</v>
      </c>
      <c r="AD87" s="263">
        <v>10</v>
      </c>
      <c r="AE87" s="263"/>
      <c r="AF87" s="263">
        <v>5047</v>
      </c>
      <c r="AG87" s="263">
        <v>26054</v>
      </c>
      <c r="AH87" s="292"/>
    </row>
    <row r="88" spans="2:34" ht="126" x14ac:dyDescent="0.25">
      <c r="B88" s="288">
        <v>81</v>
      </c>
      <c r="C88" s="359">
        <v>300024</v>
      </c>
      <c r="D88" s="316" t="s">
        <v>1446</v>
      </c>
      <c r="E88" s="360" t="s">
        <v>1447</v>
      </c>
      <c r="F88" s="360" t="s">
        <v>1379</v>
      </c>
      <c r="G88" s="372" t="s">
        <v>1448</v>
      </c>
      <c r="H88" s="263">
        <v>22550</v>
      </c>
      <c r="I88" s="263">
        <v>3383</v>
      </c>
      <c r="J88" s="263"/>
      <c r="K88" s="263">
        <v>1500</v>
      </c>
      <c r="L88" s="263"/>
      <c r="M88" s="263"/>
      <c r="N88" s="263"/>
      <c r="O88" s="263"/>
      <c r="P88" s="263">
        <v>1000</v>
      </c>
      <c r="Q88" s="333">
        <v>28433</v>
      </c>
      <c r="R88" s="290">
        <v>2255</v>
      </c>
      <c r="S88" s="263"/>
      <c r="T88" s="291">
        <v>226</v>
      </c>
      <c r="U88" s="263"/>
      <c r="V88" s="263"/>
      <c r="W88" s="314">
        <v>1080</v>
      </c>
      <c r="X88" s="314">
        <v>30</v>
      </c>
      <c r="Y88" s="317">
        <v>10</v>
      </c>
      <c r="Z88" s="343">
        <v>1698</v>
      </c>
      <c r="AA88" s="263"/>
      <c r="AB88" s="275"/>
      <c r="AC88" s="263">
        <v>50</v>
      </c>
      <c r="AD88" s="263">
        <v>10</v>
      </c>
      <c r="AE88" s="263"/>
      <c r="AF88" s="263">
        <v>5359</v>
      </c>
      <c r="AG88" s="263">
        <v>23074</v>
      </c>
      <c r="AH88" s="357" t="s">
        <v>1449</v>
      </c>
    </row>
    <row r="89" spans="2:34" ht="110.25" x14ac:dyDescent="0.25">
      <c r="B89" s="288">
        <v>82</v>
      </c>
      <c r="C89" s="318">
        <v>300002</v>
      </c>
      <c r="D89" s="355" t="s">
        <v>1450</v>
      </c>
      <c r="E89" s="360" t="s">
        <v>1451</v>
      </c>
      <c r="F89" s="360" t="s">
        <v>1452</v>
      </c>
      <c r="G89" s="372" t="s">
        <v>1453</v>
      </c>
      <c r="H89" s="263">
        <v>18530</v>
      </c>
      <c r="I89" s="263">
        <v>2780</v>
      </c>
      <c r="J89" s="263"/>
      <c r="K89" s="263">
        <v>1500</v>
      </c>
      <c r="L89" s="263"/>
      <c r="M89" s="263"/>
      <c r="N89" s="263"/>
      <c r="O89" s="263"/>
      <c r="P89" s="263"/>
      <c r="Q89" s="333">
        <v>22810</v>
      </c>
      <c r="R89" s="290">
        <v>1853</v>
      </c>
      <c r="S89" s="263">
        <v>3200</v>
      </c>
      <c r="T89" s="291">
        <v>185</v>
      </c>
      <c r="U89" s="263"/>
      <c r="V89" s="263"/>
      <c r="W89" s="314">
        <v>1080</v>
      </c>
      <c r="X89" s="314">
        <v>30</v>
      </c>
      <c r="Y89" s="317">
        <v>10</v>
      </c>
      <c r="Z89" s="343">
        <v>1252</v>
      </c>
      <c r="AA89" s="263"/>
      <c r="AB89" s="275"/>
      <c r="AC89" s="263">
        <v>50</v>
      </c>
      <c r="AD89" s="263">
        <v>10</v>
      </c>
      <c r="AE89" s="263"/>
      <c r="AF89" s="263">
        <v>7670</v>
      </c>
      <c r="AG89" s="263">
        <v>15140</v>
      </c>
      <c r="AH89" s="356" t="s">
        <v>1454</v>
      </c>
    </row>
    <row r="90" spans="2:34" ht="141.75" x14ac:dyDescent="0.25">
      <c r="B90" s="288">
        <v>83</v>
      </c>
      <c r="C90" s="318">
        <v>200074</v>
      </c>
      <c r="D90" s="316" t="s">
        <v>1455</v>
      </c>
      <c r="E90" s="360" t="s">
        <v>1456</v>
      </c>
      <c r="F90" s="360" t="s">
        <v>1457</v>
      </c>
      <c r="G90" s="372" t="s">
        <v>1458</v>
      </c>
      <c r="H90" s="263">
        <v>16800</v>
      </c>
      <c r="I90" s="263">
        <v>2520</v>
      </c>
      <c r="J90" s="263">
        <v>9600</v>
      </c>
      <c r="K90" s="263">
        <v>1500</v>
      </c>
      <c r="L90" s="263"/>
      <c r="M90" s="263"/>
      <c r="N90" s="263"/>
      <c r="O90" s="263"/>
      <c r="P90" s="263"/>
      <c r="Q90" s="333">
        <v>30420</v>
      </c>
      <c r="R90" s="290">
        <v>1680</v>
      </c>
      <c r="S90" s="263"/>
      <c r="T90" s="291">
        <v>168</v>
      </c>
      <c r="U90" s="263"/>
      <c r="V90" s="263"/>
      <c r="W90" s="313"/>
      <c r="X90" s="313"/>
      <c r="Y90" s="315"/>
      <c r="Z90" s="342"/>
      <c r="AA90" s="263"/>
      <c r="AB90" s="275"/>
      <c r="AC90" s="263">
        <v>50</v>
      </c>
      <c r="AD90" s="263">
        <v>10</v>
      </c>
      <c r="AE90" s="263"/>
      <c r="AF90" s="263">
        <v>1908</v>
      </c>
      <c r="AG90" s="263">
        <v>28512</v>
      </c>
      <c r="AH90" s="292"/>
    </row>
    <row r="91" spans="2:34" ht="141.75" x14ac:dyDescent="0.25">
      <c r="B91" s="288">
        <v>84</v>
      </c>
      <c r="C91" s="318">
        <v>200076</v>
      </c>
      <c r="D91" s="316" t="s">
        <v>1459</v>
      </c>
      <c r="E91" s="360" t="s">
        <v>1460</v>
      </c>
      <c r="F91" s="360" t="s">
        <v>1461</v>
      </c>
      <c r="G91" s="372" t="s">
        <v>1462</v>
      </c>
      <c r="H91" s="263">
        <v>16800</v>
      </c>
      <c r="I91" s="263">
        <v>2520</v>
      </c>
      <c r="J91" s="263">
        <v>9600</v>
      </c>
      <c r="K91" s="263">
        <v>1500</v>
      </c>
      <c r="L91" s="263"/>
      <c r="M91" s="263"/>
      <c r="N91" s="263"/>
      <c r="O91" s="263"/>
      <c r="P91" s="263"/>
      <c r="Q91" s="333">
        <v>30420</v>
      </c>
      <c r="R91" s="290">
        <v>1680</v>
      </c>
      <c r="S91" s="263">
        <v>2000</v>
      </c>
      <c r="T91" s="291">
        <v>168</v>
      </c>
      <c r="U91" s="263"/>
      <c r="V91" s="263"/>
      <c r="W91" s="313"/>
      <c r="X91" s="313"/>
      <c r="Y91" s="315"/>
      <c r="Z91" s="342"/>
      <c r="AA91" s="263"/>
      <c r="AB91" s="275"/>
      <c r="AC91" s="263">
        <v>50</v>
      </c>
      <c r="AD91" s="263">
        <v>10</v>
      </c>
      <c r="AE91" s="263"/>
      <c r="AF91" s="263">
        <v>3908</v>
      </c>
      <c r="AG91" s="263">
        <v>26512</v>
      </c>
      <c r="AH91" s="292" t="s">
        <v>1463</v>
      </c>
    </row>
    <row r="92" spans="2:34" ht="110.25" x14ac:dyDescent="0.25">
      <c r="B92" s="288">
        <v>85</v>
      </c>
      <c r="C92" s="318">
        <v>300007</v>
      </c>
      <c r="D92" s="316" t="s">
        <v>1464</v>
      </c>
      <c r="E92" s="360" t="s">
        <v>1465</v>
      </c>
      <c r="F92" s="360" t="s">
        <v>1452</v>
      </c>
      <c r="G92" s="372" t="s">
        <v>1466</v>
      </c>
      <c r="H92" s="263">
        <v>17640</v>
      </c>
      <c r="I92" s="263">
        <v>2646</v>
      </c>
      <c r="J92" s="263">
        <v>9702</v>
      </c>
      <c r="K92" s="263">
        <v>1500</v>
      </c>
      <c r="L92" s="263"/>
      <c r="M92" s="263"/>
      <c r="N92" s="263"/>
      <c r="O92" s="263"/>
      <c r="P92" s="263"/>
      <c r="Q92" s="333">
        <v>31488</v>
      </c>
      <c r="R92" s="290">
        <v>1764</v>
      </c>
      <c r="S92" s="263">
        <v>5000</v>
      </c>
      <c r="T92" s="291">
        <v>176</v>
      </c>
      <c r="U92" s="263"/>
      <c r="V92" s="263"/>
      <c r="W92" s="313"/>
      <c r="X92" s="313"/>
      <c r="Y92" s="315"/>
      <c r="Z92" s="342"/>
      <c r="AA92" s="263"/>
      <c r="AB92" s="275"/>
      <c r="AC92" s="263">
        <v>50</v>
      </c>
      <c r="AD92" s="263">
        <v>10</v>
      </c>
      <c r="AE92" s="263"/>
      <c r="AF92" s="263">
        <v>7000</v>
      </c>
      <c r="AG92" s="263">
        <v>24488</v>
      </c>
      <c r="AH92" s="292" t="s">
        <v>1467</v>
      </c>
    </row>
    <row r="93" spans="2:34" ht="110.25" x14ac:dyDescent="0.25">
      <c r="B93" s="288">
        <v>86</v>
      </c>
      <c r="C93" s="318">
        <v>300011</v>
      </c>
      <c r="D93" s="316" t="s">
        <v>1468</v>
      </c>
      <c r="E93" s="360" t="s">
        <v>1469</v>
      </c>
      <c r="F93" s="360" t="s">
        <v>1452</v>
      </c>
      <c r="G93" s="372" t="s">
        <v>1470</v>
      </c>
      <c r="H93" s="263">
        <v>17640</v>
      </c>
      <c r="I93" s="263">
        <v>2646</v>
      </c>
      <c r="J93" s="263">
        <v>9702</v>
      </c>
      <c r="K93" s="263">
        <v>1500</v>
      </c>
      <c r="L93" s="263"/>
      <c r="M93" s="263"/>
      <c r="N93" s="263"/>
      <c r="O93" s="263"/>
      <c r="P93" s="263">
        <v>500</v>
      </c>
      <c r="Q93" s="333">
        <v>31988</v>
      </c>
      <c r="R93" s="290">
        <v>1764</v>
      </c>
      <c r="S93" s="263">
        <v>2000</v>
      </c>
      <c r="T93" s="291">
        <v>176</v>
      </c>
      <c r="U93" s="263"/>
      <c r="V93" s="263"/>
      <c r="W93" s="313"/>
      <c r="X93" s="313"/>
      <c r="Y93" s="315"/>
      <c r="Z93" s="342"/>
      <c r="AA93" s="263"/>
      <c r="AB93" s="275"/>
      <c r="AC93" s="263">
        <v>50</v>
      </c>
      <c r="AD93" s="263">
        <v>10</v>
      </c>
      <c r="AE93" s="263"/>
      <c r="AF93" s="263">
        <v>4000</v>
      </c>
      <c r="AG93" s="263">
        <v>27988</v>
      </c>
      <c r="AH93" s="292" t="s">
        <v>1471</v>
      </c>
    </row>
    <row r="94" spans="2:34" ht="126" x14ac:dyDescent="0.25">
      <c r="B94" s="288">
        <v>87</v>
      </c>
      <c r="C94" s="318">
        <v>300017</v>
      </c>
      <c r="D94" s="316" t="s">
        <v>1472</v>
      </c>
      <c r="E94" s="360" t="s">
        <v>1473</v>
      </c>
      <c r="F94" s="360" t="s">
        <v>1452</v>
      </c>
      <c r="G94" s="372" t="s">
        <v>1474</v>
      </c>
      <c r="H94" s="263">
        <v>23680</v>
      </c>
      <c r="I94" s="263">
        <v>3552</v>
      </c>
      <c r="J94" s="263">
        <v>13024</v>
      </c>
      <c r="K94" s="263">
        <v>1500</v>
      </c>
      <c r="L94" s="263"/>
      <c r="M94" s="263"/>
      <c r="N94" s="263"/>
      <c r="O94" s="263"/>
      <c r="P94" s="263">
        <v>500</v>
      </c>
      <c r="Q94" s="333">
        <v>42256</v>
      </c>
      <c r="R94" s="290">
        <v>2368</v>
      </c>
      <c r="S94" s="263"/>
      <c r="T94" s="291">
        <v>237</v>
      </c>
      <c r="U94" s="263"/>
      <c r="V94" s="263"/>
      <c r="W94" s="313"/>
      <c r="X94" s="313"/>
      <c r="Y94" s="315"/>
      <c r="Z94" s="342"/>
      <c r="AA94" s="263">
        <v>250</v>
      </c>
      <c r="AB94" s="275"/>
      <c r="AC94" s="263">
        <v>50</v>
      </c>
      <c r="AD94" s="263">
        <v>10</v>
      </c>
      <c r="AE94" s="263"/>
      <c r="AF94" s="263">
        <v>2915</v>
      </c>
      <c r="AG94" s="263">
        <v>39341</v>
      </c>
      <c r="AH94" s="292"/>
    </row>
    <row r="95" spans="2:34" ht="126" x14ac:dyDescent="0.25">
      <c r="B95" s="288">
        <v>88</v>
      </c>
      <c r="C95" s="325">
        <v>300021</v>
      </c>
      <c r="D95" s="326" t="s">
        <v>1475</v>
      </c>
      <c r="E95" s="379" t="s">
        <v>1476</v>
      </c>
      <c r="F95" s="327" t="s">
        <v>1477</v>
      </c>
      <c r="G95" s="328" t="s">
        <v>1478</v>
      </c>
      <c r="H95" s="329">
        <v>23680</v>
      </c>
      <c r="I95" s="263">
        <v>3552</v>
      </c>
      <c r="J95" s="263"/>
      <c r="K95" s="263">
        <v>1500</v>
      </c>
      <c r="L95" s="325"/>
      <c r="M95" s="325"/>
      <c r="N95" s="325"/>
      <c r="O95" s="325"/>
      <c r="P95" s="325"/>
      <c r="Q95" s="333">
        <v>28732</v>
      </c>
      <c r="R95" s="290">
        <v>2368</v>
      </c>
      <c r="S95" s="325">
        <v>2500</v>
      </c>
      <c r="T95" s="291">
        <v>237</v>
      </c>
      <c r="U95" s="325"/>
      <c r="V95" s="325"/>
      <c r="W95" s="325">
        <v>1080</v>
      </c>
      <c r="X95" s="325">
        <v>30</v>
      </c>
      <c r="Y95" s="325">
        <v>10</v>
      </c>
      <c r="Z95" s="344">
        <v>2080</v>
      </c>
      <c r="AA95" s="325"/>
      <c r="AB95" s="325"/>
      <c r="AC95" s="263">
        <v>50</v>
      </c>
      <c r="AD95" s="263">
        <v>10</v>
      </c>
      <c r="AE95" s="325"/>
      <c r="AF95" s="263">
        <v>8365</v>
      </c>
      <c r="AG95" s="263">
        <v>20367</v>
      </c>
      <c r="AH95" s="336" t="s">
        <v>1479</v>
      </c>
    </row>
    <row r="96" spans="2:34" ht="110.25" x14ac:dyDescent="0.25">
      <c r="B96" s="288">
        <v>89</v>
      </c>
      <c r="C96" s="325">
        <v>300006</v>
      </c>
      <c r="D96" s="326" t="s">
        <v>1480</v>
      </c>
      <c r="E96" s="330" t="s">
        <v>1481</v>
      </c>
      <c r="F96" s="327" t="s">
        <v>1482</v>
      </c>
      <c r="G96" s="330" t="s">
        <v>1483</v>
      </c>
      <c r="H96" s="329">
        <v>17640</v>
      </c>
      <c r="I96" s="263">
        <v>2646</v>
      </c>
      <c r="J96" s="263"/>
      <c r="K96" s="263">
        <v>1500</v>
      </c>
      <c r="L96" s="325"/>
      <c r="M96" s="325"/>
      <c r="N96" s="325"/>
      <c r="O96" s="325"/>
      <c r="P96" s="334">
        <v>1000</v>
      </c>
      <c r="Q96" s="333">
        <v>22786</v>
      </c>
      <c r="R96" s="290">
        <v>1764</v>
      </c>
      <c r="S96" s="325"/>
      <c r="T96" s="291">
        <v>176</v>
      </c>
      <c r="U96" s="325"/>
      <c r="V96" s="325"/>
      <c r="W96" s="325">
        <v>1080</v>
      </c>
      <c r="X96" s="325">
        <v>30</v>
      </c>
      <c r="Y96" s="325">
        <v>10</v>
      </c>
      <c r="Z96" s="344">
        <v>1483</v>
      </c>
      <c r="AA96" s="325"/>
      <c r="AB96" s="325"/>
      <c r="AC96" s="263">
        <v>50</v>
      </c>
      <c r="AD96" s="263">
        <v>10</v>
      </c>
      <c r="AE96" s="325"/>
      <c r="AF96" s="263">
        <v>4603</v>
      </c>
      <c r="AG96" s="263">
        <v>18183</v>
      </c>
      <c r="AH96" s="336"/>
    </row>
    <row r="97" spans="2:35" ht="141.75" x14ac:dyDescent="0.25">
      <c r="B97" s="288">
        <v>90</v>
      </c>
      <c r="C97" s="325">
        <v>300008</v>
      </c>
      <c r="D97" s="326" t="s">
        <v>1484</v>
      </c>
      <c r="E97" s="330" t="s">
        <v>1485</v>
      </c>
      <c r="F97" s="327" t="s">
        <v>1482</v>
      </c>
      <c r="G97" s="330" t="s">
        <v>1486</v>
      </c>
      <c r="H97" s="329">
        <v>17640</v>
      </c>
      <c r="I97" s="263">
        <v>2646</v>
      </c>
      <c r="J97" s="263">
        <v>9702</v>
      </c>
      <c r="K97" s="263">
        <v>1500</v>
      </c>
      <c r="L97" s="325"/>
      <c r="M97" s="325"/>
      <c r="N97" s="325"/>
      <c r="O97" s="325"/>
      <c r="P97" s="325"/>
      <c r="Q97" s="333">
        <v>31488</v>
      </c>
      <c r="R97" s="290">
        <v>1764</v>
      </c>
      <c r="S97" s="325"/>
      <c r="T97" s="291">
        <v>176</v>
      </c>
      <c r="U97" s="325"/>
      <c r="V97" s="325"/>
      <c r="W97" s="325"/>
      <c r="X97" s="325"/>
      <c r="Y97" s="325"/>
      <c r="Z97" s="345"/>
      <c r="AA97" s="325"/>
      <c r="AB97" s="325"/>
      <c r="AC97" s="263">
        <v>50</v>
      </c>
      <c r="AD97" s="263">
        <v>10</v>
      </c>
      <c r="AE97" s="325"/>
      <c r="AF97" s="263">
        <v>2000</v>
      </c>
      <c r="AG97" s="263">
        <v>29488</v>
      </c>
      <c r="AH97" s="325"/>
      <c r="AI97" s="324"/>
    </row>
    <row r="98" spans="2:35" ht="110.25" x14ac:dyDescent="0.25">
      <c r="B98" s="288">
        <v>91</v>
      </c>
      <c r="C98" s="325">
        <v>300010</v>
      </c>
      <c r="D98" s="326" t="s">
        <v>1487</v>
      </c>
      <c r="E98" s="330" t="s">
        <v>1488</v>
      </c>
      <c r="F98" s="327" t="s">
        <v>1482</v>
      </c>
      <c r="G98" s="330" t="s">
        <v>1489</v>
      </c>
      <c r="H98" s="329">
        <v>17640</v>
      </c>
      <c r="I98" s="263">
        <v>2646</v>
      </c>
      <c r="J98" s="263">
        <v>9702</v>
      </c>
      <c r="K98" s="263">
        <v>1500</v>
      </c>
      <c r="L98" s="325"/>
      <c r="M98" s="325"/>
      <c r="N98" s="325"/>
      <c r="O98" s="325"/>
      <c r="P98" s="325">
        <v>500</v>
      </c>
      <c r="Q98" s="333">
        <v>31988</v>
      </c>
      <c r="R98" s="290">
        <v>1764</v>
      </c>
      <c r="S98" s="338">
        <v>10000</v>
      </c>
      <c r="T98" s="291">
        <v>176</v>
      </c>
      <c r="U98" s="325"/>
      <c r="V98" s="325"/>
      <c r="W98" s="325"/>
      <c r="X98" s="325"/>
      <c r="Y98" s="325"/>
      <c r="Z98" s="345"/>
      <c r="AA98" s="325"/>
      <c r="AB98" s="325"/>
      <c r="AC98" s="263">
        <v>50</v>
      </c>
      <c r="AD98" s="263">
        <v>10</v>
      </c>
      <c r="AE98" s="325"/>
      <c r="AF98" s="263">
        <v>12000</v>
      </c>
      <c r="AG98" s="263">
        <v>19988</v>
      </c>
      <c r="AH98" s="336" t="s">
        <v>1490</v>
      </c>
      <c r="AI98" s="324"/>
    </row>
    <row r="99" spans="2:35" ht="110.25" x14ac:dyDescent="0.25">
      <c r="B99" s="288">
        <v>92</v>
      </c>
      <c r="C99" s="325">
        <v>300115</v>
      </c>
      <c r="D99" s="326" t="s">
        <v>1491</v>
      </c>
      <c r="E99" s="379" t="s">
        <v>1492</v>
      </c>
      <c r="F99" s="327" t="s">
        <v>1482</v>
      </c>
      <c r="G99" s="328" t="s">
        <v>1493</v>
      </c>
      <c r="H99" s="329">
        <v>16800</v>
      </c>
      <c r="I99" s="263">
        <v>2520</v>
      </c>
      <c r="J99" s="263">
        <v>9600</v>
      </c>
      <c r="K99" s="263">
        <v>1500</v>
      </c>
      <c r="L99" s="325"/>
      <c r="M99" s="325"/>
      <c r="N99" s="325"/>
      <c r="O99" s="325"/>
      <c r="P99" s="325"/>
      <c r="Q99" s="333">
        <v>30420</v>
      </c>
      <c r="R99" s="290">
        <v>1680</v>
      </c>
      <c r="S99" s="325"/>
      <c r="T99" s="291">
        <v>168</v>
      </c>
      <c r="U99" s="325"/>
      <c r="V99" s="325"/>
      <c r="W99" s="325"/>
      <c r="X99" s="325"/>
      <c r="Y99" s="325"/>
      <c r="Z99" s="345"/>
      <c r="AA99" s="325"/>
      <c r="AB99" s="325"/>
      <c r="AC99" s="263">
        <v>50</v>
      </c>
      <c r="AD99" s="263">
        <v>10</v>
      </c>
      <c r="AE99" s="325"/>
      <c r="AF99" s="263">
        <v>1908</v>
      </c>
      <c r="AG99" s="263">
        <v>28512</v>
      </c>
      <c r="AH99" s="325"/>
      <c r="AI99" s="324"/>
    </row>
    <row r="100" spans="2:35" ht="110.25" x14ac:dyDescent="0.25">
      <c r="B100" s="288">
        <v>93</v>
      </c>
      <c r="C100" s="325">
        <v>300113</v>
      </c>
      <c r="D100" s="326" t="s">
        <v>1494</v>
      </c>
      <c r="E100" s="379" t="s">
        <v>1495</v>
      </c>
      <c r="F100" s="327" t="s">
        <v>1482</v>
      </c>
      <c r="G100" s="328" t="s">
        <v>1496</v>
      </c>
      <c r="H100" s="329">
        <v>16800</v>
      </c>
      <c r="I100" s="263">
        <v>2520</v>
      </c>
      <c r="J100" s="263">
        <v>9600</v>
      </c>
      <c r="K100" s="263">
        <v>1500</v>
      </c>
      <c r="L100" s="325"/>
      <c r="M100" s="325"/>
      <c r="N100" s="325"/>
      <c r="O100" s="325"/>
      <c r="P100" s="325"/>
      <c r="Q100" s="333">
        <v>30420</v>
      </c>
      <c r="R100" s="290">
        <v>1680</v>
      </c>
      <c r="S100" s="334">
        <v>1250</v>
      </c>
      <c r="T100" s="291">
        <v>168</v>
      </c>
      <c r="U100" s="325"/>
      <c r="V100" s="325"/>
      <c r="W100" s="325"/>
      <c r="X100" s="325"/>
      <c r="Y100" s="325"/>
      <c r="Z100" s="345"/>
      <c r="AA100" s="325"/>
      <c r="AB100" s="325"/>
      <c r="AC100" s="263">
        <v>50</v>
      </c>
      <c r="AD100" s="263">
        <v>10</v>
      </c>
      <c r="AE100" s="325"/>
      <c r="AF100" s="263">
        <v>3158</v>
      </c>
      <c r="AG100" s="263">
        <v>27262</v>
      </c>
      <c r="AH100" s="336" t="s">
        <v>1497</v>
      </c>
      <c r="AI100" s="324"/>
    </row>
    <row r="101" spans="2:35" ht="110.25" x14ac:dyDescent="0.25">
      <c r="B101" s="288">
        <v>94</v>
      </c>
      <c r="C101" s="325">
        <v>300038</v>
      </c>
      <c r="D101" s="326" t="s">
        <v>1498</v>
      </c>
      <c r="E101" s="379" t="s">
        <v>1499</v>
      </c>
      <c r="F101" s="327" t="s">
        <v>1477</v>
      </c>
      <c r="G101" s="328" t="s">
        <v>1500</v>
      </c>
      <c r="H101" s="329">
        <v>19460</v>
      </c>
      <c r="I101" s="263">
        <v>2919</v>
      </c>
      <c r="J101" s="263"/>
      <c r="K101" s="263">
        <v>1500</v>
      </c>
      <c r="L101" s="325"/>
      <c r="M101" s="325"/>
      <c r="N101" s="325"/>
      <c r="O101" s="325"/>
      <c r="P101" s="334">
        <v>500</v>
      </c>
      <c r="Q101" s="333">
        <v>24379</v>
      </c>
      <c r="R101" s="290">
        <v>1946</v>
      </c>
      <c r="S101" s="325"/>
      <c r="T101" s="291">
        <v>195</v>
      </c>
      <c r="U101" s="325"/>
      <c r="V101" s="325"/>
      <c r="W101" s="325">
        <v>1080</v>
      </c>
      <c r="X101" s="325">
        <v>20</v>
      </c>
      <c r="Y101" s="325">
        <v>10</v>
      </c>
      <c r="Z101" s="345">
        <v>1849</v>
      </c>
      <c r="AA101" s="325"/>
      <c r="AB101" s="325"/>
      <c r="AC101" s="263">
        <v>50</v>
      </c>
      <c r="AD101" s="263">
        <v>10</v>
      </c>
      <c r="AE101" s="325"/>
      <c r="AF101" s="263">
        <v>5160</v>
      </c>
      <c r="AG101" s="263">
        <v>19219</v>
      </c>
      <c r="AH101" s="325"/>
      <c r="AI101" s="324"/>
    </row>
    <row r="102" spans="2:35" ht="126" x14ac:dyDescent="0.25">
      <c r="B102" s="288">
        <v>95</v>
      </c>
      <c r="C102" s="325">
        <v>300042</v>
      </c>
      <c r="D102" s="326" t="s">
        <v>1501</v>
      </c>
      <c r="E102" s="379" t="s">
        <v>1502</v>
      </c>
      <c r="F102" s="327" t="s">
        <v>1477</v>
      </c>
      <c r="G102" s="328" t="s">
        <v>1503</v>
      </c>
      <c r="H102" s="329">
        <v>19460</v>
      </c>
      <c r="I102" s="263">
        <v>2919</v>
      </c>
      <c r="J102" s="263">
        <v>10703</v>
      </c>
      <c r="K102" s="263">
        <v>1500</v>
      </c>
      <c r="L102" s="332"/>
      <c r="M102" s="332"/>
      <c r="N102" s="332"/>
      <c r="O102" s="332"/>
      <c r="P102" s="335">
        <v>1000</v>
      </c>
      <c r="Q102" s="333">
        <v>35582</v>
      </c>
      <c r="R102" s="290">
        <v>1946</v>
      </c>
      <c r="S102" s="332">
        <v>4200</v>
      </c>
      <c r="T102" s="291">
        <v>195</v>
      </c>
      <c r="U102" s="332"/>
      <c r="V102" s="332"/>
      <c r="W102" s="332"/>
      <c r="X102" s="332"/>
      <c r="Y102" s="332"/>
      <c r="Z102" s="346"/>
      <c r="AA102" s="332"/>
      <c r="AB102" s="332"/>
      <c r="AC102" s="263">
        <v>50</v>
      </c>
      <c r="AD102" s="263">
        <v>10</v>
      </c>
      <c r="AE102" s="332"/>
      <c r="AF102" s="263">
        <v>6401</v>
      </c>
      <c r="AG102" s="263">
        <v>29181</v>
      </c>
      <c r="AH102" s="337" t="s">
        <v>1504</v>
      </c>
      <c r="AI102" s="331"/>
    </row>
    <row r="103" spans="2:35" ht="126" x14ac:dyDescent="0.25">
      <c r="B103" s="288">
        <v>96</v>
      </c>
      <c r="C103" s="325">
        <v>300093</v>
      </c>
      <c r="D103" s="326" t="s">
        <v>1505</v>
      </c>
      <c r="E103" s="379" t="s">
        <v>1506</v>
      </c>
      <c r="F103" s="327" t="s">
        <v>1477</v>
      </c>
      <c r="G103" s="328" t="s">
        <v>1507</v>
      </c>
      <c r="H103" s="329">
        <v>16800</v>
      </c>
      <c r="I103" s="263">
        <v>2520</v>
      </c>
      <c r="J103" s="263">
        <v>9600</v>
      </c>
      <c r="K103" s="263">
        <v>1500</v>
      </c>
      <c r="L103" s="325"/>
      <c r="M103" s="325"/>
      <c r="N103" s="325"/>
      <c r="O103" s="325"/>
      <c r="P103" s="334">
        <v>1000</v>
      </c>
      <c r="Q103" s="333">
        <v>31420</v>
      </c>
      <c r="R103" s="290">
        <v>1680</v>
      </c>
      <c r="S103" s="325"/>
      <c r="T103" s="291">
        <v>168</v>
      </c>
      <c r="U103" s="325"/>
      <c r="V103" s="325"/>
      <c r="W103" s="325"/>
      <c r="X103" s="325"/>
      <c r="Y103" s="325"/>
      <c r="Z103" s="345"/>
      <c r="AA103" s="325"/>
      <c r="AB103" s="325"/>
      <c r="AC103" s="263">
        <v>50</v>
      </c>
      <c r="AD103" s="263">
        <v>10</v>
      </c>
      <c r="AE103" s="325"/>
      <c r="AF103" s="263">
        <v>1908</v>
      </c>
      <c r="AG103" s="263">
        <v>29512</v>
      </c>
      <c r="AH103" s="325"/>
      <c r="AI103" s="324"/>
    </row>
    <row r="104" spans="2:35" ht="110.25" x14ac:dyDescent="0.25">
      <c r="B104" s="288">
        <v>97</v>
      </c>
      <c r="C104" s="325">
        <v>300109</v>
      </c>
      <c r="D104" s="326" t="s">
        <v>1508</v>
      </c>
      <c r="E104" s="379" t="s">
        <v>1509</v>
      </c>
      <c r="F104" s="327" t="s">
        <v>1477</v>
      </c>
      <c r="G104" s="328" t="s">
        <v>1510</v>
      </c>
      <c r="H104" s="329">
        <v>16800</v>
      </c>
      <c r="I104" s="263">
        <v>2520</v>
      </c>
      <c r="J104" s="263">
        <v>9600</v>
      </c>
      <c r="K104" s="263">
        <v>1500</v>
      </c>
      <c r="L104" s="325"/>
      <c r="M104" s="325"/>
      <c r="N104" s="325"/>
      <c r="O104" s="325"/>
      <c r="P104" s="334">
        <v>500</v>
      </c>
      <c r="Q104" s="333">
        <v>30920</v>
      </c>
      <c r="R104" s="290">
        <v>1680</v>
      </c>
      <c r="S104" s="325"/>
      <c r="T104" s="291">
        <v>168</v>
      </c>
      <c r="U104" s="325"/>
      <c r="V104" s="325"/>
      <c r="W104" s="325"/>
      <c r="X104" s="325"/>
      <c r="Y104" s="325"/>
      <c r="Z104" s="345"/>
      <c r="AA104" s="325"/>
      <c r="AB104" s="325"/>
      <c r="AC104" s="263">
        <v>50</v>
      </c>
      <c r="AD104" s="263">
        <v>10</v>
      </c>
      <c r="AE104" s="325"/>
      <c r="AF104" s="263">
        <v>1908</v>
      </c>
      <c r="AG104" s="263">
        <v>29012</v>
      </c>
      <c r="AH104" s="325"/>
      <c r="AI104" s="324"/>
    </row>
    <row r="105" spans="2:35" ht="141.75" x14ac:dyDescent="0.25">
      <c r="B105" s="288">
        <v>98</v>
      </c>
      <c r="C105" s="358">
        <v>300025</v>
      </c>
      <c r="D105" s="326" t="s">
        <v>1511</v>
      </c>
      <c r="E105" s="379" t="s">
        <v>1512</v>
      </c>
      <c r="F105" s="327" t="s">
        <v>1513</v>
      </c>
      <c r="G105" s="351" t="s">
        <v>1514</v>
      </c>
      <c r="H105" s="329">
        <v>16800</v>
      </c>
      <c r="I105" s="263">
        <v>2520</v>
      </c>
      <c r="J105" s="263">
        <v>9600</v>
      </c>
      <c r="K105" s="263">
        <v>1500</v>
      </c>
      <c r="L105" s="325"/>
      <c r="M105" s="325"/>
      <c r="N105" s="325"/>
      <c r="O105" s="325"/>
      <c r="P105" s="334"/>
      <c r="Q105" s="333">
        <v>30420</v>
      </c>
      <c r="R105" s="290">
        <v>1680</v>
      </c>
      <c r="S105" s="348">
        <v>1250</v>
      </c>
      <c r="T105" s="291">
        <v>168</v>
      </c>
      <c r="U105" s="325"/>
      <c r="V105" s="325"/>
      <c r="W105" s="325"/>
      <c r="X105" s="325"/>
      <c r="Y105" s="325"/>
      <c r="Z105" s="345"/>
      <c r="AA105" s="325"/>
      <c r="AB105" s="325"/>
      <c r="AC105" s="263">
        <v>50</v>
      </c>
      <c r="AD105" s="263">
        <v>10</v>
      </c>
      <c r="AE105" s="325"/>
      <c r="AF105" s="263">
        <v>3158</v>
      </c>
      <c r="AG105" s="263">
        <v>27262</v>
      </c>
      <c r="AH105" s="336" t="s">
        <v>1515</v>
      </c>
      <c r="AI105" s="324"/>
    </row>
    <row r="106" spans="2:35" ht="126" x14ac:dyDescent="0.25">
      <c r="B106" s="288">
        <v>99</v>
      </c>
      <c r="C106" s="325">
        <v>300026</v>
      </c>
      <c r="D106" s="326" t="s">
        <v>1516</v>
      </c>
      <c r="E106" s="379" t="s">
        <v>1517</v>
      </c>
      <c r="F106" s="327" t="s">
        <v>1518</v>
      </c>
      <c r="G106" s="351" t="s">
        <v>1519</v>
      </c>
      <c r="H106" s="329">
        <v>16800</v>
      </c>
      <c r="I106" s="263">
        <v>2520</v>
      </c>
      <c r="J106" s="263">
        <v>9600</v>
      </c>
      <c r="K106" s="263">
        <v>1500</v>
      </c>
      <c r="L106" s="325"/>
      <c r="M106" s="325"/>
      <c r="N106" s="325"/>
      <c r="O106" s="325"/>
      <c r="P106" s="334">
        <v>500</v>
      </c>
      <c r="Q106" s="333">
        <v>30920</v>
      </c>
      <c r="R106" s="290">
        <v>1680</v>
      </c>
      <c r="S106" s="325"/>
      <c r="T106" s="291">
        <v>168</v>
      </c>
      <c r="U106" s="325"/>
      <c r="V106" s="325"/>
      <c r="W106" s="325"/>
      <c r="X106" s="325"/>
      <c r="Y106" s="325"/>
      <c r="Z106" s="345"/>
      <c r="AA106" s="325"/>
      <c r="AB106" s="325"/>
      <c r="AC106" s="263">
        <v>50</v>
      </c>
      <c r="AD106" s="263">
        <v>10</v>
      </c>
      <c r="AE106" s="325"/>
      <c r="AF106" s="263">
        <v>1908</v>
      </c>
      <c r="AG106" s="263">
        <v>29012</v>
      </c>
      <c r="AH106" s="325"/>
      <c r="AI106" s="324"/>
    </row>
    <row r="107" spans="2:35" ht="138" x14ac:dyDescent="0.25">
      <c r="B107" s="288">
        <v>100</v>
      </c>
      <c r="C107" s="325">
        <v>300043</v>
      </c>
      <c r="D107" s="349" t="s">
        <v>1520</v>
      </c>
      <c r="E107" s="379" t="s">
        <v>1521</v>
      </c>
      <c r="F107" s="327" t="s">
        <v>1477</v>
      </c>
      <c r="G107" s="351" t="s">
        <v>1522</v>
      </c>
      <c r="H107" s="329">
        <v>19460</v>
      </c>
      <c r="I107" s="263">
        <v>2919</v>
      </c>
      <c r="J107" s="263">
        <v>10703</v>
      </c>
      <c r="K107" s="263">
        <v>1500</v>
      </c>
      <c r="L107" s="325"/>
      <c r="M107" s="325"/>
      <c r="N107" s="325"/>
      <c r="O107" s="325"/>
      <c r="P107" s="350">
        <v>1000</v>
      </c>
      <c r="Q107" s="333">
        <v>35582</v>
      </c>
      <c r="R107" s="290">
        <v>1946</v>
      </c>
      <c r="S107" s="325"/>
      <c r="T107" s="291">
        <v>195</v>
      </c>
      <c r="U107" s="325"/>
      <c r="V107" s="325"/>
      <c r="W107" s="325"/>
      <c r="X107" s="325"/>
      <c r="Y107" s="325"/>
      <c r="Z107" s="345"/>
      <c r="AA107" s="325"/>
      <c r="AB107" s="325"/>
      <c r="AC107" s="263">
        <v>50</v>
      </c>
      <c r="AD107" s="263">
        <v>10</v>
      </c>
      <c r="AE107" s="325"/>
      <c r="AF107" s="263">
        <v>2201</v>
      </c>
      <c r="AG107" s="263">
        <v>33381</v>
      </c>
      <c r="AH107" s="325"/>
      <c r="AI107" s="324"/>
    </row>
    <row r="108" spans="2:35" ht="141.75" x14ac:dyDescent="0.25">
      <c r="B108" s="288">
        <v>101</v>
      </c>
      <c r="C108" s="325">
        <v>200082</v>
      </c>
      <c r="D108" s="326" t="s">
        <v>1523</v>
      </c>
      <c r="E108" s="379" t="s">
        <v>1524</v>
      </c>
      <c r="F108" s="327" t="s">
        <v>1525</v>
      </c>
      <c r="G108" s="351" t="s">
        <v>1526</v>
      </c>
      <c r="H108" s="329">
        <v>16000</v>
      </c>
      <c r="I108" s="263">
        <v>2400</v>
      </c>
      <c r="J108" s="263">
        <v>9600</v>
      </c>
      <c r="K108" s="263">
        <v>1500</v>
      </c>
      <c r="L108" s="325"/>
      <c r="M108" s="325"/>
      <c r="N108" s="325"/>
      <c r="O108" s="325"/>
      <c r="P108" s="350"/>
      <c r="Q108" s="333">
        <v>29500</v>
      </c>
      <c r="R108" s="290">
        <v>1600</v>
      </c>
      <c r="S108" s="325"/>
      <c r="T108" s="291">
        <v>160</v>
      </c>
      <c r="U108" s="325"/>
      <c r="V108" s="325"/>
      <c r="W108" s="325"/>
      <c r="X108" s="325"/>
      <c r="Y108" s="325"/>
      <c r="Z108" s="345"/>
      <c r="AA108" s="325"/>
      <c r="AB108" s="325"/>
      <c r="AC108" s="263">
        <v>50</v>
      </c>
      <c r="AD108" s="263">
        <v>10</v>
      </c>
      <c r="AE108" s="325"/>
      <c r="AF108" s="263">
        <v>1820</v>
      </c>
      <c r="AG108" s="263">
        <v>27680</v>
      </c>
      <c r="AH108" s="325"/>
      <c r="AI108" s="324"/>
    </row>
    <row r="109" spans="2:35" ht="141.75" x14ac:dyDescent="0.25">
      <c r="B109" s="288">
        <v>102</v>
      </c>
      <c r="C109" s="325">
        <v>200081</v>
      </c>
      <c r="D109" s="326" t="s">
        <v>1527</v>
      </c>
      <c r="E109" s="379" t="s">
        <v>1528</v>
      </c>
      <c r="F109" s="327" t="s">
        <v>1529</v>
      </c>
      <c r="G109" s="351" t="s">
        <v>1530</v>
      </c>
      <c r="H109" s="329">
        <v>16000</v>
      </c>
      <c r="I109" s="263">
        <v>2400</v>
      </c>
      <c r="J109" s="263">
        <v>9600</v>
      </c>
      <c r="K109" s="263">
        <v>1500</v>
      </c>
      <c r="L109" s="325"/>
      <c r="M109" s="325"/>
      <c r="N109" s="325"/>
      <c r="O109" s="325"/>
      <c r="P109" s="350"/>
      <c r="Q109" s="333">
        <v>29500</v>
      </c>
      <c r="R109" s="290">
        <v>1600</v>
      </c>
      <c r="S109" s="325"/>
      <c r="T109" s="291">
        <v>160</v>
      </c>
      <c r="U109" s="325"/>
      <c r="V109" s="325"/>
      <c r="W109" s="325"/>
      <c r="X109" s="325"/>
      <c r="Y109" s="325"/>
      <c r="Z109" s="345"/>
      <c r="AA109" s="325"/>
      <c r="AB109" s="325"/>
      <c r="AC109" s="263">
        <v>50</v>
      </c>
      <c r="AD109" s="263">
        <v>10</v>
      </c>
      <c r="AE109" s="325"/>
      <c r="AF109" s="263">
        <v>1820</v>
      </c>
      <c r="AG109" s="263">
        <v>27680</v>
      </c>
      <c r="AH109" s="325"/>
      <c r="AI109" s="367"/>
    </row>
    <row r="110" spans="2:35" ht="155.25" x14ac:dyDescent="0.25">
      <c r="B110" s="288">
        <v>103</v>
      </c>
      <c r="C110" s="325">
        <v>300044</v>
      </c>
      <c r="D110" s="349" t="s">
        <v>1531</v>
      </c>
      <c r="E110" s="349" t="s">
        <v>1532</v>
      </c>
      <c r="F110" s="327" t="s">
        <v>1533</v>
      </c>
      <c r="G110" s="327" t="s">
        <v>1534</v>
      </c>
      <c r="H110" s="329">
        <v>18530</v>
      </c>
      <c r="I110" s="263">
        <v>2780</v>
      </c>
      <c r="J110" s="366">
        <v>10192</v>
      </c>
      <c r="K110" s="329">
        <v>1500</v>
      </c>
      <c r="L110" s="329"/>
      <c r="M110" s="350"/>
      <c r="N110" s="350"/>
      <c r="O110" s="350"/>
      <c r="P110" s="350">
        <v>1000</v>
      </c>
      <c r="Q110" s="333">
        <v>34002</v>
      </c>
      <c r="R110" s="350">
        <v>1853</v>
      </c>
      <c r="S110" s="350">
        <v>7000</v>
      </c>
      <c r="T110" s="334">
        <v>185</v>
      </c>
      <c r="U110" s="350"/>
      <c r="V110" s="350"/>
      <c r="W110" s="350"/>
      <c r="X110" s="350"/>
      <c r="Y110" s="350"/>
      <c r="Z110" s="364"/>
      <c r="AA110" s="350">
        <v>0</v>
      </c>
      <c r="AB110" s="350"/>
      <c r="AC110" s="350">
        <v>50</v>
      </c>
      <c r="AD110" s="350">
        <v>10</v>
      </c>
      <c r="AE110" s="380"/>
      <c r="AF110" s="334">
        <v>9098</v>
      </c>
      <c r="AG110" s="365">
        <v>24904</v>
      </c>
      <c r="AH110" s="363" t="s">
        <v>1535</v>
      </c>
      <c r="AI110" s="368"/>
    </row>
    <row r="111" spans="2:35" ht="155.25" x14ac:dyDescent="0.25">
      <c r="B111" s="288">
        <v>104</v>
      </c>
      <c r="C111" s="325">
        <v>200083</v>
      </c>
      <c r="D111" s="349" t="s">
        <v>1536</v>
      </c>
      <c r="E111" s="349" t="s">
        <v>1537</v>
      </c>
      <c r="F111" s="327" t="s">
        <v>1538</v>
      </c>
      <c r="G111" s="381" t="s">
        <v>1539</v>
      </c>
      <c r="H111" s="329">
        <v>16000</v>
      </c>
      <c r="I111" s="263">
        <v>2400</v>
      </c>
      <c r="J111" s="366">
        <v>9600</v>
      </c>
      <c r="K111" s="329">
        <v>1500</v>
      </c>
      <c r="L111" s="329"/>
      <c r="M111" s="350"/>
      <c r="N111" s="350"/>
      <c r="O111" s="350"/>
      <c r="P111" s="350"/>
      <c r="Q111" s="333">
        <v>29500</v>
      </c>
      <c r="R111" s="350">
        <v>1600</v>
      </c>
      <c r="S111" s="350"/>
      <c r="T111" s="334">
        <v>160</v>
      </c>
      <c r="U111" s="350"/>
      <c r="V111" s="350"/>
      <c r="W111" s="350"/>
      <c r="X111" s="350"/>
      <c r="Y111" s="350"/>
      <c r="Z111" s="364"/>
      <c r="AA111" s="350"/>
      <c r="AB111" s="350"/>
      <c r="AC111" s="350">
        <v>50</v>
      </c>
      <c r="AD111" s="350">
        <v>10</v>
      </c>
      <c r="AE111" s="380"/>
      <c r="AF111" s="334">
        <v>1820</v>
      </c>
      <c r="AG111" s="365">
        <v>27680</v>
      </c>
      <c r="AH111" s="363"/>
      <c r="AI111" s="368"/>
    </row>
    <row r="112" spans="2:35" ht="138" x14ac:dyDescent="0.25">
      <c r="B112" s="288">
        <v>105</v>
      </c>
      <c r="C112" s="325">
        <v>200084</v>
      </c>
      <c r="D112" s="349" t="s">
        <v>1540</v>
      </c>
      <c r="E112" s="349" t="s">
        <v>1541</v>
      </c>
      <c r="F112" s="327" t="s">
        <v>1538</v>
      </c>
      <c r="G112" s="381" t="s">
        <v>1542</v>
      </c>
      <c r="H112" s="329">
        <v>16000</v>
      </c>
      <c r="I112" s="263">
        <v>2400</v>
      </c>
      <c r="J112" s="366">
        <v>9600</v>
      </c>
      <c r="K112" s="329">
        <v>1500</v>
      </c>
      <c r="L112" s="329"/>
      <c r="M112" s="350"/>
      <c r="N112" s="350"/>
      <c r="O112" s="350"/>
      <c r="P112" s="350"/>
      <c r="Q112" s="333">
        <v>29500</v>
      </c>
      <c r="R112" s="350">
        <v>1600</v>
      </c>
      <c r="S112" s="350"/>
      <c r="T112" s="334">
        <v>160</v>
      </c>
      <c r="U112" s="350"/>
      <c r="V112" s="350"/>
      <c r="W112" s="350"/>
      <c r="X112" s="350"/>
      <c r="Y112" s="350"/>
      <c r="Z112" s="364"/>
      <c r="AA112" s="350"/>
      <c r="AB112" s="350"/>
      <c r="AC112" s="350">
        <v>50</v>
      </c>
      <c r="AD112" s="350">
        <v>10</v>
      </c>
      <c r="AE112" s="380"/>
      <c r="AF112" s="334">
        <v>1820</v>
      </c>
      <c r="AG112" s="365">
        <v>27680</v>
      </c>
      <c r="AH112" s="363"/>
      <c r="AI112" s="368"/>
    </row>
    <row r="113" spans="2:35" ht="155.25" x14ac:dyDescent="0.25">
      <c r="B113" s="288">
        <v>106</v>
      </c>
      <c r="C113" s="325">
        <v>200085</v>
      </c>
      <c r="D113" s="349" t="s">
        <v>1543</v>
      </c>
      <c r="E113" s="349" t="s">
        <v>1544</v>
      </c>
      <c r="F113" s="327" t="s">
        <v>1538</v>
      </c>
      <c r="G113" s="381" t="s">
        <v>1545</v>
      </c>
      <c r="H113" s="329">
        <v>16000</v>
      </c>
      <c r="I113" s="263">
        <v>2400</v>
      </c>
      <c r="J113" s="366">
        <v>9600</v>
      </c>
      <c r="K113" s="329">
        <v>1500</v>
      </c>
      <c r="L113" s="329"/>
      <c r="M113" s="350"/>
      <c r="N113" s="350"/>
      <c r="O113" s="350"/>
      <c r="P113" s="350"/>
      <c r="Q113" s="333">
        <v>29500</v>
      </c>
      <c r="R113" s="350">
        <v>1600</v>
      </c>
      <c r="S113" s="350"/>
      <c r="T113" s="334">
        <v>160</v>
      </c>
      <c r="U113" s="350"/>
      <c r="V113" s="350"/>
      <c r="W113" s="350"/>
      <c r="X113" s="350"/>
      <c r="Y113" s="350"/>
      <c r="Z113" s="364"/>
      <c r="AA113" s="350"/>
      <c r="AB113" s="350"/>
      <c r="AC113" s="350">
        <v>50</v>
      </c>
      <c r="AD113" s="350">
        <v>10</v>
      </c>
      <c r="AE113" s="380"/>
      <c r="AF113" s="334">
        <v>1820</v>
      </c>
      <c r="AG113" s="365">
        <v>27680</v>
      </c>
      <c r="AH113" s="363"/>
      <c r="AI113" s="368"/>
    </row>
    <row r="114" spans="2:35" ht="120.75" x14ac:dyDescent="0.25">
      <c r="B114" s="288">
        <v>107</v>
      </c>
      <c r="C114" s="325">
        <v>300116</v>
      </c>
      <c r="D114" s="349" t="s">
        <v>1546</v>
      </c>
      <c r="E114" s="384" t="s">
        <v>1547</v>
      </c>
      <c r="F114" s="327" t="s">
        <v>69</v>
      </c>
      <c r="G114" s="327" t="s">
        <v>1548</v>
      </c>
      <c r="H114" s="329">
        <v>16000</v>
      </c>
      <c r="I114" s="263">
        <v>2400</v>
      </c>
      <c r="J114" s="366">
        <v>9600</v>
      </c>
      <c r="K114" s="329">
        <v>1500</v>
      </c>
      <c r="L114" s="329"/>
      <c r="M114" s="350"/>
      <c r="N114" s="350"/>
      <c r="O114" s="350"/>
      <c r="P114" s="350"/>
      <c r="Q114" s="386">
        <v>29500</v>
      </c>
      <c r="R114" s="350">
        <v>1600</v>
      </c>
      <c r="S114" s="350"/>
      <c r="T114" s="334">
        <v>160</v>
      </c>
      <c r="U114" s="350"/>
      <c r="V114" s="350"/>
      <c r="W114" s="350"/>
      <c r="X114" s="350"/>
      <c r="Y114" s="350"/>
      <c r="Z114" s="350"/>
      <c r="AA114" s="350"/>
      <c r="AB114" s="350"/>
      <c r="AC114" s="350">
        <v>50</v>
      </c>
      <c r="AD114" s="350">
        <v>10</v>
      </c>
      <c r="AE114" s="385"/>
      <c r="AF114" s="334">
        <v>1820</v>
      </c>
      <c r="AG114" s="365">
        <v>27680</v>
      </c>
      <c r="AH114" s="383"/>
      <c r="AI114" s="367"/>
    </row>
    <row r="115" spans="2:35" ht="19.5" x14ac:dyDescent="0.25">
      <c r="B115" s="288"/>
      <c r="C115" s="288"/>
      <c r="D115" s="271"/>
      <c r="E115" s="271"/>
      <c r="F115" s="271"/>
      <c r="G115" s="271"/>
      <c r="H115" s="319"/>
      <c r="I115" s="319"/>
      <c r="J115" s="319"/>
      <c r="K115" s="263"/>
      <c r="L115" s="319"/>
      <c r="M115" s="319"/>
      <c r="N115" s="319"/>
      <c r="O115" s="319"/>
      <c r="P115" s="319"/>
      <c r="Q115" s="333">
        <v>0</v>
      </c>
      <c r="R115" s="290">
        <v>0</v>
      </c>
      <c r="S115" s="319"/>
      <c r="T115" s="291">
        <v>0</v>
      </c>
      <c r="U115" s="263"/>
      <c r="V115" s="319"/>
      <c r="W115" s="319"/>
      <c r="X115" s="319"/>
      <c r="Y115" s="319"/>
      <c r="Z115" s="347"/>
      <c r="AA115" s="319"/>
      <c r="AB115" s="275"/>
      <c r="AC115" s="319"/>
      <c r="AD115" s="319"/>
      <c r="AE115" s="263"/>
      <c r="AF115" s="263">
        <v>0</v>
      </c>
      <c r="AG115" s="263">
        <v>0</v>
      </c>
      <c r="AH115" s="292"/>
      <c r="AI115" s="369"/>
    </row>
    <row r="116" spans="2:35" ht="17.25" x14ac:dyDescent="0.25">
      <c r="B116" s="495" t="s">
        <v>1549</v>
      </c>
      <c r="C116" s="495"/>
      <c r="D116" s="495"/>
      <c r="E116" s="362"/>
      <c r="F116" s="362"/>
      <c r="G116" s="362"/>
      <c r="H116" s="291">
        <v>3164630</v>
      </c>
      <c r="I116" s="291">
        <v>349370</v>
      </c>
      <c r="J116" s="291">
        <v>1028077</v>
      </c>
      <c r="K116" s="291">
        <v>160500</v>
      </c>
      <c r="L116" s="291">
        <v>7500</v>
      </c>
      <c r="M116" s="291">
        <v>0</v>
      </c>
      <c r="N116" s="291">
        <v>0</v>
      </c>
      <c r="O116" s="291">
        <v>6000</v>
      </c>
      <c r="P116" s="291">
        <v>43000</v>
      </c>
      <c r="Q116" s="291">
        <v>4759077</v>
      </c>
      <c r="R116" s="291">
        <v>316463</v>
      </c>
      <c r="S116" s="291">
        <v>203640</v>
      </c>
      <c r="T116" s="291">
        <v>31654</v>
      </c>
      <c r="U116" s="291">
        <v>0</v>
      </c>
      <c r="V116" s="291">
        <v>0</v>
      </c>
      <c r="W116" s="291">
        <v>42120</v>
      </c>
      <c r="X116" s="291">
        <v>1340</v>
      </c>
      <c r="Y116" s="291">
        <v>430</v>
      </c>
      <c r="Z116" s="291">
        <v>66846</v>
      </c>
      <c r="AA116" s="291">
        <v>4000</v>
      </c>
      <c r="AB116" s="291">
        <v>23387</v>
      </c>
      <c r="AC116" s="291">
        <v>5350</v>
      </c>
      <c r="AD116" s="291">
        <v>1070</v>
      </c>
      <c r="AE116" s="291">
        <v>0</v>
      </c>
      <c r="AF116" s="291">
        <v>696300</v>
      </c>
      <c r="AG116" s="291">
        <v>4062777</v>
      </c>
      <c r="AH116" s="291">
        <v>0</v>
      </c>
      <c r="AI116" s="293"/>
    </row>
    <row r="117" spans="2:35" ht="19.5" x14ac:dyDescent="0.25">
      <c r="B117" s="320"/>
      <c r="C117" s="320"/>
      <c r="D117" s="320"/>
      <c r="E117" s="320"/>
      <c r="F117" s="320"/>
      <c r="G117" s="320"/>
      <c r="H117" s="320"/>
      <c r="I117" s="320"/>
      <c r="J117" s="320"/>
      <c r="K117" s="320"/>
      <c r="L117" s="320"/>
      <c r="M117" s="320"/>
      <c r="N117" s="320"/>
      <c r="O117" s="320"/>
      <c r="P117" s="320"/>
      <c r="Q117" s="320"/>
      <c r="R117" s="321"/>
      <c r="S117" s="320"/>
      <c r="T117" s="320"/>
      <c r="U117" s="320"/>
      <c r="V117" s="320"/>
      <c r="W117" s="320"/>
      <c r="X117" s="320"/>
      <c r="Y117" s="320"/>
      <c r="Z117" s="320"/>
      <c r="AA117" s="320"/>
      <c r="AB117" s="320"/>
      <c r="AC117" s="320"/>
      <c r="AD117" s="320"/>
      <c r="AE117" s="320"/>
      <c r="AF117" s="320"/>
      <c r="AG117" s="320"/>
      <c r="AH117" s="322"/>
      <c r="AI117" s="322"/>
    </row>
  </sheetData>
  <mergeCells count="31">
    <mergeCell ref="B116:D116"/>
    <mergeCell ref="AG4:AG6"/>
    <mergeCell ref="H5:H6"/>
    <mergeCell ref="L5:L6"/>
    <mergeCell ref="D4:D6"/>
    <mergeCell ref="B4:B6"/>
    <mergeCell ref="Q5:Q6"/>
    <mergeCell ref="H4:Q4"/>
    <mergeCell ref="X5:X6"/>
    <mergeCell ref="AB5:AB6"/>
    <mergeCell ref="J5:J6"/>
    <mergeCell ref="AA5:AA6"/>
    <mergeCell ref="R4:AF4"/>
    <mergeCell ref="V5:V6"/>
    <mergeCell ref="Y5:Y6"/>
    <mergeCell ref="Z5:Z6"/>
    <mergeCell ref="B1:AH1"/>
    <mergeCell ref="U5:U6"/>
    <mergeCell ref="W5:W6"/>
    <mergeCell ref="AF5:AF6"/>
    <mergeCell ref="AE5:AE6"/>
    <mergeCell ref="B2:AH2"/>
    <mergeCell ref="AH4:AH6"/>
    <mergeCell ref="AD5:AD6"/>
    <mergeCell ref="R5:S5"/>
    <mergeCell ref="I5:I6"/>
    <mergeCell ref="K5:K6"/>
    <mergeCell ref="O5:O6"/>
    <mergeCell ref="AC5:AC6"/>
    <mergeCell ref="P5:P6"/>
    <mergeCell ref="T5:T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C142"/>
  <sheetViews>
    <sheetView topLeftCell="A126" workbookViewId="0">
      <selection activeCell="D8" sqref="D8:H129"/>
    </sheetView>
  </sheetViews>
  <sheetFormatPr defaultRowHeight="19.5" x14ac:dyDescent="0.25"/>
  <cols>
    <col min="1" max="1" width="4.42578125" style="15" customWidth="1"/>
    <col min="2" max="2" width="5.42578125" style="15" customWidth="1"/>
    <col min="3" max="3" width="10.5703125" style="15" hidden="1" customWidth="1"/>
    <col min="4" max="4" width="23.42578125" style="138" customWidth="1"/>
    <col min="5" max="5" width="22" style="139" customWidth="1"/>
    <col min="6" max="6" width="20.28515625" style="139" customWidth="1"/>
    <col min="7" max="7" width="18" style="139" customWidth="1"/>
    <col min="8" max="8" width="14.140625" style="19" customWidth="1"/>
    <col min="9" max="9" width="11.85546875" style="19" customWidth="1"/>
    <col min="10" max="10" width="10.85546875" style="15" customWidth="1"/>
    <col min="11" max="11" width="11.28515625" style="15" customWidth="1"/>
    <col min="12" max="12" width="9.7109375" style="15" customWidth="1"/>
    <col min="13" max="13" width="9.85546875" style="15" customWidth="1"/>
    <col min="14" max="14" width="9.140625" style="15" customWidth="1"/>
    <col min="15" max="15" width="8.5703125" style="15" customWidth="1"/>
    <col min="16" max="16" width="7.42578125" style="15" customWidth="1"/>
    <col min="17" max="17" width="13.28515625" style="15" customWidth="1"/>
    <col min="18" max="18" width="13.42578125" style="18" customWidth="1"/>
    <col min="19" max="19" width="10.28515625" style="19" customWidth="1"/>
    <col min="20" max="20" width="8.5703125" style="15" customWidth="1"/>
    <col min="21" max="23" width="9.28515625" style="15" customWidth="1"/>
    <col min="24" max="24" width="7.42578125" style="15" customWidth="1"/>
    <col min="25" max="25" width="6.5703125" style="15" customWidth="1"/>
    <col min="26" max="26" width="8.7109375" style="15" customWidth="1"/>
    <col min="27" max="27" width="7" style="15" customWidth="1"/>
    <col min="28" max="28" width="6.42578125" style="15" customWidth="1"/>
    <col min="29" max="29" width="8.42578125" style="15" customWidth="1"/>
    <col min="30" max="30" width="8" style="15" customWidth="1"/>
    <col min="31" max="31" width="10" style="19" hidden="1" customWidth="1"/>
    <col min="32" max="32" width="10.5703125" style="15" customWidth="1"/>
    <col min="33" max="33" width="11.7109375" style="15" customWidth="1"/>
    <col min="34" max="34" width="7.85546875" style="15" customWidth="1"/>
    <col min="35" max="35" width="10" style="15" customWidth="1"/>
    <col min="36" max="256" width="9.140625" style="15"/>
    <col min="257" max="257" width="4.42578125" style="15" customWidth="1"/>
    <col min="258" max="258" width="5.42578125" style="15" customWidth="1"/>
    <col min="259" max="259" width="0" style="15" hidden="1" customWidth="1"/>
    <col min="260" max="260" width="23.42578125" style="15" customWidth="1"/>
    <col min="261" max="263" width="0" style="15" hidden="1" customWidth="1"/>
    <col min="264" max="264" width="14.140625" style="15" customWidth="1"/>
    <col min="265" max="265" width="11.85546875" style="15" customWidth="1"/>
    <col min="266" max="266" width="10.85546875" style="15" customWidth="1"/>
    <col min="267" max="267" width="11.28515625" style="15" customWidth="1"/>
    <col min="268" max="268" width="9.7109375" style="15" customWidth="1"/>
    <col min="269" max="269" width="9.85546875" style="15" customWidth="1"/>
    <col min="270" max="270" width="9.140625" style="15" customWidth="1"/>
    <col min="271" max="271" width="8.5703125" style="15" customWidth="1"/>
    <col min="272" max="272" width="7.42578125" style="15" customWidth="1"/>
    <col min="273" max="273" width="13.28515625" style="15" customWidth="1"/>
    <col min="274" max="274" width="13.42578125" style="15" customWidth="1"/>
    <col min="275" max="275" width="10.28515625" style="15" customWidth="1"/>
    <col min="276" max="276" width="8.5703125" style="15" customWidth="1"/>
    <col min="277" max="279" width="9.28515625" style="15" customWidth="1"/>
    <col min="280" max="280" width="7.42578125" style="15" customWidth="1"/>
    <col min="281" max="281" width="6.5703125" style="15" customWidth="1"/>
    <col min="282" max="282" width="8.7109375" style="15" customWidth="1"/>
    <col min="283" max="283" width="7" style="15" customWidth="1"/>
    <col min="284" max="284" width="6.42578125" style="15" customWidth="1"/>
    <col min="285" max="285" width="8.42578125" style="15" customWidth="1"/>
    <col min="286" max="286" width="8" style="15" customWidth="1"/>
    <col min="287" max="287" width="0" style="15" hidden="1" customWidth="1"/>
    <col min="288" max="288" width="10.5703125" style="15" customWidth="1"/>
    <col min="289" max="289" width="11.7109375" style="15" customWidth="1"/>
    <col min="290" max="290" width="7.85546875" style="15" customWidth="1"/>
    <col min="291" max="291" width="10" style="15" customWidth="1"/>
    <col min="292" max="512" width="9.140625" style="15"/>
    <col min="513" max="513" width="4.42578125" style="15" customWidth="1"/>
    <col min="514" max="514" width="5.42578125" style="15" customWidth="1"/>
    <col min="515" max="515" width="0" style="15" hidden="1" customWidth="1"/>
    <col min="516" max="516" width="23.42578125" style="15" customWidth="1"/>
    <col min="517" max="519" width="0" style="15" hidden="1" customWidth="1"/>
    <col min="520" max="520" width="14.140625" style="15" customWidth="1"/>
    <col min="521" max="521" width="11.85546875" style="15" customWidth="1"/>
    <col min="522" max="522" width="10.85546875" style="15" customWidth="1"/>
    <col min="523" max="523" width="11.28515625" style="15" customWidth="1"/>
    <col min="524" max="524" width="9.7109375" style="15" customWidth="1"/>
    <col min="525" max="525" width="9.85546875" style="15" customWidth="1"/>
    <col min="526" max="526" width="9.140625" style="15" customWidth="1"/>
    <col min="527" max="527" width="8.5703125" style="15" customWidth="1"/>
    <col min="528" max="528" width="7.42578125" style="15" customWidth="1"/>
    <col min="529" max="529" width="13.28515625" style="15" customWidth="1"/>
    <col min="530" max="530" width="13.42578125" style="15" customWidth="1"/>
    <col min="531" max="531" width="10.28515625" style="15" customWidth="1"/>
    <col min="532" max="532" width="8.5703125" style="15" customWidth="1"/>
    <col min="533" max="535" width="9.28515625" style="15" customWidth="1"/>
    <col min="536" max="536" width="7.42578125" style="15" customWidth="1"/>
    <col min="537" max="537" width="6.5703125" style="15" customWidth="1"/>
    <col min="538" max="538" width="8.7109375" style="15" customWidth="1"/>
    <col min="539" max="539" width="7" style="15" customWidth="1"/>
    <col min="540" max="540" width="6.42578125" style="15" customWidth="1"/>
    <col min="541" max="541" width="8.42578125" style="15" customWidth="1"/>
    <col min="542" max="542" width="8" style="15" customWidth="1"/>
    <col min="543" max="543" width="0" style="15" hidden="1" customWidth="1"/>
    <col min="544" max="544" width="10.5703125" style="15" customWidth="1"/>
    <col min="545" max="545" width="11.7109375" style="15" customWidth="1"/>
    <col min="546" max="546" width="7.85546875" style="15" customWidth="1"/>
    <col min="547" max="547" width="10" style="15" customWidth="1"/>
    <col min="548" max="768" width="9.140625" style="15"/>
    <col min="769" max="769" width="4.42578125" style="15" customWidth="1"/>
    <col min="770" max="770" width="5.42578125" style="15" customWidth="1"/>
    <col min="771" max="771" width="0" style="15" hidden="1" customWidth="1"/>
    <col min="772" max="772" width="23.42578125" style="15" customWidth="1"/>
    <col min="773" max="775" width="0" style="15" hidden="1" customWidth="1"/>
    <col min="776" max="776" width="14.140625" style="15" customWidth="1"/>
    <col min="777" max="777" width="11.85546875" style="15" customWidth="1"/>
    <col min="778" max="778" width="10.85546875" style="15" customWidth="1"/>
    <col min="779" max="779" width="11.28515625" style="15" customWidth="1"/>
    <col min="780" max="780" width="9.7109375" style="15" customWidth="1"/>
    <col min="781" max="781" width="9.85546875" style="15" customWidth="1"/>
    <col min="782" max="782" width="9.140625" style="15" customWidth="1"/>
    <col min="783" max="783" width="8.5703125" style="15" customWidth="1"/>
    <col min="784" max="784" width="7.42578125" style="15" customWidth="1"/>
    <col min="785" max="785" width="13.28515625" style="15" customWidth="1"/>
    <col min="786" max="786" width="13.42578125" style="15" customWidth="1"/>
    <col min="787" max="787" width="10.28515625" style="15" customWidth="1"/>
    <col min="788" max="788" width="8.5703125" style="15" customWidth="1"/>
    <col min="789" max="791" width="9.28515625" style="15" customWidth="1"/>
    <col min="792" max="792" width="7.42578125" style="15" customWidth="1"/>
    <col min="793" max="793" width="6.5703125" style="15" customWidth="1"/>
    <col min="794" max="794" width="8.7109375" style="15" customWidth="1"/>
    <col min="795" max="795" width="7" style="15" customWidth="1"/>
    <col min="796" max="796" width="6.42578125" style="15" customWidth="1"/>
    <col min="797" max="797" width="8.42578125" style="15" customWidth="1"/>
    <col min="798" max="798" width="8" style="15" customWidth="1"/>
    <col min="799" max="799" width="0" style="15" hidden="1" customWidth="1"/>
    <col min="800" max="800" width="10.5703125" style="15" customWidth="1"/>
    <col min="801" max="801" width="11.7109375" style="15" customWidth="1"/>
    <col min="802" max="802" width="7.85546875" style="15" customWidth="1"/>
    <col min="803" max="803" width="10" style="15" customWidth="1"/>
    <col min="804" max="1024" width="9.140625" style="15"/>
    <col min="1025" max="1025" width="4.42578125" style="15" customWidth="1"/>
    <col min="1026" max="1026" width="5.42578125" style="15" customWidth="1"/>
    <col min="1027" max="1027" width="0" style="15" hidden="1" customWidth="1"/>
    <col min="1028" max="1028" width="23.42578125" style="15" customWidth="1"/>
    <col min="1029" max="1031" width="0" style="15" hidden="1" customWidth="1"/>
    <col min="1032" max="1032" width="14.140625" style="15" customWidth="1"/>
    <col min="1033" max="1033" width="11.85546875" style="15" customWidth="1"/>
    <col min="1034" max="1034" width="10.85546875" style="15" customWidth="1"/>
    <col min="1035" max="1035" width="11.28515625" style="15" customWidth="1"/>
    <col min="1036" max="1036" width="9.7109375" style="15" customWidth="1"/>
    <col min="1037" max="1037" width="9.85546875" style="15" customWidth="1"/>
    <col min="1038" max="1038" width="9.140625" style="15" customWidth="1"/>
    <col min="1039" max="1039" width="8.5703125" style="15" customWidth="1"/>
    <col min="1040" max="1040" width="7.42578125" style="15" customWidth="1"/>
    <col min="1041" max="1041" width="13.28515625" style="15" customWidth="1"/>
    <col min="1042" max="1042" width="13.42578125" style="15" customWidth="1"/>
    <col min="1043" max="1043" width="10.28515625" style="15" customWidth="1"/>
    <col min="1044" max="1044" width="8.5703125" style="15" customWidth="1"/>
    <col min="1045" max="1047" width="9.28515625" style="15" customWidth="1"/>
    <col min="1048" max="1048" width="7.42578125" style="15" customWidth="1"/>
    <col min="1049" max="1049" width="6.5703125" style="15" customWidth="1"/>
    <col min="1050" max="1050" width="8.7109375" style="15" customWidth="1"/>
    <col min="1051" max="1051" width="7" style="15" customWidth="1"/>
    <col min="1052" max="1052" width="6.42578125" style="15" customWidth="1"/>
    <col min="1053" max="1053" width="8.42578125" style="15" customWidth="1"/>
    <col min="1054" max="1054" width="8" style="15" customWidth="1"/>
    <col min="1055" max="1055" width="0" style="15" hidden="1" customWidth="1"/>
    <col min="1056" max="1056" width="10.5703125" style="15" customWidth="1"/>
    <col min="1057" max="1057" width="11.7109375" style="15" customWidth="1"/>
    <col min="1058" max="1058" width="7.85546875" style="15" customWidth="1"/>
    <col min="1059" max="1059" width="10" style="15" customWidth="1"/>
    <col min="1060" max="1280" width="9.140625" style="15"/>
    <col min="1281" max="1281" width="4.42578125" style="15" customWidth="1"/>
    <col min="1282" max="1282" width="5.42578125" style="15" customWidth="1"/>
    <col min="1283" max="1283" width="0" style="15" hidden="1" customWidth="1"/>
    <col min="1284" max="1284" width="23.42578125" style="15" customWidth="1"/>
    <col min="1285" max="1287" width="0" style="15" hidden="1" customWidth="1"/>
    <col min="1288" max="1288" width="14.140625" style="15" customWidth="1"/>
    <col min="1289" max="1289" width="11.85546875" style="15" customWidth="1"/>
    <col min="1290" max="1290" width="10.85546875" style="15" customWidth="1"/>
    <col min="1291" max="1291" width="11.28515625" style="15" customWidth="1"/>
    <col min="1292" max="1292" width="9.7109375" style="15" customWidth="1"/>
    <col min="1293" max="1293" width="9.85546875" style="15" customWidth="1"/>
    <col min="1294" max="1294" width="9.140625" style="15" customWidth="1"/>
    <col min="1295" max="1295" width="8.5703125" style="15" customWidth="1"/>
    <col min="1296" max="1296" width="7.42578125" style="15" customWidth="1"/>
    <col min="1297" max="1297" width="13.28515625" style="15" customWidth="1"/>
    <col min="1298" max="1298" width="13.42578125" style="15" customWidth="1"/>
    <col min="1299" max="1299" width="10.28515625" style="15" customWidth="1"/>
    <col min="1300" max="1300" width="8.5703125" style="15" customWidth="1"/>
    <col min="1301" max="1303" width="9.28515625" style="15" customWidth="1"/>
    <col min="1304" max="1304" width="7.42578125" style="15" customWidth="1"/>
    <col min="1305" max="1305" width="6.5703125" style="15" customWidth="1"/>
    <col min="1306" max="1306" width="8.7109375" style="15" customWidth="1"/>
    <col min="1307" max="1307" width="7" style="15" customWidth="1"/>
    <col min="1308" max="1308" width="6.42578125" style="15" customWidth="1"/>
    <col min="1309" max="1309" width="8.42578125" style="15" customWidth="1"/>
    <col min="1310" max="1310" width="8" style="15" customWidth="1"/>
    <col min="1311" max="1311" width="0" style="15" hidden="1" customWidth="1"/>
    <col min="1312" max="1312" width="10.5703125" style="15" customWidth="1"/>
    <col min="1313" max="1313" width="11.7109375" style="15" customWidth="1"/>
    <col min="1314" max="1314" width="7.85546875" style="15" customWidth="1"/>
    <col min="1315" max="1315" width="10" style="15" customWidth="1"/>
    <col min="1316" max="1536" width="9.140625" style="15"/>
    <col min="1537" max="1537" width="4.42578125" style="15" customWidth="1"/>
    <col min="1538" max="1538" width="5.42578125" style="15" customWidth="1"/>
    <col min="1539" max="1539" width="0" style="15" hidden="1" customWidth="1"/>
    <col min="1540" max="1540" width="23.42578125" style="15" customWidth="1"/>
    <col min="1541" max="1543" width="0" style="15" hidden="1" customWidth="1"/>
    <col min="1544" max="1544" width="14.140625" style="15" customWidth="1"/>
    <col min="1545" max="1545" width="11.85546875" style="15" customWidth="1"/>
    <col min="1546" max="1546" width="10.85546875" style="15" customWidth="1"/>
    <col min="1547" max="1547" width="11.28515625" style="15" customWidth="1"/>
    <col min="1548" max="1548" width="9.7109375" style="15" customWidth="1"/>
    <col min="1549" max="1549" width="9.85546875" style="15" customWidth="1"/>
    <col min="1550" max="1550" width="9.140625" style="15" customWidth="1"/>
    <col min="1551" max="1551" width="8.5703125" style="15" customWidth="1"/>
    <col min="1552" max="1552" width="7.42578125" style="15" customWidth="1"/>
    <col min="1553" max="1553" width="13.28515625" style="15" customWidth="1"/>
    <col min="1554" max="1554" width="13.42578125" style="15" customWidth="1"/>
    <col min="1555" max="1555" width="10.28515625" style="15" customWidth="1"/>
    <col min="1556" max="1556" width="8.5703125" style="15" customWidth="1"/>
    <col min="1557" max="1559" width="9.28515625" style="15" customWidth="1"/>
    <col min="1560" max="1560" width="7.42578125" style="15" customWidth="1"/>
    <col min="1561" max="1561" width="6.5703125" style="15" customWidth="1"/>
    <col min="1562" max="1562" width="8.7109375" style="15" customWidth="1"/>
    <col min="1563" max="1563" width="7" style="15" customWidth="1"/>
    <col min="1564" max="1564" width="6.42578125" style="15" customWidth="1"/>
    <col min="1565" max="1565" width="8.42578125" style="15" customWidth="1"/>
    <col min="1566" max="1566" width="8" style="15" customWidth="1"/>
    <col min="1567" max="1567" width="0" style="15" hidden="1" customWidth="1"/>
    <col min="1568" max="1568" width="10.5703125" style="15" customWidth="1"/>
    <col min="1569" max="1569" width="11.7109375" style="15" customWidth="1"/>
    <col min="1570" max="1570" width="7.85546875" style="15" customWidth="1"/>
    <col min="1571" max="1571" width="10" style="15" customWidth="1"/>
    <col min="1572" max="1792" width="9.140625" style="15"/>
    <col min="1793" max="1793" width="4.42578125" style="15" customWidth="1"/>
    <col min="1794" max="1794" width="5.42578125" style="15" customWidth="1"/>
    <col min="1795" max="1795" width="0" style="15" hidden="1" customWidth="1"/>
    <col min="1796" max="1796" width="23.42578125" style="15" customWidth="1"/>
    <col min="1797" max="1799" width="0" style="15" hidden="1" customWidth="1"/>
    <col min="1800" max="1800" width="14.140625" style="15" customWidth="1"/>
    <col min="1801" max="1801" width="11.85546875" style="15" customWidth="1"/>
    <col min="1802" max="1802" width="10.85546875" style="15" customWidth="1"/>
    <col min="1803" max="1803" width="11.28515625" style="15" customWidth="1"/>
    <col min="1804" max="1804" width="9.7109375" style="15" customWidth="1"/>
    <col min="1805" max="1805" width="9.85546875" style="15" customWidth="1"/>
    <col min="1806" max="1806" width="9.140625" style="15" customWidth="1"/>
    <col min="1807" max="1807" width="8.5703125" style="15" customWidth="1"/>
    <col min="1808" max="1808" width="7.42578125" style="15" customWidth="1"/>
    <col min="1809" max="1809" width="13.28515625" style="15" customWidth="1"/>
    <col min="1810" max="1810" width="13.42578125" style="15" customWidth="1"/>
    <col min="1811" max="1811" width="10.28515625" style="15" customWidth="1"/>
    <col min="1812" max="1812" width="8.5703125" style="15" customWidth="1"/>
    <col min="1813" max="1815" width="9.28515625" style="15" customWidth="1"/>
    <col min="1816" max="1816" width="7.42578125" style="15" customWidth="1"/>
    <col min="1817" max="1817" width="6.5703125" style="15" customWidth="1"/>
    <col min="1818" max="1818" width="8.7109375" style="15" customWidth="1"/>
    <col min="1819" max="1819" width="7" style="15" customWidth="1"/>
    <col min="1820" max="1820" width="6.42578125" style="15" customWidth="1"/>
    <col min="1821" max="1821" width="8.42578125" style="15" customWidth="1"/>
    <col min="1822" max="1822" width="8" style="15" customWidth="1"/>
    <col min="1823" max="1823" width="0" style="15" hidden="1" customWidth="1"/>
    <col min="1824" max="1824" width="10.5703125" style="15" customWidth="1"/>
    <col min="1825" max="1825" width="11.7109375" style="15" customWidth="1"/>
    <col min="1826" max="1826" width="7.85546875" style="15" customWidth="1"/>
    <col min="1827" max="1827" width="10" style="15" customWidth="1"/>
    <col min="1828" max="2048" width="9.140625" style="15"/>
    <col min="2049" max="2049" width="4.42578125" style="15" customWidth="1"/>
    <col min="2050" max="2050" width="5.42578125" style="15" customWidth="1"/>
    <col min="2051" max="2051" width="0" style="15" hidden="1" customWidth="1"/>
    <col min="2052" max="2052" width="23.42578125" style="15" customWidth="1"/>
    <col min="2053" max="2055" width="0" style="15" hidden="1" customWidth="1"/>
    <col min="2056" max="2056" width="14.140625" style="15" customWidth="1"/>
    <col min="2057" max="2057" width="11.85546875" style="15" customWidth="1"/>
    <col min="2058" max="2058" width="10.85546875" style="15" customWidth="1"/>
    <col min="2059" max="2059" width="11.28515625" style="15" customWidth="1"/>
    <col min="2060" max="2060" width="9.7109375" style="15" customWidth="1"/>
    <col min="2061" max="2061" width="9.85546875" style="15" customWidth="1"/>
    <col min="2062" max="2062" width="9.140625" style="15" customWidth="1"/>
    <col min="2063" max="2063" width="8.5703125" style="15" customWidth="1"/>
    <col min="2064" max="2064" width="7.42578125" style="15" customWidth="1"/>
    <col min="2065" max="2065" width="13.28515625" style="15" customWidth="1"/>
    <col min="2066" max="2066" width="13.42578125" style="15" customWidth="1"/>
    <col min="2067" max="2067" width="10.28515625" style="15" customWidth="1"/>
    <col min="2068" max="2068" width="8.5703125" style="15" customWidth="1"/>
    <col min="2069" max="2071" width="9.28515625" style="15" customWidth="1"/>
    <col min="2072" max="2072" width="7.42578125" style="15" customWidth="1"/>
    <col min="2073" max="2073" width="6.5703125" style="15" customWidth="1"/>
    <col min="2074" max="2074" width="8.7109375" style="15" customWidth="1"/>
    <col min="2075" max="2075" width="7" style="15" customWidth="1"/>
    <col min="2076" max="2076" width="6.42578125" style="15" customWidth="1"/>
    <col min="2077" max="2077" width="8.42578125" style="15" customWidth="1"/>
    <col min="2078" max="2078" width="8" style="15" customWidth="1"/>
    <col min="2079" max="2079" width="0" style="15" hidden="1" customWidth="1"/>
    <col min="2080" max="2080" width="10.5703125" style="15" customWidth="1"/>
    <col min="2081" max="2081" width="11.7109375" style="15" customWidth="1"/>
    <col min="2082" max="2082" width="7.85546875" style="15" customWidth="1"/>
    <col min="2083" max="2083" width="10" style="15" customWidth="1"/>
    <col min="2084" max="2304" width="9.140625" style="15"/>
    <col min="2305" max="2305" width="4.42578125" style="15" customWidth="1"/>
    <col min="2306" max="2306" width="5.42578125" style="15" customWidth="1"/>
    <col min="2307" max="2307" width="0" style="15" hidden="1" customWidth="1"/>
    <col min="2308" max="2308" width="23.42578125" style="15" customWidth="1"/>
    <col min="2309" max="2311" width="0" style="15" hidden="1" customWidth="1"/>
    <col min="2312" max="2312" width="14.140625" style="15" customWidth="1"/>
    <col min="2313" max="2313" width="11.85546875" style="15" customWidth="1"/>
    <col min="2314" max="2314" width="10.85546875" style="15" customWidth="1"/>
    <col min="2315" max="2315" width="11.28515625" style="15" customWidth="1"/>
    <col min="2316" max="2316" width="9.7109375" style="15" customWidth="1"/>
    <col min="2317" max="2317" width="9.85546875" style="15" customWidth="1"/>
    <col min="2318" max="2318" width="9.140625" style="15" customWidth="1"/>
    <col min="2319" max="2319" width="8.5703125" style="15" customWidth="1"/>
    <col min="2320" max="2320" width="7.42578125" style="15" customWidth="1"/>
    <col min="2321" max="2321" width="13.28515625" style="15" customWidth="1"/>
    <col min="2322" max="2322" width="13.42578125" style="15" customWidth="1"/>
    <col min="2323" max="2323" width="10.28515625" style="15" customWidth="1"/>
    <col min="2324" max="2324" width="8.5703125" style="15" customWidth="1"/>
    <col min="2325" max="2327" width="9.28515625" style="15" customWidth="1"/>
    <col min="2328" max="2328" width="7.42578125" style="15" customWidth="1"/>
    <col min="2329" max="2329" width="6.5703125" style="15" customWidth="1"/>
    <col min="2330" max="2330" width="8.7109375" style="15" customWidth="1"/>
    <col min="2331" max="2331" width="7" style="15" customWidth="1"/>
    <col min="2332" max="2332" width="6.42578125" style="15" customWidth="1"/>
    <col min="2333" max="2333" width="8.42578125" style="15" customWidth="1"/>
    <col min="2334" max="2334" width="8" style="15" customWidth="1"/>
    <col min="2335" max="2335" width="0" style="15" hidden="1" customWidth="1"/>
    <col min="2336" max="2336" width="10.5703125" style="15" customWidth="1"/>
    <col min="2337" max="2337" width="11.7109375" style="15" customWidth="1"/>
    <col min="2338" max="2338" width="7.85546875" style="15" customWidth="1"/>
    <col min="2339" max="2339" width="10" style="15" customWidth="1"/>
    <col min="2340" max="2560" width="9.140625" style="15"/>
    <col min="2561" max="2561" width="4.42578125" style="15" customWidth="1"/>
    <col min="2562" max="2562" width="5.42578125" style="15" customWidth="1"/>
    <col min="2563" max="2563" width="0" style="15" hidden="1" customWidth="1"/>
    <col min="2564" max="2564" width="23.42578125" style="15" customWidth="1"/>
    <col min="2565" max="2567" width="0" style="15" hidden="1" customWidth="1"/>
    <col min="2568" max="2568" width="14.140625" style="15" customWidth="1"/>
    <col min="2569" max="2569" width="11.85546875" style="15" customWidth="1"/>
    <col min="2570" max="2570" width="10.85546875" style="15" customWidth="1"/>
    <col min="2571" max="2571" width="11.28515625" style="15" customWidth="1"/>
    <col min="2572" max="2572" width="9.7109375" style="15" customWidth="1"/>
    <col min="2573" max="2573" width="9.85546875" style="15" customWidth="1"/>
    <col min="2574" max="2574" width="9.140625" style="15" customWidth="1"/>
    <col min="2575" max="2575" width="8.5703125" style="15" customWidth="1"/>
    <col min="2576" max="2576" width="7.42578125" style="15" customWidth="1"/>
    <col min="2577" max="2577" width="13.28515625" style="15" customWidth="1"/>
    <col min="2578" max="2578" width="13.42578125" style="15" customWidth="1"/>
    <col min="2579" max="2579" width="10.28515625" style="15" customWidth="1"/>
    <col min="2580" max="2580" width="8.5703125" style="15" customWidth="1"/>
    <col min="2581" max="2583" width="9.28515625" style="15" customWidth="1"/>
    <col min="2584" max="2584" width="7.42578125" style="15" customWidth="1"/>
    <col min="2585" max="2585" width="6.5703125" style="15" customWidth="1"/>
    <col min="2586" max="2586" width="8.7109375" style="15" customWidth="1"/>
    <col min="2587" max="2587" width="7" style="15" customWidth="1"/>
    <col min="2588" max="2588" width="6.42578125" style="15" customWidth="1"/>
    <col min="2589" max="2589" width="8.42578125" style="15" customWidth="1"/>
    <col min="2590" max="2590" width="8" style="15" customWidth="1"/>
    <col min="2591" max="2591" width="0" style="15" hidden="1" customWidth="1"/>
    <col min="2592" max="2592" width="10.5703125" style="15" customWidth="1"/>
    <col min="2593" max="2593" width="11.7109375" style="15" customWidth="1"/>
    <col min="2594" max="2594" width="7.85546875" style="15" customWidth="1"/>
    <col min="2595" max="2595" width="10" style="15" customWidth="1"/>
    <col min="2596" max="2816" width="9.140625" style="15"/>
    <col min="2817" max="2817" width="4.42578125" style="15" customWidth="1"/>
    <col min="2818" max="2818" width="5.42578125" style="15" customWidth="1"/>
    <col min="2819" max="2819" width="0" style="15" hidden="1" customWidth="1"/>
    <col min="2820" max="2820" width="23.42578125" style="15" customWidth="1"/>
    <col min="2821" max="2823" width="0" style="15" hidden="1" customWidth="1"/>
    <col min="2824" max="2824" width="14.140625" style="15" customWidth="1"/>
    <col min="2825" max="2825" width="11.85546875" style="15" customWidth="1"/>
    <col min="2826" max="2826" width="10.85546875" style="15" customWidth="1"/>
    <col min="2827" max="2827" width="11.28515625" style="15" customWidth="1"/>
    <col min="2828" max="2828" width="9.7109375" style="15" customWidth="1"/>
    <col min="2829" max="2829" width="9.85546875" style="15" customWidth="1"/>
    <col min="2830" max="2830" width="9.140625" style="15" customWidth="1"/>
    <col min="2831" max="2831" width="8.5703125" style="15" customWidth="1"/>
    <col min="2832" max="2832" width="7.42578125" style="15" customWidth="1"/>
    <col min="2833" max="2833" width="13.28515625" style="15" customWidth="1"/>
    <col min="2834" max="2834" width="13.42578125" style="15" customWidth="1"/>
    <col min="2835" max="2835" width="10.28515625" style="15" customWidth="1"/>
    <col min="2836" max="2836" width="8.5703125" style="15" customWidth="1"/>
    <col min="2837" max="2839" width="9.28515625" style="15" customWidth="1"/>
    <col min="2840" max="2840" width="7.42578125" style="15" customWidth="1"/>
    <col min="2841" max="2841" width="6.5703125" style="15" customWidth="1"/>
    <col min="2842" max="2842" width="8.7109375" style="15" customWidth="1"/>
    <col min="2843" max="2843" width="7" style="15" customWidth="1"/>
    <col min="2844" max="2844" width="6.42578125" style="15" customWidth="1"/>
    <col min="2845" max="2845" width="8.42578125" style="15" customWidth="1"/>
    <col min="2846" max="2846" width="8" style="15" customWidth="1"/>
    <col min="2847" max="2847" width="0" style="15" hidden="1" customWidth="1"/>
    <col min="2848" max="2848" width="10.5703125" style="15" customWidth="1"/>
    <col min="2849" max="2849" width="11.7109375" style="15" customWidth="1"/>
    <col min="2850" max="2850" width="7.85546875" style="15" customWidth="1"/>
    <col min="2851" max="2851" width="10" style="15" customWidth="1"/>
    <col min="2852" max="3072" width="9.140625" style="15"/>
    <col min="3073" max="3073" width="4.42578125" style="15" customWidth="1"/>
    <col min="3074" max="3074" width="5.42578125" style="15" customWidth="1"/>
    <col min="3075" max="3075" width="0" style="15" hidden="1" customWidth="1"/>
    <col min="3076" max="3076" width="23.42578125" style="15" customWidth="1"/>
    <col min="3077" max="3079" width="0" style="15" hidden="1" customWidth="1"/>
    <col min="3080" max="3080" width="14.140625" style="15" customWidth="1"/>
    <col min="3081" max="3081" width="11.85546875" style="15" customWidth="1"/>
    <col min="3082" max="3082" width="10.85546875" style="15" customWidth="1"/>
    <col min="3083" max="3083" width="11.28515625" style="15" customWidth="1"/>
    <col min="3084" max="3084" width="9.7109375" style="15" customWidth="1"/>
    <col min="3085" max="3085" width="9.85546875" style="15" customWidth="1"/>
    <col min="3086" max="3086" width="9.140625" style="15" customWidth="1"/>
    <col min="3087" max="3087" width="8.5703125" style="15" customWidth="1"/>
    <col min="3088" max="3088" width="7.42578125" style="15" customWidth="1"/>
    <col min="3089" max="3089" width="13.28515625" style="15" customWidth="1"/>
    <col min="3090" max="3090" width="13.42578125" style="15" customWidth="1"/>
    <col min="3091" max="3091" width="10.28515625" style="15" customWidth="1"/>
    <col min="3092" max="3092" width="8.5703125" style="15" customWidth="1"/>
    <col min="3093" max="3095" width="9.28515625" style="15" customWidth="1"/>
    <col min="3096" max="3096" width="7.42578125" style="15" customWidth="1"/>
    <col min="3097" max="3097" width="6.5703125" style="15" customWidth="1"/>
    <col min="3098" max="3098" width="8.7109375" style="15" customWidth="1"/>
    <col min="3099" max="3099" width="7" style="15" customWidth="1"/>
    <col min="3100" max="3100" width="6.42578125" style="15" customWidth="1"/>
    <col min="3101" max="3101" width="8.42578125" style="15" customWidth="1"/>
    <col min="3102" max="3102" width="8" style="15" customWidth="1"/>
    <col min="3103" max="3103" width="0" style="15" hidden="1" customWidth="1"/>
    <col min="3104" max="3104" width="10.5703125" style="15" customWidth="1"/>
    <col min="3105" max="3105" width="11.7109375" style="15" customWidth="1"/>
    <col min="3106" max="3106" width="7.85546875" style="15" customWidth="1"/>
    <col min="3107" max="3107" width="10" style="15" customWidth="1"/>
    <col min="3108" max="3328" width="9.140625" style="15"/>
    <col min="3329" max="3329" width="4.42578125" style="15" customWidth="1"/>
    <col min="3330" max="3330" width="5.42578125" style="15" customWidth="1"/>
    <col min="3331" max="3331" width="0" style="15" hidden="1" customWidth="1"/>
    <col min="3332" max="3332" width="23.42578125" style="15" customWidth="1"/>
    <col min="3333" max="3335" width="0" style="15" hidden="1" customWidth="1"/>
    <col min="3336" max="3336" width="14.140625" style="15" customWidth="1"/>
    <col min="3337" max="3337" width="11.85546875" style="15" customWidth="1"/>
    <col min="3338" max="3338" width="10.85546875" style="15" customWidth="1"/>
    <col min="3339" max="3339" width="11.28515625" style="15" customWidth="1"/>
    <col min="3340" max="3340" width="9.7109375" style="15" customWidth="1"/>
    <col min="3341" max="3341" width="9.85546875" style="15" customWidth="1"/>
    <col min="3342" max="3342" width="9.140625" style="15" customWidth="1"/>
    <col min="3343" max="3343" width="8.5703125" style="15" customWidth="1"/>
    <col min="3344" max="3344" width="7.42578125" style="15" customWidth="1"/>
    <col min="3345" max="3345" width="13.28515625" style="15" customWidth="1"/>
    <col min="3346" max="3346" width="13.42578125" style="15" customWidth="1"/>
    <col min="3347" max="3347" width="10.28515625" style="15" customWidth="1"/>
    <col min="3348" max="3348" width="8.5703125" style="15" customWidth="1"/>
    <col min="3349" max="3351" width="9.28515625" style="15" customWidth="1"/>
    <col min="3352" max="3352" width="7.42578125" style="15" customWidth="1"/>
    <col min="3353" max="3353" width="6.5703125" style="15" customWidth="1"/>
    <col min="3354" max="3354" width="8.7109375" style="15" customWidth="1"/>
    <col min="3355" max="3355" width="7" style="15" customWidth="1"/>
    <col min="3356" max="3356" width="6.42578125" style="15" customWidth="1"/>
    <col min="3357" max="3357" width="8.42578125" style="15" customWidth="1"/>
    <col min="3358" max="3358" width="8" style="15" customWidth="1"/>
    <col min="3359" max="3359" width="0" style="15" hidden="1" customWidth="1"/>
    <col min="3360" max="3360" width="10.5703125" style="15" customWidth="1"/>
    <col min="3361" max="3361" width="11.7109375" style="15" customWidth="1"/>
    <col min="3362" max="3362" width="7.85546875" style="15" customWidth="1"/>
    <col min="3363" max="3363" width="10" style="15" customWidth="1"/>
    <col min="3364" max="3584" width="9.140625" style="15"/>
    <col min="3585" max="3585" width="4.42578125" style="15" customWidth="1"/>
    <col min="3586" max="3586" width="5.42578125" style="15" customWidth="1"/>
    <col min="3587" max="3587" width="0" style="15" hidden="1" customWidth="1"/>
    <col min="3588" max="3588" width="23.42578125" style="15" customWidth="1"/>
    <col min="3589" max="3591" width="0" style="15" hidden="1" customWidth="1"/>
    <col min="3592" max="3592" width="14.140625" style="15" customWidth="1"/>
    <col min="3593" max="3593" width="11.85546875" style="15" customWidth="1"/>
    <col min="3594" max="3594" width="10.85546875" style="15" customWidth="1"/>
    <col min="3595" max="3595" width="11.28515625" style="15" customWidth="1"/>
    <col min="3596" max="3596" width="9.7109375" style="15" customWidth="1"/>
    <col min="3597" max="3597" width="9.85546875" style="15" customWidth="1"/>
    <col min="3598" max="3598" width="9.140625" style="15" customWidth="1"/>
    <col min="3599" max="3599" width="8.5703125" style="15" customWidth="1"/>
    <col min="3600" max="3600" width="7.42578125" style="15" customWidth="1"/>
    <col min="3601" max="3601" width="13.28515625" style="15" customWidth="1"/>
    <col min="3602" max="3602" width="13.42578125" style="15" customWidth="1"/>
    <col min="3603" max="3603" width="10.28515625" style="15" customWidth="1"/>
    <col min="3604" max="3604" width="8.5703125" style="15" customWidth="1"/>
    <col min="3605" max="3607" width="9.28515625" style="15" customWidth="1"/>
    <col min="3608" max="3608" width="7.42578125" style="15" customWidth="1"/>
    <col min="3609" max="3609" width="6.5703125" style="15" customWidth="1"/>
    <col min="3610" max="3610" width="8.7109375" style="15" customWidth="1"/>
    <col min="3611" max="3611" width="7" style="15" customWidth="1"/>
    <col min="3612" max="3612" width="6.42578125" style="15" customWidth="1"/>
    <col min="3613" max="3613" width="8.42578125" style="15" customWidth="1"/>
    <col min="3614" max="3614" width="8" style="15" customWidth="1"/>
    <col min="3615" max="3615" width="0" style="15" hidden="1" customWidth="1"/>
    <col min="3616" max="3616" width="10.5703125" style="15" customWidth="1"/>
    <col min="3617" max="3617" width="11.7109375" style="15" customWidth="1"/>
    <col min="3618" max="3618" width="7.85546875" style="15" customWidth="1"/>
    <col min="3619" max="3619" width="10" style="15" customWidth="1"/>
    <col min="3620" max="3840" width="9.140625" style="15"/>
    <col min="3841" max="3841" width="4.42578125" style="15" customWidth="1"/>
    <col min="3842" max="3842" width="5.42578125" style="15" customWidth="1"/>
    <col min="3843" max="3843" width="0" style="15" hidden="1" customWidth="1"/>
    <col min="3844" max="3844" width="23.42578125" style="15" customWidth="1"/>
    <col min="3845" max="3847" width="0" style="15" hidden="1" customWidth="1"/>
    <col min="3848" max="3848" width="14.140625" style="15" customWidth="1"/>
    <col min="3849" max="3849" width="11.85546875" style="15" customWidth="1"/>
    <col min="3850" max="3850" width="10.85546875" style="15" customWidth="1"/>
    <col min="3851" max="3851" width="11.28515625" style="15" customWidth="1"/>
    <col min="3852" max="3852" width="9.7109375" style="15" customWidth="1"/>
    <col min="3853" max="3853" width="9.85546875" style="15" customWidth="1"/>
    <col min="3854" max="3854" width="9.140625" style="15" customWidth="1"/>
    <col min="3855" max="3855" width="8.5703125" style="15" customWidth="1"/>
    <col min="3856" max="3856" width="7.42578125" style="15" customWidth="1"/>
    <col min="3857" max="3857" width="13.28515625" style="15" customWidth="1"/>
    <col min="3858" max="3858" width="13.42578125" style="15" customWidth="1"/>
    <col min="3859" max="3859" width="10.28515625" style="15" customWidth="1"/>
    <col min="3860" max="3860" width="8.5703125" style="15" customWidth="1"/>
    <col min="3861" max="3863" width="9.28515625" style="15" customWidth="1"/>
    <col min="3864" max="3864" width="7.42578125" style="15" customWidth="1"/>
    <col min="3865" max="3865" width="6.5703125" style="15" customWidth="1"/>
    <col min="3866" max="3866" width="8.7109375" style="15" customWidth="1"/>
    <col min="3867" max="3867" width="7" style="15" customWidth="1"/>
    <col min="3868" max="3868" width="6.42578125" style="15" customWidth="1"/>
    <col min="3869" max="3869" width="8.42578125" style="15" customWidth="1"/>
    <col min="3870" max="3870" width="8" style="15" customWidth="1"/>
    <col min="3871" max="3871" width="0" style="15" hidden="1" customWidth="1"/>
    <col min="3872" max="3872" width="10.5703125" style="15" customWidth="1"/>
    <col min="3873" max="3873" width="11.7109375" style="15" customWidth="1"/>
    <col min="3874" max="3874" width="7.85546875" style="15" customWidth="1"/>
    <col min="3875" max="3875" width="10" style="15" customWidth="1"/>
    <col min="3876" max="4096" width="9.140625" style="15"/>
    <col min="4097" max="4097" width="4.42578125" style="15" customWidth="1"/>
    <col min="4098" max="4098" width="5.42578125" style="15" customWidth="1"/>
    <col min="4099" max="4099" width="0" style="15" hidden="1" customWidth="1"/>
    <col min="4100" max="4100" width="23.42578125" style="15" customWidth="1"/>
    <col min="4101" max="4103" width="0" style="15" hidden="1" customWidth="1"/>
    <col min="4104" max="4104" width="14.140625" style="15" customWidth="1"/>
    <col min="4105" max="4105" width="11.85546875" style="15" customWidth="1"/>
    <col min="4106" max="4106" width="10.85546875" style="15" customWidth="1"/>
    <col min="4107" max="4107" width="11.28515625" style="15" customWidth="1"/>
    <col min="4108" max="4108" width="9.7109375" style="15" customWidth="1"/>
    <col min="4109" max="4109" width="9.85546875" style="15" customWidth="1"/>
    <col min="4110" max="4110" width="9.140625" style="15" customWidth="1"/>
    <col min="4111" max="4111" width="8.5703125" style="15" customWidth="1"/>
    <col min="4112" max="4112" width="7.42578125" style="15" customWidth="1"/>
    <col min="4113" max="4113" width="13.28515625" style="15" customWidth="1"/>
    <col min="4114" max="4114" width="13.42578125" style="15" customWidth="1"/>
    <col min="4115" max="4115" width="10.28515625" style="15" customWidth="1"/>
    <col min="4116" max="4116" width="8.5703125" style="15" customWidth="1"/>
    <col min="4117" max="4119" width="9.28515625" style="15" customWidth="1"/>
    <col min="4120" max="4120" width="7.42578125" style="15" customWidth="1"/>
    <col min="4121" max="4121" width="6.5703125" style="15" customWidth="1"/>
    <col min="4122" max="4122" width="8.7109375" style="15" customWidth="1"/>
    <col min="4123" max="4123" width="7" style="15" customWidth="1"/>
    <col min="4124" max="4124" width="6.42578125" style="15" customWidth="1"/>
    <col min="4125" max="4125" width="8.42578125" style="15" customWidth="1"/>
    <col min="4126" max="4126" width="8" style="15" customWidth="1"/>
    <col min="4127" max="4127" width="0" style="15" hidden="1" customWidth="1"/>
    <col min="4128" max="4128" width="10.5703125" style="15" customWidth="1"/>
    <col min="4129" max="4129" width="11.7109375" style="15" customWidth="1"/>
    <col min="4130" max="4130" width="7.85546875" style="15" customWidth="1"/>
    <col min="4131" max="4131" width="10" style="15" customWidth="1"/>
    <col min="4132" max="4352" width="9.140625" style="15"/>
    <col min="4353" max="4353" width="4.42578125" style="15" customWidth="1"/>
    <col min="4354" max="4354" width="5.42578125" style="15" customWidth="1"/>
    <col min="4355" max="4355" width="0" style="15" hidden="1" customWidth="1"/>
    <col min="4356" max="4356" width="23.42578125" style="15" customWidth="1"/>
    <col min="4357" max="4359" width="0" style="15" hidden="1" customWidth="1"/>
    <col min="4360" max="4360" width="14.140625" style="15" customWidth="1"/>
    <col min="4361" max="4361" width="11.85546875" style="15" customWidth="1"/>
    <col min="4362" max="4362" width="10.85546875" style="15" customWidth="1"/>
    <col min="4363" max="4363" width="11.28515625" style="15" customWidth="1"/>
    <col min="4364" max="4364" width="9.7109375" style="15" customWidth="1"/>
    <col min="4365" max="4365" width="9.85546875" style="15" customWidth="1"/>
    <col min="4366" max="4366" width="9.140625" style="15" customWidth="1"/>
    <col min="4367" max="4367" width="8.5703125" style="15" customWidth="1"/>
    <col min="4368" max="4368" width="7.42578125" style="15" customWidth="1"/>
    <col min="4369" max="4369" width="13.28515625" style="15" customWidth="1"/>
    <col min="4370" max="4370" width="13.42578125" style="15" customWidth="1"/>
    <col min="4371" max="4371" width="10.28515625" style="15" customWidth="1"/>
    <col min="4372" max="4372" width="8.5703125" style="15" customWidth="1"/>
    <col min="4373" max="4375" width="9.28515625" style="15" customWidth="1"/>
    <col min="4376" max="4376" width="7.42578125" style="15" customWidth="1"/>
    <col min="4377" max="4377" width="6.5703125" style="15" customWidth="1"/>
    <col min="4378" max="4378" width="8.7109375" style="15" customWidth="1"/>
    <col min="4379" max="4379" width="7" style="15" customWidth="1"/>
    <col min="4380" max="4380" width="6.42578125" style="15" customWidth="1"/>
    <col min="4381" max="4381" width="8.42578125" style="15" customWidth="1"/>
    <col min="4382" max="4382" width="8" style="15" customWidth="1"/>
    <col min="4383" max="4383" width="0" style="15" hidden="1" customWidth="1"/>
    <col min="4384" max="4384" width="10.5703125" style="15" customWidth="1"/>
    <col min="4385" max="4385" width="11.7109375" style="15" customWidth="1"/>
    <col min="4386" max="4386" width="7.85546875" style="15" customWidth="1"/>
    <col min="4387" max="4387" width="10" style="15" customWidth="1"/>
    <col min="4388" max="4608" width="9.140625" style="15"/>
    <col min="4609" max="4609" width="4.42578125" style="15" customWidth="1"/>
    <col min="4610" max="4610" width="5.42578125" style="15" customWidth="1"/>
    <col min="4611" max="4611" width="0" style="15" hidden="1" customWidth="1"/>
    <col min="4612" max="4612" width="23.42578125" style="15" customWidth="1"/>
    <col min="4613" max="4615" width="0" style="15" hidden="1" customWidth="1"/>
    <col min="4616" max="4616" width="14.140625" style="15" customWidth="1"/>
    <col min="4617" max="4617" width="11.85546875" style="15" customWidth="1"/>
    <col min="4618" max="4618" width="10.85546875" style="15" customWidth="1"/>
    <col min="4619" max="4619" width="11.28515625" style="15" customWidth="1"/>
    <col min="4620" max="4620" width="9.7109375" style="15" customWidth="1"/>
    <col min="4621" max="4621" width="9.85546875" style="15" customWidth="1"/>
    <col min="4622" max="4622" width="9.140625" style="15" customWidth="1"/>
    <col min="4623" max="4623" width="8.5703125" style="15" customWidth="1"/>
    <col min="4624" max="4624" width="7.42578125" style="15" customWidth="1"/>
    <col min="4625" max="4625" width="13.28515625" style="15" customWidth="1"/>
    <col min="4626" max="4626" width="13.42578125" style="15" customWidth="1"/>
    <col min="4627" max="4627" width="10.28515625" style="15" customWidth="1"/>
    <col min="4628" max="4628" width="8.5703125" style="15" customWidth="1"/>
    <col min="4629" max="4631" width="9.28515625" style="15" customWidth="1"/>
    <col min="4632" max="4632" width="7.42578125" style="15" customWidth="1"/>
    <col min="4633" max="4633" width="6.5703125" style="15" customWidth="1"/>
    <col min="4634" max="4634" width="8.7109375" style="15" customWidth="1"/>
    <col min="4635" max="4635" width="7" style="15" customWidth="1"/>
    <col min="4636" max="4636" width="6.42578125" style="15" customWidth="1"/>
    <col min="4637" max="4637" width="8.42578125" style="15" customWidth="1"/>
    <col min="4638" max="4638" width="8" style="15" customWidth="1"/>
    <col min="4639" max="4639" width="0" style="15" hidden="1" customWidth="1"/>
    <col min="4640" max="4640" width="10.5703125" style="15" customWidth="1"/>
    <col min="4641" max="4641" width="11.7109375" style="15" customWidth="1"/>
    <col min="4642" max="4642" width="7.85546875" style="15" customWidth="1"/>
    <col min="4643" max="4643" width="10" style="15" customWidth="1"/>
    <col min="4644" max="4864" width="9.140625" style="15"/>
    <col min="4865" max="4865" width="4.42578125" style="15" customWidth="1"/>
    <col min="4866" max="4866" width="5.42578125" style="15" customWidth="1"/>
    <col min="4867" max="4867" width="0" style="15" hidden="1" customWidth="1"/>
    <col min="4868" max="4868" width="23.42578125" style="15" customWidth="1"/>
    <col min="4869" max="4871" width="0" style="15" hidden="1" customWidth="1"/>
    <col min="4872" max="4872" width="14.140625" style="15" customWidth="1"/>
    <col min="4873" max="4873" width="11.85546875" style="15" customWidth="1"/>
    <col min="4874" max="4874" width="10.85546875" style="15" customWidth="1"/>
    <col min="4875" max="4875" width="11.28515625" style="15" customWidth="1"/>
    <col min="4876" max="4876" width="9.7109375" style="15" customWidth="1"/>
    <col min="4877" max="4877" width="9.85546875" style="15" customWidth="1"/>
    <col min="4878" max="4878" width="9.140625" style="15" customWidth="1"/>
    <col min="4879" max="4879" width="8.5703125" style="15" customWidth="1"/>
    <col min="4880" max="4880" width="7.42578125" style="15" customWidth="1"/>
    <col min="4881" max="4881" width="13.28515625" style="15" customWidth="1"/>
    <col min="4882" max="4882" width="13.42578125" style="15" customWidth="1"/>
    <col min="4883" max="4883" width="10.28515625" style="15" customWidth="1"/>
    <col min="4884" max="4884" width="8.5703125" style="15" customWidth="1"/>
    <col min="4885" max="4887" width="9.28515625" style="15" customWidth="1"/>
    <col min="4888" max="4888" width="7.42578125" style="15" customWidth="1"/>
    <col min="4889" max="4889" width="6.5703125" style="15" customWidth="1"/>
    <col min="4890" max="4890" width="8.7109375" style="15" customWidth="1"/>
    <col min="4891" max="4891" width="7" style="15" customWidth="1"/>
    <col min="4892" max="4892" width="6.42578125" style="15" customWidth="1"/>
    <col min="4893" max="4893" width="8.42578125" style="15" customWidth="1"/>
    <col min="4894" max="4894" width="8" style="15" customWidth="1"/>
    <col min="4895" max="4895" width="0" style="15" hidden="1" customWidth="1"/>
    <col min="4896" max="4896" width="10.5703125" style="15" customWidth="1"/>
    <col min="4897" max="4897" width="11.7109375" style="15" customWidth="1"/>
    <col min="4898" max="4898" width="7.85546875" style="15" customWidth="1"/>
    <col min="4899" max="4899" width="10" style="15" customWidth="1"/>
    <col min="4900" max="5120" width="9.140625" style="15"/>
    <col min="5121" max="5121" width="4.42578125" style="15" customWidth="1"/>
    <col min="5122" max="5122" width="5.42578125" style="15" customWidth="1"/>
    <col min="5123" max="5123" width="0" style="15" hidden="1" customWidth="1"/>
    <col min="5124" max="5124" width="23.42578125" style="15" customWidth="1"/>
    <col min="5125" max="5127" width="0" style="15" hidden="1" customWidth="1"/>
    <col min="5128" max="5128" width="14.140625" style="15" customWidth="1"/>
    <col min="5129" max="5129" width="11.85546875" style="15" customWidth="1"/>
    <col min="5130" max="5130" width="10.85546875" style="15" customWidth="1"/>
    <col min="5131" max="5131" width="11.28515625" style="15" customWidth="1"/>
    <col min="5132" max="5132" width="9.7109375" style="15" customWidth="1"/>
    <col min="5133" max="5133" width="9.85546875" style="15" customWidth="1"/>
    <col min="5134" max="5134" width="9.140625" style="15" customWidth="1"/>
    <col min="5135" max="5135" width="8.5703125" style="15" customWidth="1"/>
    <col min="5136" max="5136" width="7.42578125" style="15" customWidth="1"/>
    <col min="5137" max="5137" width="13.28515625" style="15" customWidth="1"/>
    <col min="5138" max="5138" width="13.42578125" style="15" customWidth="1"/>
    <col min="5139" max="5139" width="10.28515625" style="15" customWidth="1"/>
    <col min="5140" max="5140" width="8.5703125" style="15" customWidth="1"/>
    <col min="5141" max="5143" width="9.28515625" style="15" customWidth="1"/>
    <col min="5144" max="5144" width="7.42578125" style="15" customWidth="1"/>
    <col min="5145" max="5145" width="6.5703125" style="15" customWidth="1"/>
    <col min="5146" max="5146" width="8.7109375" style="15" customWidth="1"/>
    <col min="5147" max="5147" width="7" style="15" customWidth="1"/>
    <col min="5148" max="5148" width="6.42578125" style="15" customWidth="1"/>
    <col min="5149" max="5149" width="8.42578125" style="15" customWidth="1"/>
    <col min="5150" max="5150" width="8" style="15" customWidth="1"/>
    <col min="5151" max="5151" width="0" style="15" hidden="1" customWidth="1"/>
    <col min="5152" max="5152" width="10.5703125" style="15" customWidth="1"/>
    <col min="5153" max="5153" width="11.7109375" style="15" customWidth="1"/>
    <col min="5154" max="5154" width="7.85546875" style="15" customWidth="1"/>
    <col min="5155" max="5155" width="10" style="15" customWidth="1"/>
    <col min="5156" max="5376" width="9.140625" style="15"/>
    <col min="5377" max="5377" width="4.42578125" style="15" customWidth="1"/>
    <col min="5378" max="5378" width="5.42578125" style="15" customWidth="1"/>
    <col min="5379" max="5379" width="0" style="15" hidden="1" customWidth="1"/>
    <col min="5380" max="5380" width="23.42578125" style="15" customWidth="1"/>
    <col min="5381" max="5383" width="0" style="15" hidden="1" customWidth="1"/>
    <col min="5384" max="5384" width="14.140625" style="15" customWidth="1"/>
    <col min="5385" max="5385" width="11.85546875" style="15" customWidth="1"/>
    <col min="5386" max="5386" width="10.85546875" style="15" customWidth="1"/>
    <col min="5387" max="5387" width="11.28515625" style="15" customWidth="1"/>
    <col min="5388" max="5388" width="9.7109375" style="15" customWidth="1"/>
    <col min="5389" max="5389" width="9.85546875" style="15" customWidth="1"/>
    <col min="5390" max="5390" width="9.140625" style="15" customWidth="1"/>
    <col min="5391" max="5391" width="8.5703125" style="15" customWidth="1"/>
    <col min="5392" max="5392" width="7.42578125" style="15" customWidth="1"/>
    <col min="5393" max="5393" width="13.28515625" style="15" customWidth="1"/>
    <col min="5394" max="5394" width="13.42578125" style="15" customWidth="1"/>
    <col min="5395" max="5395" width="10.28515625" style="15" customWidth="1"/>
    <col min="5396" max="5396" width="8.5703125" style="15" customWidth="1"/>
    <col min="5397" max="5399" width="9.28515625" style="15" customWidth="1"/>
    <col min="5400" max="5400" width="7.42578125" style="15" customWidth="1"/>
    <col min="5401" max="5401" width="6.5703125" style="15" customWidth="1"/>
    <col min="5402" max="5402" width="8.7109375" style="15" customWidth="1"/>
    <col min="5403" max="5403" width="7" style="15" customWidth="1"/>
    <col min="5404" max="5404" width="6.42578125" style="15" customWidth="1"/>
    <col min="5405" max="5405" width="8.42578125" style="15" customWidth="1"/>
    <col min="5406" max="5406" width="8" style="15" customWidth="1"/>
    <col min="5407" max="5407" width="0" style="15" hidden="1" customWidth="1"/>
    <col min="5408" max="5408" width="10.5703125" style="15" customWidth="1"/>
    <col min="5409" max="5409" width="11.7109375" style="15" customWidth="1"/>
    <col min="5410" max="5410" width="7.85546875" style="15" customWidth="1"/>
    <col min="5411" max="5411" width="10" style="15" customWidth="1"/>
    <col min="5412" max="5632" width="9.140625" style="15"/>
    <col min="5633" max="5633" width="4.42578125" style="15" customWidth="1"/>
    <col min="5634" max="5634" width="5.42578125" style="15" customWidth="1"/>
    <col min="5635" max="5635" width="0" style="15" hidden="1" customWidth="1"/>
    <col min="5636" max="5636" width="23.42578125" style="15" customWidth="1"/>
    <col min="5637" max="5639" width="0" style="15" hidden="1" customWidth="1"/>
    <col min="5640" max="5640" width="14.140625" style="15" customWidth="1"/>
    <col min="5641" max="5641" width="11.85546875" style="15" customWidth="1"/>
    <col min="5642" max="5642" width="10.85546875" style="15" customWidth="1"/>
    <col min="5643" max="5643" width="11.28515625" style="15" customWidth="1"/>
    <col min="5644" max="5644" width="9.7109375" style="15" customWidth="1"/>
    <col min="5645" max="5645" width="9.85546875" style="15" customWidth="1"/>
    <col min="5646" max="5646" width="9.140625" style="15" customWidth="1"/>
    <col min="5647" max="5647" width="8.5703125" style="15" customWidth="1"/>
    <col min="5648" max="5648" width="7.42578125" style="15" customWidth="1"/>
    <col min="5649" max="5649" width="13.28515625" style="15" customWidth="1"/>
    <col min="5650" max="5650" width="13.42578125" style="15" customWidth="1"/>
    <col min="5651" max="5651" width="10.28515625" style="15" customWidth="1"/>
    <col min="5652" max="5652" width="8.5703125" style="15" customWidth="1"/>
    <col min="5653" max="5655" width="9.28515625" style="15" customWidth="1"/>
    <col min="5656" max="5656" width="7.42578125" style="15" customWidth="1"/>
    <col min="5657" max="5657" width="6.5703125" style="15" customWidth="1"/>
    <col min="5658" max="5658" width="8.7109375" style="15" customWidth="1"/>
    <col min="5659" max="5659" width="7" style="15" customWidth="1"/>
    <col min="5660" max="5660" width="6.42578125" style="15" customWidth="1"/>
    <col min="5661" max="5661" width="8.42578125" style="15" customWidth="1"/>
    <col min="5662" max="5662" width="8" style="15" customWidth="1"/>
    <col min="5663" max="5663" width="0" style="15" hidden="1" customWidth="1"/>
    <col min="5664" max="5664" width="10.5703125" style="15" customWidth="1"/>
    <col min="5665" max="5665" width="11.7109375" style="15" customWidth="1"/>
    <col min="5666" max="5666" width="7.85546875" style="15" customWidth="1"/>
    <col min="5667" max="5667" width="10" style="15" customWidth="1"/>
    <col min="5668" max="5888" width="9.140625" style="15"/>
    <col min="5889" max="5889" width="4.42578125" style="15" customWidth="1"/>
    <col min="5890" max="5890" width="5.42578125" style="15" customWidth="1"/>
    <col min="5891" max="5891" width="0" style="15" hidden="1" customWidth="1"/>
    <col min="5892" max="5892" width="23.42578125" style="15" customWidth="1"/>
    <col min="5893" max="5895" width="0" style="15" hidden="1" customWidth="1"/>
    <col min="5896" max="5896" width="14.140625" style="15" customWidth="1"/>
    <col min="5897" max="5897" width="11.85546875" style="15" customWidth="1"/>
    <col min="5898" max="5898" width="10.85546875" style="15" customWidth="1"/>
    <col min="5899" max="5899" width="11.28515625" style="15" customWidth="1"/>
    <col min="5900" max="5900" width="9.7109375" style="15" customWidth="1"/>
    <col min="5901" max="5901" width="9.85546875" style="15" customWidth="1"/>
    <col min="5902" max="5902" width="9.140625" style="15" customWidth="1"/>
    <col min="5903" max="5903" width="8.5703125" style="15" customWidth="1"/>
    <col min="5904" max="5904" width="7.42578125" style="15" customWidth="1"/>
    <col min="5905" max="5905" width="13.28515625" style="15" customWidth="1"/>
    <col min="5906" max="5906" width="13.42578125" style="15" customWidth="1"/>
    <col min="5907" max="5907" width="10.28515625" style="15" customWidth="1"/>
    <col min="5908" max="5908" width="8.5703125" style="15" customWidth="1"/>
    <col min="5909" max="5911" width="9.28515625" style="15" customWidth="1"/>
    <col min="5912" max="5912" width="7.42578125" style="15" customWidth="1"/>
    <col min="5913" max="5913" width="6.5703125" style="15" customWidth="1"/>
    <col min="5914" max="5914" width="8.7109375" style="15" customWidth="1"/>
    <col min="5915" max="5915" width="7" style="15" customWidth="1"/>
    <col min="5916" max="5916" width="6.42578125" style="15" customWidth="1"/>
    <col min="5917" max="5917" width="8.42578125" style="15" customWidth="1"/>
    <col min="5918" max="5918" width="8" style="15" customWidth="1"/>
    <col min="5919" max="5919" width="0" style="15" hidden="1" customWidth="1"/>
    <col min="5920" max="5920" width="10.5703125" style="15" customWidth="1"/>
    <col min="5921" max="5921" width="11.7109375" style="15" customWidth="1"/>
    <col min="5922" max="5922" width="7.85546875" style="15" customWidth="1"/>
    <col min="5923" max="5923" width="10" style="15" customWidth="1"/>
    <col min="5924" max="6144" width="9.140625" style="15"/>
    <col min="6145" max="6145" width="4.42578125" style="15" customWidth="1"/>
    <col min="6146" max="6146" width="5.42578125" style="15" customWidth="1"/>
    <col min="6147" max="6147" width="0" style="15" hidden="1" customWidth="1"/>
    <col min="6148" max="6148" width="23.42578125" style="15" customWidth="1"/>
    <col min="6149" max="6151" width="0" style="15" hidden="1" customWidth="1"/>
    <col min="6152" max="6152" width="14.140625" style="15" customWidth="1"/>
    <col min="6153" max="6153" width="11.85546875" style="15" customWidth="1"/>
    <col min="6154" max="6154" width="10.85546875" style="15" customWidth="1"/>
    <col min="6155" max="6155" width="11.28515625" style="15" customWidth="1"/>
    <col min="6156" max="6156" width="9.7109375" style="15" customWidth="1"/>
    <col min="6157" max="6157" width="9.85546875" style="15" customWidth="1"/>
    <col min="6158" max="6158" width="9.140625" style="15" customWidth="1"/>
    <col min="6159" max="6159" width="8.5703125" style="15" customWidth="1"/>
    <col min="6160" max="6160" width="7.42578125" style="15" customWidth="1"/>
    <col min="6161" max="6161" width="13.28515625" style="15" customWidth="1"/>
    <col min="6162" max="6162" width="13.42578125" style="15" customWidth="1"/>
    <col min="6163" max="6163" width="10.28515625" style="15" customWidth="1"/>
    <col min="6164" max="6164" width="8.5703125" style="15" customWidth="1"/>
    <col min="6165" max="6167" width="9.28515625" style="15" customWidth="1"/>
    <col min="6168" max="6168" width="7.42578125" style="15" customWidth="1"/>
    <col min="6169" max="6169" width="6.5703125" style="15" customWidth="1"/>
    <col min="6170" max="6170" width="8.7109375" style="15" customWidth="1"/>
    <col min="6171" max="6171" width="7" style="15" customWidth="1"/>
    <col min="6172" max="6172" width="6.42578125" style="15" customWidth="1"/>
    <col min="6173" max="6173" width="8.42578125" style="15" customWidth="1"/>
    <col min="6174" max="6174" width="8" style="15" customWidth="1"/>
    <col min="6175" max="6175" width="0" style="15" hidden="1" customWidth="1"/>
    <col min="6176" max="6176" width="10.5703125" style="15" customWidth="1"/>
    <col min="6177" max="6177" width="11.7109375" style="15" customWidth="1"/>
    <col min="6178" max="6178" width="7.85546875" style="15" customWidth="1"/>
    <col min="6179" max="6179" width="10" style="15" customWidth="1"/>
    <col min="6180" max="6400" width="9.140625" style="15"/>
    <col min="6401" max="6401" width="4.42578125" style="15" customWidth="1"/>
    <col min="6402" max="6402" width="5.42578125" style="15" customWidth="1"/>
    <col min="6403" max="6403" width="0" style="15" hidden="1" customWidth="1"/>
    <col min="6404" max="6404" width="23.42578125" style="15" customWidth="1"/>
    <col min="6405" max="6407" width="0" style="15" hidden="1" customWidth="1"/>
    <col min="6408" max="6408" width="14.140625" style="15" customWidth="1"/>
    <col min="6409" max="6409" width="11.85546875" style="15" customWidth="1"/>
    <col min="6410" max="6410" width="10.85546875" style="15" customWidth="1"/>
    <col min="6411" max="6411" width="11.28515625" style="15" customWidth="1"/>
    <col min="6412" max="6412" width="9.7109375" style="15" customWidth="1"/>
    <col min="6413" max="6413" width="9.85546875" style="15" customWidth="1"/>
    <col min="6414" max="6414" width="9.140625" style="15" customWidth="1"/>
    <col min="6415" max="6415" width="8.5703125" style="15" customWidth="1"/>
    <col min="6416" max="6416" width="7.42578125" style="15" customWidth="1"/>
    <col min="6417" max="6417" width="13.28515625" style="15" customWidth="1"/>
    <col min="6418" max="6418" width="13.42578125" style="15" customWidth="1"/>
    <col min="6419" max="6419" width="10.28515625" style="15" customWidth="1"/>
    <col min="6420" max="6420" width="8.5703125" style="15" customWidth="1"/>
    <col min="6421" max="6423" width="9.28515625" style="15" customWidth="1"/>
    <col min="6424" max="6424" width="7.42578125" style="15" customWidth="1"/>
    <col min="6425" max="6425" width="6.5703125" style="15" customWidth="1"/>
    <col min="6426" max="6426" width="8.7109375" style="15" customWidth="1"/>
    <col min="6427" max="6427" width="7" style="15" customWidth="1"/>
    <col min="6428" max="6428" width="6.42578125" style="15" customWidth="1"/>
    <col min="6429" max="6429" width="8.42578125" style="15" customWidth="1"/>
    <col min="6430" max="6430" width="8" style="15" customWidth="1"/>
    <col min="6431" max="6431" width="0" style="15" hidden="1" customWidth="1"/>
    <col min="6432" max="6432" width="10.5703125" style="15" customWidth="1"/>
    <col min="6433" max="6433" width="11.7109375" style="15" customWidth="1"/>
    <col min="6434" max="6434" width="7.85546875" style="15" customWidth="1"/>
    <col min="6435" max="6435" width="10" style="15" customWidth="1"/>
    <col min="6436" max="6656" width="9.140625" style="15"/>
    <col min="6657" max="6657" width="4.42578125" style="15" customWidth="1"/>
    <col min="6658" max="6658" width="5.42578125" style="15" customWidth="1"/>
    <col min="6659" max="6659" width="0" style="15" hidden="1" customWidth="1"/>
    <col min="6660" max="6660" width="23.42578125" style="15" customWidth="1"/>
    <col min="6661" max="6663" width="0" style="15" hidden="1" customWidth="1"/>
    <col min="6664" max="6664" width="14.140625" style="15" customWidth="1"/>
    <col min="6665" max="6665" width="11.85546875" style="15" customWidth="1"/>
    <col min="6666" max="6666" width="10.85546875" style="15" customWidth="1"/>
    <col min="6667" max="6667" width="11.28515625" style="15" customWidth="1"/>
    <col min="6668" max="6668" width="9.7109375" style="15" customWidth="1"/>
    <col min="6669" max="6669" width="9.85546875" style="15" customWidth="1"/>
    <col min="6670" max="6670" width="9.140625" style="15" customWidth="1"/>
    <col min="6671" max="6671" width="8.5703125" style="15" customWidth="1"/>
    <col min="6672" max="6672" width="7.42578125" style="15" customWidth="1"/>
    <col min="6673" max="6673" width="13.28515625" style="15" customWidth="1"/>
    <col min="6674" max="6674" width="13.42578125" style="15" customWidth="1"/>
    <col min="6675" max="6675" width="10.28515625" style="15" customWidth="1"/>
    <col min="6676" max="6676" width="8.5703125" style="15" customWidth="1"/>
    <col min="6677" max="6679" width="9.28515625" style="15" customWidth="1"/>
    <col min="6680" max="6680" width="7.42578125" style="15" customWidth="1"/>
    <col min="6681" max="6681" width="6.5703125" style="15" customWidth="1"/>
    <col min="6682" max="6682" width="8.7109375" style="15" customWidth="1"/>
    <col min="6683" max="6683" width="7" style="15" customWidth="1"/>
    <col min="6684" max="6684" width="6.42578125" style="15" customWidth="1"/>
    <col min="6685" max="6685" width="8.42578125" style="15" customWidth="1"/>
    <col min="6686" max="6686" width="8" style="15" customWidth="1"/>
    <col min="6687" max="6687" width="0" style="15" hidden="1" customWidth="1"/>
    <col min="6688" max="6688" width="10.5703125" style="15" customWidth="1"/>
    <col min="6689" max="6689" width="11.7109375" style="15" customWidth="1"/>
    <col min="6690" max="6690" width="7.85546875" style="15" customWidth="1"/>
    <col min="6691" max="6691" width="10" style="15" customWidth="1"/>
    <col min="6692" max="6912" width="9.140625" style="15"/>
    <col min="6913" max="6913" width="4.42578125" style="15" customWidth="1"/>
    <col min="6914" max="6914" width="5.42578125" style="15" customWidth="1"/>
    <col min="6915" max="6915" width="0" style="15" hidden="1" customWidth="1"/>
    <col min="6916" max="6916" width="23.42578125" style="15" customWidth="1"/>
    <col min="6917" max="6919" width="0" style="15" hidden="1" customWidth="1"/>
    <col min="6920" max="6920" width="14.140625" style="15" customWidth="1"/>
    <col min="6921" max="6921" width="11.85546875" style="15" customWidth="1"/>
    <col min="6922" max="6922" width="10.85546875" style="15" customWidth="1"/>
    <col min="6923" max="6923" width="11.28515625" style="15" customWidth="1"/>
    <col min="6924" max="6924" width="9.7109375" style="15" customWidth="1"/>
    <col min="6925" max="6925" width="9.85546875" style="15" customWidth="1"/>
    <col min="6926" max="6926" width="9.140625" style="15" customWidth="1"/>
    <col min="6927" max="6927" width="8.5703125" style="15" customWidth="1"/>
    <col min="6928" max="6928" width="7.42578125" style="15" customWidth="1"/>
    <col min="6929" max="6929" width="13.28515625" style="15" customWidth="1"/>
    <col min="6930" max="6930" width="13.42578125" style="15" customWidth="1"/>
    <col min="6931" max="6931" width="10.28515625" style="15" customWidth="1"/>
    <col min="6932" max="6932" width="8.5703125" style="15" customWidth="1"/>
    <col min="6933" max="6935" width="9.28515625" style="15" customWidth="1"/>
    <col min="6936" max="6936" width="7.42578125" style="15" customWidth="1"/>
    <col min="6937" max="6937" width="6.5703125" style="15" customWidth="1"/>
    <col min="6938" max="6938" width="8.7109375" style="15" customWidth="1"/>
    <col min="6939" max="6939" width="7" style="15" customWidth="1"/>
    <col min="6940" max="6940" width="6.42578125" style="15" customWidth="1"/>
    <col min="6941" max="6941" width="8.42578125" style="15" customWidth="1"/>
    <col min="6942" max="6942" width="8" style="15" customWidth="1"/>
    <col min="6943" max="6943" width="0" style="15" hidden="1" customWidth="1"/>
    <col min="6944" max="6944" width="10.5703125" style="15" customWidth="1"/>
    <col min="6945" max="6945" width="11.7109375" style="15" customWidth="1"/>
    <col min="6946" max="6946" width="7.85546875" style="15" customWidth="1"/>
    <col min="6947" max="6947" width="10" style="15" customWidth="1"/>
    <col min="6948" max="7168" width="9.140625" style="15"/>
    <col min="7169" max="7169" width="4.42578125" style="15" customWidth="1"/>
    <col min="7170" max="7170" width="5.42578125" style="15" customWidth="1"/>
    <col min="7171" max="7171" width="0" style="15" hidden="1" customWidth="1"/>
    <col min="7172" max="7172" width="23.42578125" style="15" customWidth="1"/>
    <col min="7173" max="7175" width="0" style="15" hidden="1" customWidth="1"/>
    <col min="7176" max="7176" width="14.140625" style="15" customWidth="1"/>
    <col min="7177" max="7177" width="11.85546875" style="15" customWidth="1"/>
    <col min="7178" max="7178" width="10.85546875" style="15" customWidth="1"/>
    <col min="7179" max="7179" width="11.28515625" style="15" customWidth="1"/>
    <col min="7180" max="7180" width="9.7109375" style="15" customWidth="1"/>
    <col min="7181" max="7181" width="9.85546875" style="15" customWidth="1"/>
    <col min="7182" max="7182" width="9.140625" style="15" customWidth="1"/>
    <col min="7183" max="7183" width="8.5703125" style="15" customWidth="1"/>
    <col min="7184" max="7184" width="7.42578125" style="15" customWidth="1"/>
    <col min="7185" max="7185" width="13.28515625" style="15" customWidth="1"/>
    <col min="7186" max="7186" width="13.42578125" style="15" customWidth="1"/>
    <col min="7187" max="7187" width="10.28515625" style="15" customWidth="1"/>
    <col min="7188" max="7188" width="8.5703125" style="15" customWidth="1"/>
    <col min="7189" max="7191" width="9.28515625" style="15" customWidth="1"/>
    <col min="7192" max="7192" width="7.42578125" style="15" customWidth="1"/>
    <col min="7193" max="7193" width="6.5703125" style="15" customWidth="1"/>
    <col min="7194" max="7194" width="8.7109375" style="15" customWidth="1"/>
    <col min="7195" max="7195" width="7" style="15" customWidth="1"/>
    <col min="7196" max="7196" width="6.42578125" style="15" customWidth="1"/>
    <col min="7197" max="7197" width="8.42578125" style="15" customWidth="1"/>
    <col min="7198" max="7198" width="8" style="15" customWidth="1"/>
    <col min="7199" max="7199" width="0" style="15" hidden="1" customWidth="1"/>
    <col min="7200" max="7200" width="10.5703125" style="15" customWidth="1"/>
    <col min="7201" max="7201" width="11.7109375" style="15" customWidth="1"/>
    <col min="7202" max="7202" width="7.85546875" style="15" customWidth="1"/>
    <col min="7203" max="7203" width="10" style="15" customWidth="1"/>
    <col min="7204" max="7424" width="9.140625" style="15"/>
    <col min="7425" max="7425" width="4.42578125" style="15" customWidth="1"/>
    <col min="7426" max="7426" width="5.42578125" style="15" customWidth="1"/>
    <col min="7427" max="7427" width="0" style="15" hidden="1" customWidth="1"/>
    <col min="7428" max="7428" width="23.42578125" style="15" customWidth="1"/>
    <col min="7429" max="7431" width="0" style="15" hidden="1" customWidth="1"/>
    <col min="7432" max="7432" width="14.140625" style="15" customWidth="1"/>
    <col min="7433" max="7433" width="11.85546875" style="15" customWidth="1"/>
    <col min="7434" max="7434" width="10.85546875" style="15" customWidth="1"/>
    <col min="7435" max="7435" width="11.28515625" style="15" customWidth="1"/>
    <col min="7436" max="7436" width="9.7109375" style="15" customWidth="1"/>
    <col min="7437" max="7437" width="9.85546875" style="15" customWidth="1"/>
    <col min="7438" max="7438" width="9.140625" style="15" customWidth="1"/>
    <col min="7439" max="7439" width="8.5703125" style="15" customWidth="1"/>
    <col min="7440" max="7440" width="7.42578125" style="15" customWidth="1"/>
    <col min="7441" max="7441" width="13.28515625" style="15" customWidth="1"/>
    <col min="7442" max="7442" width="13.42578125" style="15" customWidth="1"/>
    <col min="7443" max="7443" width="10.28515625" style="15" customWidth="1"/>
    <col min="7444" max="7444" width="8.5703125" style="15" customWidth="1"/>
    <col min="7445" max="7447" width="9.28515625" style="15" customWidth="1"/>
    <col min="7448" max="7448" width="7.42578125" style="15" customWidth="1"/>
    <col min="7449" max="7449" width="6.5703125" style="15" customWidth="1"/>
    <col min="7450" max="7450" width="8.7109375" style="15" customWidth="1"/>
    <col min="7451" max="7451" width="7" style="15" customWidth="1"/>
    <col min="7452" max="7452" width="6.42578125" style="15" customWidth="1"/>
    <col min="7453" max="7453" width="8.42578125" style="15" customWidth="1"/>
    <col min="7454" max="7454" width="8" style="15" customWidth="1"/>
    <col min="7455" max="7455" width="0" style="15" hidden="1" customWidth="1"/>
    <col min="7456" max="7456" width="10.5703125" style="15" customWidth="1"/>
    <col min="7457" max="7457" width="11.7109375" style="15" customWidth="1"/>
    <col min="7458" max="7458" width="7.85546875" style="15" customWidth="1"/>
    <col min="7459" max="7459" width="10" style="15" customWidth="1"/>
    <col min="7460" max="7680" width="9.140625" style="15"/>
    <col min="7681" max="7681" width="4.42578125" style="15" customWidth="1"/>
    <col min="7682" max="7682" width="5.42578125" style="15" customWidth="1"/>
    <col min="7683" max="7683" width="0" style="15" hidden="1" customWidth="1"/>
    <col min="7684" max="7684" width="23.42578125" style="15" customWidth="1"/>
    <col min="7685" max="7687" width="0" style="15" hidden="1" customWidth="1"/>
    <col min="7688" max="7688" width="14.140625" style="15" customWidth="1"/>
    <col min="7689" max="7689" width="11.85546875" style="15" customWidth="1"/>
    <col min="7690" max="7690" width="10.85546875" style="15" customWidth="1"/>
    <col min="7691" max="7691" width="11.28515625" style="15" customWidth="1"/>
    <col min="7692" max="7692" width="9.7109375" style="15" customWidth="1"/>
    <col min="7693" max="7693" width="9.85546875" style="15" customWidth="1"/>
    <col min="7694" max="7694" width="9.140625" style="15" customWidth="1"/>
    <col min="7695" max="7695" width="8.5703125" style="15" customWidth="1"/>
    <col min="7696" max="7696" width="7.42578125" style="15" customWidth="1"/>
    <col min="7697" max="7697" width="13.28515625" style="15" customWidth="1"/>
    <col min="7698" max="7698" width="13.42578125" style="15" customWidth="1"/>
    <col min="7699" max="7699" width="10.28515625" style="15" customWidth="1"/>
    <col min="7700" max="7700" width="8.5703125" style="15" customWidth="1"/>
    <col min="7701" max="7703" width="9.28515625" style="15" customWidth="1"/>
    <col min="7704" max="7704" width="7.42578125" style="15" customWidth="1"/>
    <col min="7705" max="7705" width="6.5703125" style="15" customWidth="1"/>
    <col min="7706" max="7706" width="8.7109375" style="15" customWidth="1"/>
    <col min="7707" max="7707" width="7" style="15" customWidth="1"/>
    <col min="7708" max="7708" width="6.42578125" style="15" customWidth="1"/>
    <col min="7709" max="7709" width="8.42578125" style="15" customWidth="1"/>
    <col min="7710" max="7710" width="8" style="15" customWidth="1"/>
    <col min="7711" max="7711" width="0" style="15" hidden="1" customWidth="1"/>
    <col min="7712" max="7712" width="10.5703125" style="15" customWidth="1"/>
    <col min="7713" max="7713" width="11.7109375" style="15" customWidth="1"/>
    <col min="7714" max="7714" width="7.85546875" style="15" customWidth="1"/>
    <col min="7715" max="7715" width="10" style="15" customWidth="1"/>
    <col min="7716" max="7936" width="9.140625" style="15"/>
    <col min="7937" max="7937" width="4.42578125" style="15" customWidth="1"/>
    <col min="7938" max="7938" width="5.42578125" style="15" customWidth="1"/>
    <col min="7939" max="7939" width="0" style="15" hidden="1" customWidth="1"/>
    <col min="7940" max="7940" width="23.42578125" style="15" customWidth="1"/>
    <col min="7941" max="7943" width="0" style="15" hidden="1" customWidth="1"/>
    <col min="7944" max="7944" width="14.140625" style="15" customWidth="1"/>
    <col min="7945" max="7945" width="11.85546875" style="15" customWidth="1"/>
    <col min="7946" max="7946" width="10.85546875" style="15" customWidth="1"/>
    <col min="7947" max="7947" width="11.28515625" style="15" customWidth="1"/>
    <col min="7948" max="7948" width="9.7109375" style="15" customWidth="1"/>
    <col min="7949" max="7949" width="9.85546875" style="15" customWidth="1"/>
    <col min="7950" max="7950" width="9.140625" style="15" customWidth="1"/>
    <col min="7951" max="7951" width="8.5703125" style="15" customWidth="1"/>
    <col min="7952" max="7952" width="7.42578125" style="15" customWidth="1"/>
    <col min="7953" max="7953" width="13.28515625" style="15" customWidth="1"/>
    <col min="7954" max="7954" width="13.42578125" style="15" customWidth="1"/>
    <col min="7955" max="7955" width="10.28515625" style="15" customWidth="1"/>
    <col min="7956" max="7956" width="8.5703125" style="15" customWidth="1"/>
    <col min="7957" max="7959" width="9.28515625" style="15" customWidth="1"/>
    <col min="7960" max="7960" width="7.42578125" style="15" customWidth="1"/>
    <col min="7961" max="7961" width="6.5703125" style="15" customWidth="1"/>
    <col min="7962" max="7962" width="8.7109375" style="15" customWidth="1"/>
    <col min="7963" max="7963" width="7" style="15" customWidth="1"/>
    <col min="7964" max="7964" width="6.42578125" style="15" customWidth="1"/>
    <col min="7965" max="7965" width="8.42578125" style="15" customWidth="1"/>
    <col min="7966" max="7966" width="8" style="15" customWidth="1"/>
    <col min="7967" max="7967" width="0" style="15" hidden="1" customWidth="1"/>
    <col min="7968" max="7968" width="10.5703125" style="15" customWidth="1"/>
    <col min="7969" max="7969" width="11.7109375" style="15" customWidth="1"/>
    <col min="7970" max="7970" width="7.85546875" style="15" customWidth="1"/>
    <col min="7971" max="7971" width="10" style="15" customWidth="1"/>
    <col min="7972" max="8192" width="9.140625" style="15"/>
    <col min="8193" max="8193" width="4.42578125" style="15" customWidth="1"/>
    <col min="8194" max="8194" width="5.42578125" style="15" customWidth="1"/>
    <col min="8195" max="8195" width="0" style="15" hidden="1" customWidth="1"/>
    <col min="8196" max="8196" width="23.42578125" style="15" customWidth="1"/>
    <col min="8197" max="8199" width="0" style="15" hidden="1" customWidth="1"/>
    <col min="8200" max="8200" width="14.140625" style="15" customWidth="1"/>
    <col min="8201" max="8201" width="11.85546875" style="15" customWidth="1"/>
    <col min="8202" max="8202" width="10.85546875" style="15" customWidth="1"/>
    <col min="8203" max="8203" width="11.28515625" style="15" customWidth="1"/>
    <col min="8204" max="8204" width="9.7109375" style="15" customWidth="1"/>
    <col min="8205" max="8205" width="9.85546875" style="15" customWidth="1"/>
    <col min="8206" max="8206" width="9.140625" style="15" customWidth="1"/>
    <col min="8207" max="8207" width="8.5703125" style="15" customWidth="1"/>
    <col min="8208" max="8208" width="7.42578125" style="15" customWidth="1"/>
    <col min="8209" max="8209" width="13.28515625" style="15" customWidth="1"/>
    <col min="8210" max="8210" width="13.42578125" style="15" customWidth="1"/>
    <col min="8211" max="8211" width="10.28515625" style="15" customWidth="1"/>
    <col min="8212" max="8212" width="8.5703125" style="15" customWidth="1"/>
    <col min="8213" max="8215" width="9.28515625" style="15" customWidth="1"/>
    <col min="8216" max="8216" width="7.42578125" style="15" customWidth="1"/>
    <col min="8217" max="8217" width="6.5703125" style="15" customWidth="1"/>
    <col min="8218" max="8218" width="8.7109375" style="15" customWidth="1"/>
    <col min="8219" max="8219" width="7" style="15" customWidth="1"/>
    <col min="8220" max="8220" width="6.42578125" style="15" customWidth="1"/>
    <col min="8221" max="8221" width="8.42578125" style="15" customWidth="1"/>
    <col min="8222" max="8222" width="8" style="15" customWidth="1"/>
    <col min="8223" max="8223" width="0" style="15" hidden="1" customWidth="1"/>
    <col min="8224" max="8224" width="10.5703125" style="15" customWidth="1"/>
    <col min="8225" max="8225" width="11.7109375" style="15" customWidth="1"/>
    <col min="8226" max="8226" width="7.85546875" style="15" customWidth="1"/>
    <col min="8227" max="8227" width="10" style="15" customWidth="1"/>
    <col min="8228" max="8448" width="9.140625" style="15"/>
    <col min="8449" max="8449" width="4.42578125" style="15" customWidth="1"/>
    <col min="8450" max="8450" width="5.42578125" style="15" customWidth="1"/>
    <col min="8451" max="8451" width="0" style="15" hidden="1" customWidth="1"/>
    <col min="8452" max="8452" width="23.42578125" style="15" customWidth="1"/>
    <col min="8453" max="8455" width="0" style="15" hidden="1" customWidth="1"/>
    <col min="8456" max="8456" width="14.140625" style="15" customWidth="1"/>
    <col min="8457" max="8457" width="11.85546875" style="15" customWidth="1"/>
    <col min="8458" max="8458" width="10.85546875" style="15" customWidth="1"/>
    <col min="8459" max="8459" width="11.28515625" style="15" customWidth="1"/>
    <col min="8460" max="8460" width="9.7109375" style="15" customWidth="1"/>
    <col min="8461" max="8461" width="9.85546875" style="15" customWidth="1"/>
    <col min="8462" max="8462" width="9.140625" style="15" customWidth="1"/>
    <col min="8463" max="8463" width="8.5703125" style="15" customWidth="1"/>
    <col min="8464" max="8464" width="7.42578125" style="15" customWidth="1"/>
    <col min="8465" max="8465" width="13.28515625" style="15" customWidth="1"/>
    <col min="8466" max="8466" width="13.42578125" style="15" customWidth="1"/>
    <col min="8467" max="8467" width="10.28515625" style="15" customWidth="1"/>
    <col min="8468" max="8468" width="8.5703125" style="15" customWidth="1"/>
    <col min="8469" max="8471" width="9.28515625" style="15" customWidth="1"/>
    <col min="8472" max="8472" width="7.42578125" style="15" customWidth="1"/>
    <col min="8473" max="8473" width="6.5703125" style="15" customWidth="1"/>
    <col min="8474" max="8474" width="8.7109375" style="15" customWidth="1"/>
    <col min="8475" max="8475" width="7" style="15" customWidth="1"/>
    <col min="8476" max="8476" width="6.42578125" style="15" customWidth="1"/>
    <col min="8477" max="8477" width="8.42578125" style="15" customWidth="1"/>
    <col min="8478" max="8478" width="8" style="15" customWidth="1"/>
    <col min="8479" max="8479" width="0" style="15" hidden="1" customWidth="1"/>
    <col min="8480" max="8480" width="10.5703125" style="15" customWidth="1"/>
    <col min="8481" max="8481" width="11.7109375" style="15" customWidth="1"/>
    <col min="8482" max="8482" width="7.85546875" style="15" customWidth="1"/>
    <col min="8483" max="8483" width="10" style="15" customWidth="1"/>
    <col min="8484" max="8704" width="9.140625" style="15"/>
    <col min="8705" max="8705" width="4.42578125" style="15" customWidth="1"/>
    <col min="8706" max="8706" width="5.42578125" style="15" customWidth="1"/>
    <col min="8707" max="8707" width="0" style="15" hidden="1" customWidth="1"/>
    <col min="8708" max="8708" width="23.42578125" style="15" customWidth="1"/>
    <col min="8709" max="8711" width="0" style="15" hidden="1" customWidth="1"/>
    <col min="8712" max="8712" width="14.140625" style="15" customWidth="1"/>
    <col min="8713" max="8713" width="11.85546875" style="15" customWidth="1"/>
    <col min="8714" max="8714" width="10.85546875" style="15" customWidth="1"/>
    <col min="8715" max="8715" width="11.28515625" style="15" customWidth="1"/>
    <col min="8716" max="8716" width="9.7109375" style="15" customWidth="1"/>
    <col min="8717" max="8717" width="9.85546875" style="15" customWidth="1"/>
    <col min="8718" max="8718" width="9.140625" style="15" customWidth="1"/>
    <col min="8719" max="8719" width="8.5703125" style="15" customWidth="1"/>
    <col min="8720" max="8720" width="7.42578125" style="15" customWidth="1"/>
    <col min="8721" max="8721" width="13.28515625" style="15" customWidth="1"/>
    <col min="8722" max="8722" width="13.42578125" style="15" customWidth="1"/>
    <col min="8723" max="8723" width="10.28515625" style="15" customWidth="1"/>
    <col min="8724" max="8724" width="8.5703125" style="15" customWidth="1"/>
    <col min="8725" max="8727" width="9.28515625" style="15" customWidth="1"/>
    <col min="8728" max="8728" width="7.42578125" style="15" customWidth="1"/>
    <col min="8729" max="8729" width="6.5703125" style="15" customWidth="1"/>
    <col min="8730" max="8730" width="8.7109375" style="15" customWidth="1"/>
    <col min="8731" max="8731" width="7" style="15" customWidth="1"/>
    <col min="8732" max="8732" width="6.42578125" style="15" customWidth="1"/>
    <col min="8733" max="8733" width="8.42578125" style="15" customWidth="1"/>
    <col min="8734" max="8734" width="8" style="15" customWidth="1"/>
    <col min="8735" max="8735" width="0" style="15" hidden="1" customWidth="1"/>
    <col min="8736" max="8736" width="10.5703125" style="15" customWidth="1"/>
    <col min="8737" max="8737" width="11.7109375" style="15" customWidth="1"/>
    <col min="8738" max="8738" width="7.85546875" style="15" customWidth="1"/>
    <col min="8739" max="8739" width="10" style="15" customWidth="1"/>
    <col min="8740" max="8960" width="9.140625" style="15"/>
    <col min="8961" max="8961" width="4.42578125" style="15" customWidth="1"/>
    <col min="8962" max="8962" width="5.42578125" style="15" customWidth="1"/>
    <col min="8963" max="8963" width="0" style="15" hidden="1" customWidth="1"/>
    <col min="8964" max="8964" width="23.42578125" style="15" customWidth="1"/>
    <col min="8965" max="8967" width="0" style="15" hidden="1" customWidth="1"/>
    <col min="8968" max="8968" width="14.140625" style="15" customWidth="1"/>
    <col min="8969" max="8969" width="11.85546875" style="15" customWidth="1"/>
    <col min="8970" max="8970" width="10.85546875" style="15" customWidth="1"/>
    <col min="8971" max="8971" width="11.28515625" style="15" customWidth="1"/>
    <col min="8972" max="8972" width="9.7109375" style="15" customWidth="1"/>
    <col min="8973" max="8973" width="9.85546875" style="15" customWidth="1"/>
    <col min="8974" max="8974" width="9.140625" style="15" customWidth="1"/>
    <col min="8975" max="8975" width="8.5703125" style="15" customWidth="1"/>
    <col min="8976" max="8976" width="7.42578125" style="15" customWidth="1"/>
    <col min="8977" max="8977" width="13.28515625" style="15" customWidth="1"/>
    <col min="8978" max="8978" width="13.42578125" style="15" customWidth="1"/>
    <col min="8979" max="8979" width="10.28515625" style="15" customWidth="1"/>
    <col min="8980" max="8980" width="8.5703125" style="15" customWidth="1"/>
    <col min="8981" max="8983" width="9.28515625" style="15" customWidth="1"/>
    <col min="8984" max="8984" width="7.42578125" style="15" customWidth="1"/>
    <col min="8985" max="8985" width="6.5703125" style="15" customWidth="1"/>
    <col min="8986" max="8986" width="8.7109375" style="15" customWidth="1"/>
    <col min="8987" max="8987" width="7" style="15" customWidth="1"/>
    <col min="8988" max="8988" width="6.42578125" style="15" customWidth="1"/>
    <col min="8989" max="8989" width="8.42578125" style="15" customWidth="1"/>
    <col min="8990" max="8990" width="8" style="15" customWidth="1"/>
    <col min="8991" max="8991" width="0" style="15" hidden="1" customWidth="1"/>
    <col min="8992" max="8992" width="10.5703125" style="15" customWidth="1"/>
    <col min="8993" max="8993" width="11.7109375" style="15" customWidth="1"/>
    <col min="8994" max="8994" width="7.85546875" style="15" customWidth="1"/>
    <col min="8995" max="8995" width="10" style="15" customWidth="1"/>
    <col min="8996" max="9216" width="9.140625" style="15"/>
    <col min="9217" max="9217" width="4.42578125" style="15" customWidth="1"/>
    <col min="9218" max="9218" width="5.42578125" style="15" customWidth="1"/>
    <col min="9219" max="9219" width="0" style="15" hidden="1" customWidth="1"/>
    <col min="9220" max="9220" width="23.42578125" style="15" customWidth="1"/>
    <col min="9221" max="9223" width="0" style="15" hidden="1" customWidth="1"/>
    <col min="9224" max="9224" width="14.140625" style="15" customWidth="1"/>
    <col min="9225" max="9225" width="11.85546875" style="15" customWidth="1"/>
    <col min="9226" max="9226" width="10.85546875" style="15" customWidth="1"/>
    <col min="9227" max="9227" width="11.28515625" style="15" customWidth="1"/>
    <col min="9228" max="9228" width="9.7109375" style="15" customWidth="1"/>
    <col min="9229" max="9229" width="9.85546875" style="15" customWidth="1"/>
    <col min="9230" max="9230" width="9.140625" style="15" customWidth="1"/>
    <col min="9231" max="9231" width="8.5703125" style="15" customWidth="1"/>
    <col min="9232" max="9232" width="7.42578125" style="15" customWidth="1"/>
    <col min="9233" max="9233" width="13.28515625" style="15" customWidth="1"/>
    <col min="9234" max="9234" width="13.42578125" style="15" customWidth="1"/>
    <col min="9235" max="9235" width="10.28515625" style="15" customWidth="1"/>
    <col min="9236" max="9236" width="8.5703125" style="15" customWidth="1"/>
    <col min="9237" max="9239" width="9.28515625" style="15" customWidth="1"/>
    <col min="9240" max="9240" width="7.42578125" style="15" customWidth="1"/>
    <col min="9241" max="9241" width="6.5703125" style="15" customWidth="1"/>
    <col min="9242" max="9242" width="8.7109375" style="15" customWidth="1"/>
    <col min="9243" max="9243" width="7" style="15" customWidth="1"/>
    <col min="9244" max="9244" width="6.42578125" style="15" customWidth="1"/>
    <col min="9245" max="9245" width="8.42578125" style="15" customWidth="1"/>
    <col min="9246" max="9246" width="8" style="15" customWidth="1"/>
    <col min="9247" max="9247" width="0" style="15" hidden="1" customWidth="1"/>
    <col min="9248" max="9248" width="10.5703125" style="15" customWidth="1"/>
    <col min="9249" max="9249" width="11.7109375" style="15" customWidth="1"/>
    <col min="9250" max="9250" width="7.85546875" style="15" customWidth="1"/>
    <col min="9251" max="9251" width="10" style="15" customWidth="1"/>
    <col min="9252" max="9472" width="9.140625" style="15"/>
    <col min="9473" max="9473" width="4.42578125" style="15" customWidth="1"/>
    <col min="9474" max="9474" width="5.42578125" style="15" customWidth="1"/>
    <col min="9475" max="9475" width="0" style="15" hidden="1" customWidth="1"/>
    <col min="9476" max="9476" width="23.42578125" style="15" customWidth="1"/>
    <col min="9477" max="9479" width="0" style="15" hidden="1" customWidth="1"/>
    <col min="9480" max="9480" width="14.140625" style="15" customWidth="1"/>
    <col min="9481" max="9481" width="11.85546875" style="15" customWidth="1"/>
    <col min="9482" max="9482" width="10.85546875" style="15" customWidth="1"/>
    <col min="9483" max="9483" width="11.28515625" style="15" customWidth="1"/>
    <col min="9484" max="9484" width="9.7109375" style="15" customWidth="1"/>
    <col min="9485" max="9485" width="9.85546875" style="15" customWidth="1"/>
    <col min="9486" max="9486" width="9.140625" style="15" customWidth="1"/>
    <col min="9487" max="9487" width="8.5703125" style="15" customWidth="1"/>
    <col min="9488" max="9488" width="7.42578125" style="15" customWidth="1"/>
    <col min="9489" max="9489" width="13.28515625" style="15" customWidth="1"/>
    <col min="9490" max="9490" width="13.42578125" style="15" customWidth="1"/>
    <col min="9491" max="9491" width="10.28515625" style="15" customWidth="1"/>
    <col min="9492" max="9492" width="8.5703125" style="15" customWidth="1"/>
    <col min="9493" max="9495" width="9.28515625" style="15" customWidth="1"/>
    <col min="9496" max="9496" width="7.42578125" style="15" customWidth="1"/>
    <col min="9497" max="9497" width="6.5703125" style="15" customWidth="1"/>
    <col min="9498" max="9498" width="8.7109375" style="15" customWidth="1"/>
    <col min="9499" max="9499" width="7" style="15" customWidth="1"/>
    <col min="9500" max="9500" width="6.42578125" style="15" customWidth="1"/>
    <col min="9501" max="9501" width="8.42578125" style="15" customWidth="1"/>
    <col min="9502" max="9502" width="8" style="15" customWidth="1"/>
    <col min="9503" max="9503" width="0" style="15" hidden="1" customWidth="1"/>
    <col min="9504" max="9504" width="10.5703125" style="15" customWidth="1"/>
    <col min="9505" max="9505" width="11.7109375" style="15" customWidth="1"/>
    <col min="9506" max="9506" width="7.85546875" style="15" customWidth="1"/>
    <col min="9507" max="9507" width="10" style="15" customWidth="1"/>
    <col min="9508" max="9728" width="9.140625" style="15"/>
    <col min="9729" max="9729" width="4.42578125" style="15" customWidth="1"/>
    <col min="9730" max="9730" width="5.42578125" style="15" customWidth="1"/>
    <col min="9731" max="9731" width="0" style="15" hidden="1" customWidth="1"/>
    <col min="9732" max="9732" width="23.42578125" style="15" customWidth="1"/>
    <col min="9733" max="9735" width="0" style="15" hidden="1" customWidth="1"/>
    <col min="9736" max="9736" width="14.140625" style="15" customWidth="1"/>
    <col min="9737" max="9737" width="11.85546875" style="15" customWidth="1"/>
    <col min="9738" max="9738" width="10.85546875" style="15" customWidth="1"/>
    <col min="9739" max="9739" width="11.28515625" style="15" customWidth="1"/>
    <col min="9740" max="9740" width="9.7109375" style="15" customWidth="1"/>
    <col min="9741" max="9741" width="9.85546875" style="15" customWidth="1"/>
    <col min="9742" max="9742" width="9.140625" style="15" customWidth="1"/>
    <col min="9743" max="9743" width="8.5703125" style="15" customWidth="1"/>
    <col min="9744" max="9744" width="7.42578125" style="15" customWidth="1"/>
    <col min="9745" max="9745" width="13.28515625" style="15" customWidth="1"/>
    <col min="9746" max="9746" width="13.42578125" style="15" customWidth="1"/>
    <col min="9747" max="9747" width="10.28515625" style="15" customWidth="1"/>
    <col min="9748" max="9748" width="8.5703125" style="15" customWidth="1"/>
    <col min="9749" max="9751" width="9.28515625" style="15" customWidth="1"/>
    <col min="9752" max="9752" width="7.42578125" style="15" customWidth="1"/>
    <col min="9753" max="9753" width="6.5703125" style="15" customWidth="1"/>
    <col min="9754" max="9754" width="8.7109375" style="15" customWidth="1"/>
    <col min="9755" max="9755" width="7" style="15" customWidth="1"/>
    <col min="9756" max="9756" width="6.42578125" style="15" customWidth="1"/>
    <col min="9757" max="9757" width="8.42578125" style="15" customWidth="1"/>
    <col min="9758" max="9758" width="8" style="15" customWidth="1"/>
    <col min="9759" max="9759" width="0" style="15" hidden="1" customWidth="1"/>
    <col min="9760" max="9760" width="10.5703125" style="15" customWidth="1"/>
    <col min="9761" max="9761" width="11.7109375" style="15" customWidth="1"/>
    <col min="9762" max="9762" width="7.85546875" style="15" customWidth="1"/>
    <col min="9763" max="9763" width="10" style="15" customWidth="1"/>
    <col min="9764" max="9984" width="9.140625" style="15"/>
    <col min="9985" max="9985" width="4.42578125" style="15" customWidth="1"/>
    <col min="9986" max="9986" width="5.42578125" style="15" customWidth="1"/>
    <col min="9987" max="9987" width="0" style="15" hidden="1" customWidth="1"/>
    <col min="9988" max="9988" width="23.42578125" style="15" customWidth="1"/>
    <col min="9989" max="9991" width="0" style="15" hidden="1" customWidth="1"/>
    <col min="9992" max="9992" width="14.140625" style="15" customWidth="1"/>
    <col min="9993" max="9993" width="11.85546875" style="15" customWidth="1"/>
    <col min="9994" max="9994" width="10.85546875" style="15" customWidth="1"/>
    <col min="9995" max="9995" width="11.28515625" style="15" customWidth="1"/>
    <col min="9996" max="9996" width="9.7109375" style="15" customWidth="1"/>
    <col min="9997" max="9997" width="9.85546875" style="15" customWidth="1"/>
    <col min="9998" max="9998" width="9.140625" style="15" customWidth="1"/>
    <col min="9999" max="9999" width="8.5703125" style="15" customWidth="1"/>
    <col min="10000" max="10000" width="7.42578125" style="15" customWidth="1"/>
    <col min="10001" max="10001" width="13.28515625" style="15" customWidth="1"/>
    <col min="10002" max="10002" width="13.42578125" style="15" customWidth="1"/>
    <col min="10003" max="10003" width="10.28515625" style="15" customWidth="1"/>
    <col min="10004" max="10004" width="8.5703125" style="15" customWidth="1"/>
    <col min="10005" max="10007" width="9.28515625" style="15" customWidth="1"/>
    <col min="10008" max="10008" width="7.42578125" style="15" customWidth="1"/>
    <col min="10009" max="10009" width="6.5703125" style="15" customWidth="1"/>
    <col min="10010" max="10010" width="8.7109375" style="15" customWidth="1"/>
    <col min="10011" max="10011" width="7" style="15" customWidth="1"/>
    <col min="10012" max="10012" width="6.42578125" style="15" customWidth="1"/>
    <col min="10013" max="10013" width="8.42578125" style="15" customWidth="1"/>
    <col min="10014" max="10014" width="8" style="15" customWidth="1"/>
    <col min="10015" max="10015" width="0" style="15" hidden="1" customWidth="1"/>
    <col min="10016" max="10016" width="10.5703125" style="15" customWidth="1"/>
    <col min="10017" max="10017" width="11.7109375" style="15" customWidth="1"/>
    <col min="10018" max="10018" width="7.85546875" style="15" customWidth="1"/>
    <col min="10019" max="10019" width="10" style="15" customWidth="1"/>
    <col min="10020" max="10240" width="9.140625" style="15"/>
    <col min="10241" max="10241" width="4.42578125" style="15" customWidth="1"/>
    <col min="10242" max="10242" width="5.42578125" style="15" customWidth="1"/>
    <col min="10243" max="10243" width="0" style="15" hidden="1" customWidth="1"/>
    <col min="10244" max="10244" width="23.42578125" style="15" customWidth="1"/>
    <col min="10245" max="10247" width="0" style="15" hidden="1" customWidth="1"/>
    <col min="10248" max="10248" width="14.140625" style="15" customWidth="1"/>
    <col min="10249" max="10249" width="11.85546875" style="15" customWidth="1"/>
    <col min="10250" max="10250" width="10.85546875" style="15" customWidth="1"/>
    <col min="10251" max="10251" width="11.28515625" style="15" customWidth="1"/>
    <col min="10252" max="10252" width="9.7109375" style="15" customWidth="1"/>
    <col min="10253" max="10253" width="9.85546875" style="15" customWidth="1"/>
    <col min="10254" max="10254" width="9.140625" style="15" customWidth="1"/>
    <col min="10255" max="10255" width="8.5703125" style="15" customWidth="1"/>
    <col min="10256" max="10256" width="7.42578125" style="15" customWidth="1"/>
    <col min="10257" max="10257" width="13.28515625" style="15" customWidth="1"/>
    <col min="10258" max="10258" width="13.42578125" style="15" customWidth="1"/>
    <col min="10259" max="10259" width="10.28515625" style="15" customWidth="1"/>
    <col min="10260" max="10260" width="8.5703125" style="15" customWidth="1"/>
    <col min="10261" max="10263" width="9.28515625" style="15" customWidth="1"/>
    <col min="10264" max="10264" width="7.42578125" style="15" customWidth="1"/>
    <col min="10265" max="10265" width="6.5703125" style="15" customWidth="1"/>
    <col min="10266" max="10266" width="8.7109375" style="15" customWidth="1"/>
    <col min="10267" max="10267" width="7" style="15" customWidth="1"/>
    <col min="10268" max="10268" width="6.42578125" style="15" customWidth="1"/>
    <col min="10269" max="10269" width="8.42578125" style="15" customWidth="1"/>
    <col min="10270" max="10270" width="8" style="15" customWidth="1"/>
    <col min="10271" max="10271" width="0" style="15" hidden="1" customWidth="1"/>
    <col min="10272" max="10272" width="10.5703125" style="15" customWidth="1"/>
    <col min="10273" max="10273" width="11.7109375" style="15" customWidth="1"/>
    <col min="10274" max="10274" width="7.85546875" style="15" customWidth="1"/>
    <col min="10275" max="10275" width="10" style="15" customWidth="1"/>
    <col min="10276" max="10496" width="9.140625" style="15"/>
    <col min="10497" max="10497" width="4.42578125" style="15" customWidth="1"/>
    <col min="10498" max="10498" width="5.42578125" style="15" customWidth="1"/>
    <col min="10499" max="10499" width="0" style="15" hidden="1" customWidth="1"/>
    <col min="10500" max="10500" width="23.42578125" style="15" customWidth="1"/>
    <col min="10501" max="10503" width="0" style="15" hidden="1" customWidth="1"/>
    <col min="10504" max="10504" width="14.140625" style="15" customWidth="1"/>
    <col min="10505" max="10505" width="11.85546875" style="15" customWidth="1"/>
    <col min="10506" max="10506" width="10.85546875" style="15" customWidth="1"/>
    <col min="10507" max="10507" width="11.28515625" style="15" customWidth="1"/>
    <col min="10508" max="10508" width="9.7109375" style="15" customWidth="1"/>
    <col min="10509" max="10509" width="9.85546875" style="15" customWidth="1"/>
    <col min="10510" max="10510" width="9.140625" style="15" customWidth="1"/>
    <col min="10511" max="10511" width="8.5703125" style="15" customWidth="1"/>
    <col min="10512" max="10512" width="7.42578125" style="15" customWidth="1"/>
    <col min="10513" max="10513" width="13.28515625" style="15" customWidth="1"/>
    <col min="10514" max="10514" width="13.42578125" style="15" customWidth="1"/>
    <col min="10515" max="10515" width="10.28515625" style="15" customWidth="1"/>
    <col min="10516" max="10516" width="8.5703125" style="15" customWidth="1"/>
    <col min="10517" max="10519" width="9.28515625" style="15" customWidth="1"/>
    <col min="10520" max="10520" width="7.42578125" style="15" customWidth="1"/>
    <col min="10521" max="10521" width="6.5703125" style="15" customWidth="1"/>
    <col min="10522" max="10522" width="8.7109375" style="15" customWidth="1"/>
    <col min="10523" max="10523" width="7" style="15" customWidth="1"/>
    <col min="10524" max="10524" width="6.42578125" style="15" customWidth="1"/>
    <col min="10525" max="10525" width="8.42578125" style="15" customWidth="1"/>
    <col min="10526" max="10526" width="8" style="15" customWidth="1"/>
    <col min="10527" max="10527" width="0" style="15" hidden="1" customWidth="1"/>
    <col min="10528" max="10528" width="10.5703125" style="15" customWidth="1"/>
    <col min="10529" max="10529" width="11.7109375" style="15" customWidth="1"/>
    <col min="10530" max="10530" width="7.85546875" style="15" customWidth="1"/>
    <col min="10531" max="10531" width="10" style="15" customWidth="1"/>
    <col min="10532" max="10752" width="9.140625" style="15"/>
    <col min="10753" max="10753" width="4.42578125" style="15" customWidth="1"/>
    <col min="10754" max="10754" width="5.42578125" style="15" customWidth="1"/>
    <col min="10755" max="10755" width="0" style="15" hidden="1" customWidth="1"/>
    <col min="10756" max="10756" width="23.42578125" style="15" customWidth="1"/>
    <col min="10757" max="10759" width="0" style="15" hidden="1" customWidth="1"/>
    <col min="10760" max="10760" width="14.140625" style="15" customWidth="1"/>
    <col min="10761" max="10761" width="11.85546875" style="15" customWidth="1"/>
    <col min="10762" max="10762" width="10.85546875" style="15" customWidth="1"/>
    <col min="10763" max="10763" width="11.28515625" style="15" customWidth="1"/>
    <col min="10764" max="10764" width="9.7109375" style="15" customWidth="1"/>
    <col min="10765" max="10765" width="9.85546875" style="15" customWidth="1"/>
    <col min="10766" max="10766" width="9.140625" style="15" customWidth="1"/>
    <col min="10767" max="10767" width="8.5703125" style="15" customWidth="1"/>
    <col min="10768" max="10768" width="7.42578125" style="15" customWidth="1"/>
    <col min="10769" max="10769" width="13.28515625" style="15" customWidth="1"/>
    <col min="10770" max="10770" width="13.42578125" style="15" customWidth="1"/>
    <col min="10771" max="10771" width="10.28515625" style="15" customWidth="1"/>
    <col min="10772" max="10772" width="8.5703125" style="15" customWidth="1"/>
    <col min="10773" max="10775" width="9.28515625" style="15" customWidth="1"/>
    <col min="10776" max="10776" width="7.42578125" style="15" customWidth="1"/>
    <col min="10777" max="10777" width="6.5703125" style="15" customWidth="1"/>
    <col min="10778" max="10778" width="8.7109375" style="15" customWidth="1"/>
    <col min="10779" max="10779" width="7" style="15" customWidth="1"/>
    <col min="10780" max="10780" width="6.42578125" style="15" customWidth="1"/>
    <col min="10781" max="10781" width="8.42578125" style="15" customWidth="1"/>
    <col min="10782" max="10782" width="8" style="15" customWidth="1"/>
    <col min="10783" max="10783" width="0" style="15" hidden="1" customWidth="1"/>
    <col min="10784" max="10784" width="10.5703125" style="15" customWidth="1"/>
    <col min="10785" max="10785" width="11.7109375" style="15" customWidth="1"/>
    <col min="10786" max="10786" width="7.85546875" style="15" customWidth="1"/>
    <col min="10787" max="10787" width="10" style="15" customWidth="1"/>
    <col min="10788" max="11008" width="9.140625" style="15"/>
    <col min="11009" max="11009" width="4.42578125" style="15" customWidth="1"/>
    <col min="11010" max="11010" width="5.42578125" style="15" customWidth="1"/>
    <col min="11011" max="11011" width="0" style="15" hidden="1" customWidth="1"/>
    <col min="11012" max="11012" width="23.42578125" style="15" customWidth="1"/>
    <col min="11013" max="11015" width="0" style="15" hidden="1" customWidth="1"/>
    <col min="11016" max="11016" width="14.140625" style="15" customWidth="1"/>
    <col min="11017" max="11017" width="11.85546875" style="15" customWidth="1"/>
    <col min="11018" max="11018" width="10.85546875" style="15" customWidth="1"/>
    <col min="11019" max="11019" width="11.28515625" style="15" customWidth="1"/>
    <col min="11020" max="11020" width="9.7109375" style="15" customWidth="1"/>
    <col min="11021" max="11021" width="9.85546875" style="15" customWidth="1"/>
    <col min="11022" max="11022" width="9.140625" style="15" customWidth="1"/>
    <col min="11023" max="11023" width="8.5703125" style="15" customWidth="1"/>
    <col min="11024" max="11024" width="7.42578125" style="15" customWidth="1"/>
    <col min="11025" max="11025" width="13.28515625" style="15" customWidth="1"/>
    <col min="11026" max="11026" width="13.42578125" style="15" customWidth="1"/>
    <col min="11027" max="11027" width="10.28515625" style="15" customWidth="1"/>
    <col min="11028" max="11028" width="8.5703125" style="15" customWidth="1"/>
    <col min="11029" max="11031" width="9.28515625" style="15" customWidth="1"/>
    <col min="11032" max="11032" width="7.42578125" style="15" customWidth="1"/>
    <col min="11033" max="11033" width="6.5703125" style="15" customWidth="1"/>
    <col min="11034" max="11034" width="8.7109375" style="15" customWidth="1"/>
    <col min="11035" max="11035" width="7" style="15" customWidth="1"/>
    <col min="11036" max="11036" width="6.42578125" style="15" customWidth="1"/>
    <col min="11037" max="11037" width="8.42578125" style="15" customWidth="1"/>
    <col min="11038" max="11038" width="8" style="15" customWidth="1"/>
    <col min="11039" max="11039" width="0" style="15" hidden="1" customWidth="1"/>
    <col min="11040" max="11040" width="10.5703125" style="15" customWidth="1"/>
    <col min="11041" max="11041" width="11.7109375" style="15" customWidth="1"/>
    <col min="11042" max="11042" width="7.85546875" style="15" customWidth="1"/>
    <col min="11043" max="11043" width="10" style="15" customWidth="1"/>
    <col min="11044" max="11264" width="9.140625" style="15"/>
    <col min="11265" max="11265" width="4.42578125" style="15" customWidth="1"/>
    <col min="11266" max="11266" width="5.42578125" style="15" customWidth="1"/>
    <col min="11267" max="11267" width="0" style="15" hidden="1" customWidth="1"/>
    <col min="11268" max="11268" width="23.42578125" style="15" customWidth="1"/>
    <col min="11269" max="11271" width="0" style="15" hidden="1" customWidth="1"/>
    <col min="11272" max="11272" width="14.140625" style="15" customWidth="1"/>
    <col min="11273" max="11273" width="11.85546875" style="15" customWidth="1"/>
    <col min="11274" max="11274" width="10.85546875" style="15" customWidth="1"/>
    <col min="11275" max="11275" width="11.28515625" style="15" customWidth="1"/>
    <col min="11276" max="11276" width="9.7109375" style="15" customWidth="1"/>
    <col min="11277" max="11277" width="9.85546875" style="15" customWidth="1"/>
    <col min="11278" max="11278" width="9.140625" style="15" customWidth="1"/>
    <col min="11279" max="11279" width="8.5703125" style="15" customWidth="1"/>
    <col min="11280" max="11280" width="7.42578125" style="15" customWidth="1"/>
    <col min="11281" max="11281" width="13.28515625" style="15" customWidth="1"/>
    <col min="11282" max="11282" width="13.42578125" style="15" customWidth="1"/>
    <col min="11283" max="11283" width="10.28515625" style="15" customWidth="1"/>
    <col min="11284" max="11284" width="8.5703125" style="15" customWidth="1"/>
    <col min="11285" max="11287" width="9.28515625" style="15" customWidth="1"/>
    <col min="11288" max="11288" width="7.42578125" style="15" customWidth="1"/>
    <col min="11289" max="11289" width="6.5703125" style="15" customWidth="1"/>
    <col min="11290" max="11290" width="8.7109375" style="15" customWidth="1"/>
    <col min="11291" max="11291" width="7" style="15" customWidth="1"/>
    <col min="11292" max="11292" width="6.42578125" style="15" customWidth="1"/>
    <col min="11293" max="11293" width="8.42578125" style="15" customWidth="1"/>
    <col min="11294" max="11294" width="8" style="15" customWidth="1"/>
    <col min="11295" max="11295" width="0" style="15" hidden="1" customWidth="1"/>
    <col min="11296" max="11296" width="10.5703125" style="15" customWidth="1"/>
    <col min="11297" max="11297" width="11.7109375" style="15" customWidth="1"/>
    <col min="11298" max="11298" width="7.85546875" style="15" customWidth="1"/>
    <col min="11299" max="11299" width="10" style="15" customWidth="1"/>
    <col min="11300" max="11520" width="9.140625" style="15"/>
    <col min="11521" max="11521" width="4.42578125" style="15" customWidth="1"/>
    <col min="11522" max="11522" width="5.42578125" style="15" customWidth="1"/>
    <col min="11523" max="11523" width="0" style="15" hidden="1" customWidth="1"/>
    <col min="11524" max="11524" width="23.42578125" style="15" customWidth="1"/>
    <col min="11525" max="11527" width="0" style="15" hidden="1" customWidth="1"/>
    <col min="11528" max="11528" width="14.140625" style="15" customWidth="1"/>
    <col min="11529" max="11529" width="11.85546875" style="15" customWidth="1"/>
    <col min="11530" max="11530" width="10.85546875" style="15" customWidth="1"/>
    <col min="11531" max="11531" width="11.28515625" style="15" customWidth="1"/>
    <col min="11532" max="11532" width="9.7109375" style="15" customWidth="1"/>
    <col min="11533" max="11533" width="9.85546875" style="15" customWidth="1"/>
    <col min="11534" max="11534" width="9.140625" style="15" customWidth="1"/>
    <col min="11535" max="11535" width="8.5703125" style="15" customWidth="1"/>
    <col min="11536" max="11536" width="7.42578125" style="15" customWidth="1"/>
    <col min="11537" max="11537" width="13.28515625" style="15" customWidth="1"/>
    <col min="11538" max="11538" width="13.42578125" style="15" customWidth="1"/>
    <col min="11539" max="11539" width="10.28515625" style="15" customWidth="1"/>
    <col min="11540" max="11540" width="8.5703125" style="15" customWidth="1"/>
    <col min="11541" max="11543" width="9.28515625" style="15" customWidth="1"/>
    <col min="11544" max="11544" width="7.42578125" style="15" customWidth="1"/>
    <col min="11545" max="11545" width="6.5703125" style="15" customWidth="1"/>
    <col min="11546" max="11546" width="8.7109375" style="15" customWidth="1"/>
    <col min="11547" max="11547" width="7" style="15" customWidth="1"/>
    <col min="11548" max="11548" width="6.42578125" style="15" customWidth="1"/>
    <col min="11549" max="11549" width="8.42578125" style="15" customWidth="1"/>
    <col min="11550" max="11550" width="8" style="15" customWidth="1"/>
    <col min="11551" max="11551" width="0" style="15" hidden="1" customWidth="1"/>
    <col min="11552" max="11552" width="10.5703125" style="15" customWidth="1"/>
    <col min="11553" max="11553" width="11.7109375" style="15" customWidth="1"/>
    <col min="11554" max="11554" width="7.85546875" style="15" customWidth="1"/>
    <col min="11555" max="11555" width="10" style="15" customWidth="1"/>
    <col min="11556" max="11776" width="9.140625" style="15"/>
    <col min="11777" max="11777" width="4.42578125" style="15" customWidth="1"/>
    <col min="11778" max="11778" width="5.42578125" style="15" customWidth="1"/>
    <col min="11779" max="11779" width="0" style="15" hidden="1" customWidth="1"/>
    <col min="11780" max="11780" width="23.42578125" style="15" customWidth="1"/>
    <col min="11781" max="11783" width="0" style="15" hidden="1" customWidth="1"/>
    <col min="11784" max="11784" width="14.140625" style="15" customWidth="1"/>
    <col min="11785" max="11785" width="11.85546875" style="15" customWidth="1"/>
    <col min="11786" max="11786" width="10.85546875" style="15" customWidth="1"/>
    <col min="11787" max="11787" width="11.28515625" style="15" customWidth="1"/>
    <col min="11788" max="11788" width="9.7109375" style="15" customWidth="1"/>
    <col min="11789" max="11789" width="9.85546875" style="15" customWidth="1"/>
    <col min="11790" max="11790" width="9.140625" style="15" customWidth="1"/>
    <col min="11791" max="11791" width="8.5703125" style="15" customWidth="1"/>
    <col min="11792" max="11792" width="7.42578125" style="15" customWidth="1"/>
    <col min="11793" max="11793" width="13.28515625" style="15" customWidth="1"/>
    <col min="11794" max="11794" width="13.42578125" style="15" customWidth="1"/>
    <col min="11795" max="11795" width="10.28515625" style="15" customWidth="1"/>
    <col min="11796" max="11796" width="8.5703125" style="15" customWidth="1"/>
    <col min="11797" max="11799" width="9.28515625" style="15" customWidth="1"/>
    <col min="11800" max="11800" width="7.42578125" style="15" customWidth="1"/>
    <col min="11801" max="11801" width="6.5703125" style="15" customWidth="1"/>
    <col min="11802" max="11802" width="8.7109375" style="15" customWidth="1"/>
    <col min="11803" max="11803" width="7" style="15" customWidth="1"/>
    <col min="11804" max="11804" width="6.42578125" style="15" customWidth="1"/>
    <col min="11805" max="11805" width="8.42578125" style="15" customWidth="1"/>
    <col min="11806" max="11806" width="8" style="15" customWidth="1"/>
    <col min="11807" max="11807" width="0" style="15" hidden="1" customWidth="1"/>
    <col min="11808" max="11808" width="10.5703125" style="15" customWidth="1"/>
    <col min="11809" max="11809" width="11.7109375" style="15" customWidth="1"/>
    <col min="11810" max="11810" width="7.85546875" style="15" customWidth="1"/>
    <col min="11811" max="11811" width="10" style="15" customWidth="1"/>
    <col min="11812" max="12032" width="9.140625" style="15"/>
    <col min="12033" max="12033" width="4.42578125" style="15" customWidth="1"/>
    <col min="12034" max="12034" width="5.42578125" style="15" customWidth="1"/>
    <col min="12035" max="12035" width="0" style="15" hidden="1" customWidth="1"/>
    <col min="12036" max="12036" width="23.42578125" style="15" customWidth="1"/>
    <col min="12037" max="12039" width="0" style="15" hidden="1" customWidth="1"/>
    <col min="12040" max="12040" width="14.140625" style="15" customWidth="1"/>
    <col min="12041" max="12041" width="11.85546875" style="15" customWidth="1"/>
    <col min="12042" max="12042" width="10.85546875" style="15" customWidth="1"/>
    <col min="12043" max="12043" width="11.28515625" style="15" customWidth="1"/>
    <col min="12044" max="12044" width="9.7109375" style="15" customWidth="1"/>
    <col min="12045" max="12045" width="9.85546875" style="15" customWidth="1"/>
    <col min="12046" max="12046" width="9.140625" style="15" customWidth="1"/>
    <col min="12047" max="12047" width="8.5703125" style="15" customWidth="1"/>
    <col min="12048" max="12048" width="7.42578125" style="15" customWidth="1"/>
    <col min="12049" max="12049" width="13.28515625" style="15" customWidth="1"/>
    <col min="12050" max="12050" width="13.42578125" style="15" customWidth="1"/>
    <col min="12051" max="12051" width="10.28515625" style="15" customWidth="1"/>
    <col min="12052" max="12052" width="8.5703125" style="15" customWidth="1"/>
    <col min="12053" max="12055" width="9.28515625" style="15" customWidth="1"/>
    <col min="12056" max="12056" width="7.42578125" style="15" customWidth="1"/>
    <col min="12057" max="12057" width="6.5703125" style="15" customWidth="1"/>
    <col min="12058" max="12058" width="8.7109375" style="15" customWidth="1"/>
    <col min="12059" max="12059" width="7" style="15" customWidth="1"/>
    <col min="12060" max="12060" width="6.42578125" style="15" customWidth="1"/>
    <col min="12061" max="12061" width="8.42578125" style="15" customWidth="1"/>
    <col min="12062" max="12062" width="8" style="15" customWidth="1"/>
    <col min="12063" max="12063" width="0" style="15" hidden="1" customWidth="1"/>
    <col min="12064" max="12064" width="10.5703125" style="15" customWidth="1"/>
    <col min="12065" max="12065" width="11.7109375" style="15" customWidth="1"/>
    <col min="12066" max="12066" width="7.85546875" style="15" customWidth="1"/>
    <col min="12067" max="12067" width="10" style="15" customWidth="1"/>
    <col min="12068" max="12288" width="9.140625" style="15"/>
    <col min="12289" max="12289" width="4.42578125" style="15" customWidth="1"/>
    <col min="12290" max="12290" width="5.42578125" style="15" customWidth="1"/>
    <col min="12291" max="12291" width="0" style="15" hidden="1" customWidth="1"/>
    <col min="12292" max="12292" width="23.42578125" style="15" customWidth="1"/>
    <col min="12293" max="12295" width="0" style="15" hidden="1" customWidth="1"/>
    <col min="12296" max="12296" width="14.140625" style="15" customWidth="1"/>
    <col min="12297" max="12297" width="11.85546875" style="15" customWidth="1"/>
    <col min="12298" max="12298" width="10.85546875" style="15" customWidth="1"/>
    <col min="12299" max="12299" width="11.28515625" style="15" customWidth="1"/>
    <col min="12300" max="12300" width="9.7109375" style="15" customWidth="1"/>
    <col min="12301" max="12301" width="9.85546875" style="15" customWidth="1"/>
    <col min="12302" max="12302" width="9.140625" style="15" customWidth="1"/>
    <col min="12303" max="12303" width="8.5703125" style="15" customWidth="1"/>
    <col min="12304" max="12304" width="7.42578125" style="15" customWidth="1"/>
    <col min="12305" max="12305" width="13.28515625" style="15" customWidth="1"/>
    <col min="12306" max="12306" width="13.42578125" style="15" customWidth="1"/>
    <col min="12307" max="12307" width="10.28515625" style="15" customWidth="1"/>
    <col min="12308" max="12308" width="8.5703125" style="15" customWidth="1"/>
    <col min="12309" max="12311" width="9.28515625" style="15" customWidth="1"/>
    <col min="12312" max="12312" width="7.42578125" style="15" customWidth="1"/>
    <col min="12313" max="12313" width="6.5703125" style="15" customWidth="1"/>
    <col min="12314" max="12314" width="8.7109375" style="15" customWidth="1"/>
    <col min="12315" max="12315" width="7" style="15" customWidth="1"/>
    <col min="12316" max="12316" width="6.42578125" style="15" customWidth="1"/>
    <col min="12317" max="12317" width="8.42578125" style="15" customWidth="1"/>
    <col min="12318" max="12318" width="8" style="15" customWidth="1"/>
    <col min="12319" max="12319" width="0" style="15" hidden="1" customWidth="1"/>
    <col min="12320" max="12320" width="10.5703125" style="15" customWidth="1"/>
    <col min="12321" max="12321" width="11.7109375" style="15" customWidth="1"/>
    <col min="12322" max="12322" width="7.85546875" style="15" customWidth="1"/>
    <col min="12323" max="12323" width="10" style="15" customWidth="1"/>
    <col min="12324" max="12544" width="9.140625" style="15"/>
    <col min="12545" max="12545" width="4.42578125" style="15" customWidth="1"/>
    <col min="12546" max="12546" width="5.42578125" style="15" customWidth="1"/>
    <col min="12547" max="12547" width="0" style="15" hidden="1" customWidth="1"/>
    <col min="12548" max="12548" width="23.42578125" style="15" customWidth="1"/>
    <col min="12549" max="12551" width="0" style="15" hidden="1" customWidth="1"/>
    <col min="12552" max="12552" width="14.140625" style="15" customWidth="1"/>
    <col min="12553" max="12553" width="11.85546875" style="15" customWidth="1"/>
    <col min="12554" max="12554" width="10.85546875" style="15" customWidth="1"/>
    <col min="12555" max="12555" width="11.28515625" style="15" customWidth="1"/>
    <col min="12556" max="12556" width="9.7109375" style="15" customWidth="1"/>
    <col min="12557" max="12557" width="9.85546875" style="15" customWidth="1"/>
    <col min="12558" max="12558" width="9.140625" style="15" customWidth="1"/>
    <col min="12559" max="12559" width="8.5703125" style="15" customWidth="1"/>
    <col min="12560" max="12560" width="7.42578125" style="15" customWidth="1"/>
    <col min="12561" max="12561" width="13.28515625" style="15" customWidth="1"/>
    <col min="12562" max="12562" width="13.42578125" style="15" customWidth="1"/>
    <col min="12563" max="12563" width="10.28515625" style="15" customWidth="1"/>
    <col min="12564" max="12564" width="8.5703125" style="15" customWidth="1"/>
    <col min="12565" max="12567" width="9.28515625" style="15" customWidth="1"/>
    <col min="12568" max="12568" width="7.42578125" style="15" customWidth="1"/>
    <col min="12569" max="12569" width="6.5703125" style="15" customWidth="1"/>
    <col min="12570" max="12570" width="8.7109375" style="15" customWidth="1"/>
    <col min="12571" max="12571" width="7" style="15" customWidth="1"/>
    <col min="12572" max="12572" width="6.42578125" style="15" customWidth="1"/>
    <col min="12573" max="12573" width="8.42578125" style="15" customWidth="1"/>
    <col min="12574" max="12574" width="8" style="15" customWidth="1"/>
    <col min="12575" max="12575" width="0" style="15" hidden="1" customWidth="1"/>
    <col min="12576" max="12576" width="10.5703125" style="15" customWidth="1"/>
    <col min="12577" max="12577" width="11.7109375" style="15" customWidth="1"/>
    <col min="12578" max="12578" width="7.85546875" style="15" customWidth="1"/>
    <col min="12579" max="12579" width="10" style="15" customWidth="1"/>
    <col min="12580" max="12800" width="9.140625" style="15"/>
    <col min="12801" max="12801" width="4.42578125" style="15" customWidth="1"/>
    <col min="12802" max="12802" width="5.42578125" style="15" customWidth="1"/>
    <col min="12803" max="12803" width="0" style="15" hidden="1" customWidth="1"/>
    <col min="12804" max="12804" width="23.42578125" style="15" customWidth="1"/>
    <col min="12805" max="12807" width="0" style="15" hidden="1" customWidth="1"/>
    <col min="12808" max="12808" width="14.140625" style="15" customWidth="1"/>
    <col min="12809" max="12809" width="11.85546875" style="15" customWidth="1"/>
    <col min="12810" max="12810" width="10.85546875" style="15" customWidth="1"/>
    <col min="12811" max="12811" width="11.28515625" style="15" customWidth="1"/>
    <col min="12812" max="12812" width="9.7109375" style="15" customWidth="1"/>
    <col min="12813" max="12813" width="9.85546875" style="15" customWidth="1"/>
    <col min="12814" max="12814" width="9.140625" style="15" customWidth="1"/>
    <col min="12815" max="12815" width="8.5703125" style="15" customWidth="1"/>
    <col min="12816" max="12816" width="7.42578125" style="15" customWidth="1"/>
    <col min="12817" max="12817" width="13.28515625" style="15" customWidth="1"/>
    <col min="12818" max="12818" width="13.42578125" style="15" customWidth="1"/>
    <col min="12819" max="12819" width="10.28515625" style="15" customWidth="1"/>
    <col min="12820" max="12820" width="8.5703125" style="15" customWidth="1"/>
    <col min="12821" max="12823" width="9.28515625" style="15" customWidth="1"/>
    <col min="12824" max="12824" width="7.42578125" style="15" customWidth="1"/>
    <col min="12825" max="12825" width="6.5703125" style="15" customWidth="1"/>
    <col min="12826" max="12826" width="8.7109375" style="15" customWidth="1"/>
    <col min="12827" max="12827" width="7" style="15" customWidth="1"/>
    <col min="12828" max="12828" width="6.42578125" style="15" customWidth="1"/>
    <col min="12829" max="12829" width="8.42578125" style="15" customWidth="1"/>
    <col min="12830" max="12830" width="8" style="15" customWidth="1"/>
    <col min="12831" max="12831" width="0" style="15" hidden="1" customWidth="1"/>
    <col min="12832" max="12832" width="10.5703125" style="15" customWidth="1"/>
    <col min="12833" max="12833" width="11.7109375" style="15" customWidth="1"/>
    <col min="12834" max="12834" width="7.85546875" style="15" customWidth="1"/>
    <col min="12835" max="12835" width="10" style="15" customWidth="1"/>
    <col min="12836" max="13056" width="9.140625" style="15"/>
    <col min="13057" max="13057" width="4.42578125" style="15" customWidth="1"/>
    <col min="13058" max="13058" width="5.42578125" style="15" customWidth="1"/>
    <col min="13059" max="13059" width="0" style="15" hidden="1" customWidth="1"/>
    <col min="13060" max="13060" width="23.42578125" style="15" customWidth="1"/>
    <col min="13061" max="13063" width="0" style="15" hidden="1" customWidth="1"/>
    <col min="13064" max="13064" width="14.140625" style="15" customWidth="1"/>
    <col min="13065" max="13065" width="11.85546875" style="15" customWidth="1"/>
    <col min="13066" max="13066" width="10.85546875" style="15" customWidth="1"/>
    <col min="13067" max="13067" width="11.28515625" style="15" customWidth="1"/>
    <col min="13068" max="13068" width="9.7109375" style="15" customWidth="1"/>
    <col min="13069" max="13069" width="9.85546875" style="15" customWidth="1"/>
    <col min="13070" max="13070" width="9.140625" style="15" customWidth="1"/>
    <col min="13071" max="13071" width="8.5703125" style="15" customWidth="1"/>
    <col min="13072" max="13072" width="7.42578125" style="15" customWidth="1"/>
    <col min="13073" max="13073" width="13.28515625" style="15" customWidth="1"/>
    <col min="13074" max="13074" width="13.42578125" style="15" customWidth="1"/>
    <col min="13075" max="13075" width="10.28515625" style="15" customWidth="1"/>
    <col min="13076" max="13076" width="8.5703125" style="15" customWidth="1"/>
    <col min="13077" max="13079" width="9.28515625" style="15" customWidth="1"/>
    <col min="13080" max="13080" width="7.42578125" style="15" customWidth="1"/>
    <col min="13081" max="13081" width="6.5703125" style="15" customWidth="1"/>
    <col min="13082" max="13082" width="8.7109375" style="15" customWidth="1"/>
    <col min="13083" max="13083" width="7" style="15" customWidth="1"/>
    <col min="13084" max="13084" width="6.42578125" style="15" customWidth="1"/>
    <col min="13085" max="13085" width="8.42578125" style="15" customWidth="1"/>
    <col min="13086" max="13086" width="8" style="15" customWidth="1"/>
    <col min="13087" max="13087" width="0" style="15" hidden="1" customWidth="1"/>
    <col min="13088" max="13088" width="10.5703125" style="15" customWidth="1"/>
    <col min="13089" max="13089" width="11.7109375" style="15" customWidth="1"/>
    <col min="13090" max="13090" width="7.85546875" style="15" customWidth="1"/>
    <col min="13091" max="13091" width="10" style="15" customWidth="1"/>
    <col min="13092" max="13312" width="9.140625" style="15"/>
    <col min="13313" max="13313" width="4.42578125" style="15" customWidth="1"/>
    <col min="13314" max="13314" width="5.42578125" style="15" customWidth="1"/>
    <col min="13315" max="13315" width="0" style="15" hidden="1" customWidth="1"/>
    <col min="13316" max="13316" width="23.42578125" style="15" customWidth="1"/>
    <col min="13317" max="13319" width="0" style="15" hidden="1" customWidth="1"/>
    <col min="13320" max="13320" width="14.140625" style="15" customWidth="1"/>
    <col min="13321" max="13321" width="11.85546875" style="15" customWidth="1"/>
    <col min="13322" max="13322" width="10.85546875" style="15" customWidth="1"/>
    <col min="13323" max="13323" width="11.28515625" style="15" customWidth="1"/>
    <col min="13324" max="13324" width="9.7109375" style="15" customWidth="1"/>
    <col min="13325" max="13325" width="9.85546875" style="15" customWidth="1"/>
    <col min="13326" max="13326" width="9.140625" style="15" customWidth="1"/>
    <col min="13327" max="13327" width="8.5703125" style="15" customWidth="1"/>
    <col min="13328" max="13328" width="7.42578125" style="15" customWidth="1"/>
    <col min="13329" max="13329" width="13.28515625" style="15" customWidth="1"/>
    <col min="13330" max="13330" width="13.42578125" style="15" customWidth="1"/>
    <col min="13331" max="13331" width="10.28515625" style="15" customWidth="1"/>
    <col min="13332" max="13332" width="8.5703125" style="15" customWidth="1"/>
    <col min="13333" max="13335" width="9.28515625" style="15" customWidth="1"/>
    <col min="13336" max="13336" width="7.42578125" style="15" customWidth="1"/>
    <col min="13337" max="13337" width="6.5703125" style="15" customWidth="1"/>
    <col min="13338" max="13338" width="8.7109375" style="15" customWidth="1"/>
    <col min="13339" max="13339" width="7" style="15" customWidth="1"/>
    <col min="13340" max="13340" width="6.42578125" style="15" customWidth="1"/>
    <col min="13341" max="13341" width="8.42578125" style="15" customWidth="1"/>
    <col min="13342" max="13342" width="8" style="15" customWidth="1"/>
    <col min="13343" max="13343" width="0" style="15" hidden="1" customWidth="1"/>
    <col min="13344" max="13344" width="10.5703125" style="15" customWidth="1"/>
    <col min="13345" max="13345" width="11.7109375" style="15" customWidth="1"/>
    <col min="13346" max="13346" width="7.85546875" style="15" customWidth="1"/>
    <col min="13347" max="13347" width="10" style="15" customWidth="1"/>
    <col min="13348" max="13568" width="9.140625" style="15"/>
    <col min="13569" max="13569" width="4.42578125" style="15" customWidth="1"/>
    <col min="13570" max="13570" width="5.42578125" style="15" customWidth="1"/>
    <col min="13571" max="13571" width="0" style="15" hidden="1" customWidth="1"/>
    <col min="13572" max="13572" width="23.42578125" style="15" customWidth="1"/>
    <col min="13573" max="13575" width="0" style="15" hidden="1" customWidth="1"/>
    <col min="13576" max="13576" width="14.140625" style="15" customWidth="1"/>
    <col min="13577" max="13577" width="11.85546875" style="15" customWidth="1"/>
    <col min="13578" max="13578" width="10.85546875" style="15" customWidth="1"/>
    <col min="13579" max="13579" width="11.28515625" style="15" customWidth="1"/>
    <col min="13580" max="13580" width="9.7109375" style="15" customWidth="1"/>
    <col min="13581" max="13581" width="9.85546875" style="15" customWidth="1"/>
    <col min="13582" max="13582" width="9.140625" style="15" customWidth="1"/>
    <col min="13583" max="13583" width="8.5703125" style="15" customWidth="1"/>
    <col min="13584" max="13584" width="7.42578125" style="15" customWidth="1"/>
    <col min="13585" max="13585" width="13.28515625" style="15" customWidth="1"/>
    <col min="13586" max="13586" width="13.42578125" style="15" customWidth="1"/>
    <col min="13587" max="13587" width="10.28515625" style="15" customWidth="1"/>
    <col min="13588" max="13588" width="8.5703125" style="15" customWidth="1"/>
    <col min="13589" max="13591" width="9.28515625" style="15" customWidth="1"/>
    <col min="13592" max="13592" width="7.42578125" style="15" customWidth="1"/>
    <col min="13593" max="13593" width="6.5703125" style="15" customWidth="1"/>
    <col min="13594" max="13594" width="8.7109375" style="15" customWidth="1"/>
    <col min="13595" max="13595" width="7" style="15" customWidth="1"/>
    <col min="13596" max="13596" width="6.42578125" style="15" customWidth="1"/>
    <col min="13597" max="13597" width="8.42578125" style="15" customWidth="1"/>
    <col min="13598" max="13598" width="8" style="15" customWidth="1"/>
    <col min="13599" max="13599" width="0" style="15" hidden="1" customWidth="1"/>
    <col min="13600" max="13600" width="10.5703125" style="15" customWidth="1"/>
    <col min="13601" max="13601" width="11.7109375" style="15" customWidth="1"/>
    <col min="13602" max="13602" width="7.85546875" style="15" customWidth="1"/>
    <col min="13603" max="13603" width="10" style="15" customWidth="1"/>
    <col min="13604" max="13824" width="9.140625" style="15"/>
    <col min="13825" max="13825" width="4.42578125" style="15" customWidth="1"/>
    <col min="13826" max="13826" width="5.42578125" style="15" customWidth="1"/>
    <col min="13827" max="13827" width="0" style="15" hidden="1" customWidth="1"/>
    <col min="13828" max="13828" width="23.42578125" style="15" customWidth="1"/>
    <col min="13829" max="13831" width="0" style="15" hidden="1" customWidth="1"/>
    <col min="13832" max="13832" width="14.140625" style="15" customWidth="1"/>
    <col min="13833" max="13833" width="11.85546875" style="15" customWidth="1"/>
    <col min="13834" max="13834" width="10.85546875" style="15" customWidth="1"/>
    <col min="13835" max="13835" width="11.28515625" style="15" customWidth="1"/>
    <col min="13836" max="13836" width="9.7109375" style="15" customWidth="1"/>
    <col min="13837" max="13837" width="9.85546875" style="15" customWidth="1"/>
    <col min="13838" max="13838" width="9.140625" style="15" customWidth="1"/>
    <col min="13839" max="13839" width="8.5703125" style="15" customWidth="1"/>
    <col min="13840" max="13840" width="7.42578125" style="15" customWidth="1"/>
    <col min="13841" max="13841" width="13.28515625" style="15" customWidth="1"/>
    <col min="13842" max="13842" width="13.42578125" style="15" customWidth="1"/>
    <col min="13843" max="13843" width="10.28515625" style="15" customWidth="1"/>
    <col min="13844" max="13844" width="8.5703125" style="15" customWidth="1"/>
    <col min="13845" max="13847" width="9.28515625" style="15" customWidth="1"/>
    <col min="13848" max="13848" width="7.42578125" style="15" customWidth="1"/>
    <col min="13849" max="13849" width="6.5703125" style="15" customWidth="1"/>
    <col min="13850" max="13850" width="8.7109375" style="15" customWidth="1"/>
    <col min="13851" max="13851" width="7" style="15" customWidth="1"/>
    <col min="13852" max="13852" width="6.42578125" style="15" customWidth="1"/>
    <col min="13853" max="13853" width="8.42578125" style="15" customWidth="1"/>
    <col min="13854" max="13854" width="8" style="15" customWidth="1"/>
    <col min="13855" max="13855" width="0" style="15" hidden="1" customWidth="1"/>
    <col min="13856" max="13856" width="10.5703125" style="15" customWidth="1"/>
    <col min="13857" max="13857" width="11.7109375" style="15" customWidth="1"/>
    <col min="13858" max="13858" width="7.85546875" style="15" customWidth="1"/>
    <col min="13859" max="13859" width="10" style="15" customWidth="1"/>
    <col min="13860" max="14080" width="9.140625" style="15"/>
    <col min="14081" max="14081" width="4.42578125" style="15" customWidth="1"/>
    <col min="14082" max="14082" width="5.42578125" style="15" customWidth="1"/>
    <col min="14083" max="14083" width="0" style="15" hidden="1" customWidth="1"/>
    <col min="14084" max="14084" width="23.42578125" style="15" customWidth="1"/>
    <col min="14085" max="14087" width="0" style="15" hidden="1" customWidth="1"/>
    <col min="14088" max="14088" width="14.140625" style="15" customWidth="1"/>
    <col min="14089" max="14089" width="11.85546875" style="15" customWidth="1"/>
    <col min="14090" max="14090" width="10.85546875" style="15" customWidth="1"/>
    <col min="14091" max="14091" width="11.28515625" style="15" customWidth="1"/>
    <col min="14092" max="14092" width="9.7109375" style="15" customWidth="1"/>
    <col min="14093" max="14093" width="9.85546875" style="15" customWidth="1"/>
    <col min="14094" max="14094" width="9.140625" style="15" customWidth="1"/>
    <col min="14095" max="14095" width="8.5703125" style="15" customWidth="1"/>
    <col min="14096" max="14096" width="7.42578125" style="15" customWidth="1"/>
    <col min="14097" max="14097" width="13.28515625" style="15" customWidth="1"/>
    <col min="14098" max="14098" width="13.42578125" style="15" customWidth="1"/>
    <col min="14099" max="14099" width="10.28515625" style="15" customWidth="1"/>
    <col min="14100" max="14100" width="8.5703125" style="15" customWidth="1"/>
    <col min="14101" max="14103" width="9.28515625" style="15" customWidth="1"/>
    <col min="14104" max="14104" width="7.42578125" style="15" customWidth="1"/>
    <col min="14105" max="14105" width="6.5703125" style="15" customWidth="1"/>
    <col min="14106" max="14106" width="8.7109375" style="15" customWidth="1"/>
    <col min="14107" max="14107" width="7" style="15" customWidth="1"/>
    <col min="14108" max="14108" width="6.42578125" style="15" customWidth="1"/>
    <col min="14109" max="14109" width="8.42578125" style="15" customWidth="1"/>
    <col min="14110" max="14110" width="8" style="15" customWidth="1"/>
    <col min="14111" max="14111" width="0" style="15" hidden="1" customWidth="1"/>
    <col min="14112" max="14112" width="10.5703125" style="15" customWidth="1"/>
    <col min="14113" max="14113" width="11.7109375" style="15" customWidth="1"/>
    <col min="14114" max="14114" width="7.85546875" style="15" customWidth="1"/>
    <col min="14115" max="14115" width="10" style="15" customWidth="1"/>
    <col min="14116" max="14336" width="9.140625" style="15"/>
    <col min="14337" max="14337" width="4.42578125" style="15" customWidth="1"/>
    <col min="14338" max="14338" width="5.42578125" style="15" customWidth="1"/>
    <col min="14339" max="14339" width="0" style="15" hidden="1" customWidth="1"/>
    <col min="14340" max="14340" width="23.42578125" style="15" customWidth="1"/>
    <col min="14341" max="14343" width="0" style="15" hidden="1" customWidth="1"/>
    <col min="14344" max="14344" width="14.140625" style="15" customWidth="1"/>
    <col min="14345" max="14345" width="11.85546875" style="15" customWidth="1"/>
    <col min="14346" max="14346" width="10.85546875" style="15" customWidth="1"/>
    <col min="14347" max="14347" width="11.28515625" style="15" customWidth="1"/>
    <col min="14348" max="14348" width="9.7109375" style="15" customWidth="1"/>
    <col min="14349" max="14349" width="9.85546875" style="15" customWidth="1"/>
    <col min="14350" max="14350" width="9.140625" style="15" customWidth="1"/>
    <col min="14351" max="14351" width="8.5703125" style="15" customWidth="1"/>
    <col min="14352" max="14352" width="7.42578125" style="15" customWidth="1"/>
    <col min="14353" max="14353" width="13.28515625" style="15" customWidth="1"/>
    <col min="14354" max="14354" width="13.42578125" style="15" customWidth="1"/>
    <col min="14355" max="14355" width="10.28515625" style="15" customWidth="1"/>
    <col min="14356" max="14356" width="8.5703125" style="15" customWidth="1"/>
    <col min="14357" max="14359" width="9.28515625" style="15" customWidth="1"/>
    <col min="14360" max="14360" width="7.42578125" style="15" customWidth="1"/>
    <col min="14361" max="14361" width="6.5703125" style="15" customWidth="1"/>
    <col min="14362" max="14362" width="8.7109375" style="15" customWidth="1"/>
    <col min="14363" max="14363" width="7" style="15" customWidth="1"/>
    <col min="14364" max="14364" width="6.42578125" style="15" customWidth="1"/>
    <col min="14365" max="14365" width="8.42578125" style="15" customWidth="1"/>
    <col min="14366" max="14366" width="8" style="15" customWidth="1"/>
    <col min="14367" max="14367" width="0" style="15" hidden="1" customWidth="1"/>
    <col min="14368" max="14368" width="10.5703125" style="15" customWidth="1"/>
    <col min="14369" max="14369" width="11.7109375" style="15" customWidth="1"/>
    <col min="14370" max="14370" width="7.85546875" style="15" customWidth="1"/>
    <col min="14371" max="14371" width="10" style="15" customWidth="1"/>
    <col min="14372" max="14592" width="9.140625" style="15"/>
    <col min="14593" max="14593" width="4.42578125" style="15" customWidth="1"/>
    <col min="14594" max="14594" width="5.42578125" style="15" customWidth="1"/>
    <col min="14595" max="14595" width="0" style="15" hidden="1" customWidth="1"/>
    <col min="14596" max="14596" width="23.42578125" style="15" customWidth="1"/>
    <col min="14597" max="14599" width="0" style="15" hidden="1" customWidth="1"/>
    <col min="14600" max="14600" width="14.140625" style="15" customWidth="1"/>
    <col min="14601" max="14601" width="11.85546875" style="15" customWidth="1"/>
    <col min="14602" max="14602" width="10.85546875" style="15" customWidth="1"/>
    <col min="14603" max="14603" width="11.28515625" style="15" customWidth="1"/>
    <col min="14604" max="14604" width="9.7109375" style="15" customWidth="1"/>
    <col min="14605" max="14605" width="9.85546875" style="15" customWidth="1"/>
    <col min="14606" max="14606" width="9.140625" style="15" customWidth="1"/>
    <col min="14607" max="14607" width="8.5703125" style="15" customWidth="1"/>
    <col min="14608" max="14608" width="7.42578125" style="15" customWidth="1"/>
    <col min="14609" max="14609" width="13.28515625" style="15" customWidth="1"/>
    <col min="14610" max="14610" width="13.42578125" style="15" customWidth="1"/>
    <col min="14611" max="14611" width="10.28515625" style="15" customWidth="1"/>
    <col min="14612" max="14612" width="8.5703125" style="15" customWidth="1"/>
    <col min="14613" max="14615" width="9.28515625" style="15" customWidth="1"/>
    <col min="14616" max="14616" width="7.42578125" style="15" customWidth="1"/>
    <col min="14617" max="14617" width="6.5703125" style="15" customWidth="1"/>
    <col min="14618" max="14618" width="8.7109375" style="15" customWidth="1"/>
    <col min="14619" max="14619" width="7" style="15" customWidth="1"/>
    <col min="14620" max="14620" width="6.42578125" style="15" customWidth="1"/>
    <col min="14621" max="14621" width="8.42578125" style="15" customWidth="1"/>
    <col min="14622" max="14622" width="8" style="15" customWidth="1"/>
    <col min="14623" max="14623" width="0" style="15" hidden="1" customWidth="1"/>
    <col min="14624" max="14624" width="10.5703125" style="15" customWidth="1"/>
    <col min="14625" max="14625" width="11.7109375" style="15" customWidth="1"/>
    <col min="14626" max="14626" width="7.85546875" style="15" customWidth="1"/>
    <col min="14627" max="14627" width="10" style="15" customWidth="1"/>
    <col min="14628" max="14848" width="9.140625" style="15"/>
    <col min="14849" max="14849" width="4.42578125" style="15" customWidth="1"/>
    <col min="14850" max="14850" width="5.42578125" style="15" customWidth="1"/>
    <col min="14851" max="14851" width="0" style="15" hidden="1" customWidth="1"/>
    <col min="14852" max="14852" width="23.42578125" style="15" customWidth="1"/>
    <col min="14853" max="14855" width="0" style="15" hidden="1" customWidth="1"/>
    <col min="14856" max="14856" width="14.140625" style="15" customWidth="1"/>
    <col min="14857" max="14857" width="11.85546875" style="15" customWidth="1"/>
    <col min="14858" max="14858" width="10.85546875" style="15" customWidth="1"/>
    <col min="14859" max="14859" width="11.28515625" style="15" customWidth="1"/>
    <col min="14860" max="14860" width="9.7109375" style="15" customWidth="1"/>
    <col min="14861" max="14861" width="9.85546875" style="15" customWidth="1"/>
    <col min="14862" max="14862" width="9.140625" style="15" customWidth="1"/>
    <col min="14863" max="14863" width="8.5703125" style="15" customWidth="1"/>
    <col min="14864" max="14864" width="7.42578125" style="15" customWidth="1"/>
    <col min="14865" max="14865" width="13.28515625" style="15" customWidth="1"/>
    <col min="14866" max="14866" width="13.42578125" style="15" customWidth="1"/>
    <col min="14867" max="14867" width="10.28515625" style="15" customWidth="1"/>
    <col min="14868" max="14868" width="8.5703125" style="15" customWidth="1"/>
    <col min="14869" max="14871" width="9.28515625" style="15" customWidth="1"/>
    <col min="14872" max="14872" width="7.42578125" style="15" customWidth="1"/>
    <col min="14873" max="14873" width="6.5703125" style="15" customWidth="1"/>
    <col min="14874" max="14874" width="8.7109375" style="15" customWidth="1"/>
    <col min="14875" max="14875" width="7" style="15" customWidth="1"/>
    <col min="14876" max="14876" width="6.42578125" style="15" customWidth="1"/>
    <col min="14877" max="14877" width="8.42578125" style="15" customWidth="1"/>
    <col min="14878" max="14878" width="8" style="15" customWidth="1"/>
    <col min="14879" max="14879" width="0" style="15" hidden="1" customWidth="1"/>
    <col min="14880" max="14880" width="10.5703125" style="15" customWidth="1"/>
    <col min="14881" max="14881" width="11.7109375" style="15" customWidth="1"/>
    <col min="14882" max="14882" width="7.85546875" style="15" customWidth="1"/>
    <col min="14883" max="14883" width="10" style="15" customWidth="1"/>
    <col min="14884" max="15104" width="9.140625" style="15"/>
    <col min="15105" max="15105" width="4.42578125" style="15" customWidth="1"/>
    <col min="15106" max="15106" width="5.42578125" style="15" customWidth="1"/>
    <col min="15107" max="15107" width="0" style="15" hidden="1" customWidth="1"/>
    <col min="15108" max="15108" width="23.42578125" style="15" customWidth="1"/>
    <col min="15109" max="15111" width="0" style="15" hidden="1" customWidth="1"/>
    <col min="15112" max="15112" width="14.140625" style="15" customWidth="1"/>
    <col min="15113" max="15113" width="11.85546875" style="15" customWidth="1"/>
    <col min="15114" max="15114" width="10.85546875" style="15" customWidth="1"/>
    <col min="15115" max="15115" width="11.28515625" style="15" customWidth="1"/>
    <col min="15116" max="15116" width="9.7109375" style="15" customWidth="1"/>
    <col min="15117" max="15117" width="9.85546875" style="15" customWidth="1"/>
    <col min="15118" max="15118" width="9.140625" style="15" customWidth="1"/>
    <col min="15119" max="15119" width="8.5703125" style="15" customWidth="1"/>
    <col min="15120" max="15120" width="7.42578125" style="15" customWidth="1"/>
    <col min="15121" max="15121" width="13.28515625" style="15" customWidth="1"/>
    <col min="15122" max="15122" width="13.42578125" style="15" customWidth="1"/>
    <col min="15123" max="15123" width="10.28515625" style="15" customWidth="1"/>
    <col min="15124" max="15124" width="8.5703125" style="15" customWidth="1"/>
    <col min="15125" max="15127" width="9.28515625" style="15" customWidth="1"/>
    <col min="15128" max="15128" width="7.42578125" style="15" customWidth="1"/>
    <col min="15129" max="15129" width="6.5703125" style="15" customWidth="1"/>
    <col min="15130" max="15130" width="8.7109375" style="15" customWidth="1"/>
    <col min="15131" max="15131" width="7" style="15" customWidth="1"/>
    <col min="15132" max="15132" width="6.42578125" style="15" customWidth="1"/>
    <col min="15133" max="15133" width="8.42578125" style="15" customWidth="1"/>
    <col min="15134" max="15134" width="8" style="15" customWidth="1"/>
    <col min="15135" max="15135" width="0" style="15" hidden="1" customWidth="1"/>
    <col min="15136" max="15136" width="10.5703125" style="15" customWidth="1"/>
    <col min="15137" max="15137" width="11.7109375" style="15" customWidth="1"/>
    <col min="15138" max="15138" width="7.85546875" style="15" customWidth="1"/>
    <col min="15139" max="15139" width="10" style="15" customWidth="1"/>
    <col min="15140" max="15360" width="9.140625" style="15"/>
    <col min="15361" max="15361" width="4.42578125" style="15" customWidth="1"/>
    <col min="15362" max="15362" width="5.42578125" style="15" customWidth="1"/>
    <col min="15363" max="15363" width="0" style="15" hidden="1" customWidth="1"/>
    <col min="15364" max="15364" width="23.42578125" style="15" customWidth="1"/>
    <col min="15365" max="15367" width="0" style="15" hidden="1" customWidth="1"/>
    <col min="15368" max="15368" width="14.140625" style="15" customWidth="1"/>
    <col min="15369" max="15369" width="11.85546875" style="15" customWidth="1"/>
    <col min="15370" max="15370" width="10.85546875" style="15" customWidth="1"/>
    <col min="15371" max="15371" width="11.28515625" style="15" customWidth="1"/>
    <col min="15372" max="15372" width="9.7109375" style="15" customWidth="1"/>
    <col min="15373" max="15373" width="9.85546875" style="15" customWidth="1"/>
    <col min="15374" max="15374" width="9.140625" style="15" customWidth="1"/>
    <col min="15375" max="15375" width="8.5703125" style="15" customWidth="1"/>
    <col min="15376" max="15376" width="7.42578125" style="15" customWidth="1"/>
    <col min="15377" max="15377" width="13.28515625" style="15" customWidth="1"/>
    <col min="15378" max="15378" width="13.42578125" style="15" customWidth="1"/>
    <col min="15379" max="15379" width="10.28515625" style="15" customWidth="1"/>
    <col min="15380" max="15380" width="8.5703125" style="15" customWidth="1"/>
    <col min="15381" max="15383" width="9.28515625" style="15" customWidth="1"/>
    <col min="15384" max="15384" width="7.42578125" style="15" customWidth="1"/>
    <col min="15385" max="15385" width="6.5703125" style="15" customWidth="1"/>
    <col min="15386" max="15386" width="8.7109375" style="15" customWidth="1"/>
    <col min="15387" max="15387" width="7" style="15" customWidth="1"/>
    <col min="15388" max="15388" width="6.42578125" style="15" customWidth="1"/>
    <col min="15389" max="15389" width="8.42578125" style="15" customWidth="1"/>
    <col min="15390" max="15390" width="8" style="15" customWidth="1"/>
    <col min="15391" max="15391" width="0" style="15" hidden="1" customWidth="1"/>
    <col min="15392" max="15392" width="10.5703125" style="15" customWidth="1"/>
    <col min="15393" max="15393" width="11.7109375" style="15" customWidth="1"/>
    <col min="15394" max="15394" width="7.85546875" style="15" customWidth="1"/>
    <col min="15395" max="15395" width="10" style="15" customWidth="1"/>
    <col min="15396" max="15616" width="9.140625" style="15"/>
    <col min="15617" max="15617" width="4.42578125" style="15" customWidth="1"/>
    <col min="15618" max="15618" width="5.42578125" style="15" customWidth="1"/>
    <col min="15619" max="15619" width="0" style="15" hidden="1" customWidth="1"/>
    <col min="15620" max="15620" width="23.42578125" style="15" customWidth="1"/>
    <col min="15621" max="15623" width="0" style="15" hidden="1" customWidth="1"/>
    <col min="15624" max="15624" width="14.140625" style="15" customWidth="1"/>
    <col min="15625" max="15625" width="11.85546875" style="15" customWidth="1"/>
    <col min="15626" max="15626" width="10.85546875" style="15" customWidth="1"/>
    <col min="15627" max="15627" width="11.28515625" style="15" customWidth="1"/>
    <col min="15628" max="15628" width="9.7109375" style="15" customWidth="1"/>
    <col min="15629" max="15629" width="9.85546875" style="15" customWidth="1"/>
    <col min="15630" max="15630" width="9.140625" style="15" customWidth="1"/>
    <col min="15631" max="15631" width="8.5703125" style="15" customWidth="1"/>
    <col min="15632" max="15632" width="7.42578125" style="15" customWidth="1"/>
    <col min="15633" max="15633" width="13.28515625" style="15" customWidth="1"/>
    <col min="15634" max="15634" width="13.42578125" style="15" customWidth="1"/>
    <col min="15635" max="15635" width="10.28515625" style="15" customWidth="1"/>
    <col min="15636" max="15636" width="8.5703125" style="15" customWidth="1"/>
    <col min="15637" max="15639" width="9.28515625" style="15" customWidth="1"/>
    <col min="15640" max="15640" width="7.42578125" style="15" customWidth="1"/>
    <col min="15641" max="15641" width="6.5703125" style="15" customWidth="1"/>
    <col min="15642" max="15642" width="8.7109375" style="15" customWidth="1"/>
    <col min="15643" max="15643" width="7" style="15" customWidth="1"/>
    <col min="15644" max="15644" width="6.42578125" style="15" customWidth="1"/>
    <col min="15645" max="15645" width="8.42578125" style="15" customWidth="1"/>
    <col min="15646" max="15646" width="8" style="15" customWidth="1"/>
    <col min="15647" max="15647" width="0" style="15" hidden="1" customWidth="1"/>
    <col min="15648" max="15648" width="10.5703125" style="15" customWidth="1"/>
    <col min="15649" max="15649" width="11.7109375" style="15" customWidth="1"/>
    <col min="15650" max="15650" width="7.85546875" style="15" customWidth="1"/>
    <col min="15651" max="15651" width="10" style="15" customWidth="1"/>
    <col min="15652" max="15872" width="9.140625" style="15"/>
    <col min="15873" max="15873" width="4.42578125" style="15" customWidth="1"/>
    <col min="15874" max="15874" width="5.42578125" style="15" customWidth="1"/>
    <col min="15875" max="15875" width="0" style="15" hidden="1" customWidth="1"/>
    <col min="15876" max="15876" width="23.42578125" style="15" customWidth="1"/>
    <col min="15877" max="15879" width="0" style="15" hidden="1" customWidth="1"/>
    <col min="15880" max="15880" width="14.140625" style="15" customWidth="1"/>
    <col min="15881" max="15881" width="11.85546875" style="15" customWidth="1"/>
    <col min="15882" max="15882" width="10.85546875" style="15" customWidth="1"/>
    <col min="15883" max="15883" width="11.28515625" style="15" customWidth="1"/>
    <col min="15884" max="15884" width="9.7109375" style="15" customWidth="1"/>
    <col min="15885" max="15885" width="9.85546875" style="15" customWidth="1"/>
    <col min="15886" max="15886" width="9.140625" style="15" customWidth="1"/>
    <col min="15887" max="15887" width="8.5703125" style="15" customWidth="1"/>
    <col min="15888" max="15888" width="7.42578125" style="15" customWidth="1"/>
    <col min="15889" max="15889" width="13.28515625" style="15" customWidth="1"/>
    <col min="15890" max="15890" width="13.42578125" style="15" customWidth="1"/>
    <col min="15891" max="15891" width="10.28515625" style="15" customWidth="1"/>
    <col min="15892" max="15892" width="8.5703125" style="15" customWidth="1"/>
    <col min="15893" max="15895" width="9.28515625" style="15" customWidth="1"/>
    <col min="15896" max="15896" width="7.42578125" style="15" customWidth="1"/>
    <col min="15897" max="15897" width="6.5703125" style="15" customWidth="1"/>
    <col min="15898" max="15898" width="8.7109375" style="15" customWidth="1"/>
    <col min="15899" max="15899" width="7" style="15" customWidth="1"/>
    <col min="15900" max="15900" width="6.42578125" style="15" customWidth="1"/>
    <col min="15901" max="15901" width="8.42578125" style="15" customWidth="1"/>
    <col min="15902" max="15902" width="8" style="15" customWidth="1"/>
    <col min="15903" max="15903" width="0" style="15" hidden="1" customWidth="1"/>
    <col min="15904" max="15904" width="10.5703125" style="15" customWidth="1"/>
    <col min="15905" max="15905" width="11.7109375" style="15" customWidth="1"/>
    <col min="15906" max="15906" width="7.85546875" style="15" customWidth="1"/>
    <col min="15907" max="15907" width="10" style="15" customWidth="1"/>
    <col min="15908" max="16128" width="9.140625" style="15"/>
    <col min="16129" max="16129" width="4.42578125" style="15" customWidth="1"/>
    <col min="16130" max="16130" width="5.42578125" style="15" customWidth="1"/>
    <col min="16131" max="16131" width="0" style="15" hidden="1" customWidth="1"/>
    <col min="16132" max="16132" width="23.42578125" style="15" customWidth="1"/>
    <col min="16133" max="16135" width="0" style="15" hidden="1" customWidth="1"/>
    <col min="16136" max="16136" width="14.140625" style="15" customWidth="1"/>
    <col min="16137" max="16137" width="11.85546875" style="15" customWidth="1"/>
    <col min="16138" max="16138" width="10.85546875" style="15" customWidth="1"/>
    <col min="16139" max="16139" width="11.28515625" style="15" customWidth="1"/>
    <col min="16140" max="16140" width="9.7109375" style="15" customWidth="1"/>
    <col min="16141" max="16141" width="9.85546875" style="15" customWidth="1"/>
    <col min="16142" max="16142" width="9.140625" style="15" customWidth="1"/>
    <col min="16143" max="16143" width="8.5703125" style="15" customWidth="1"/>
    <col min="16144" max="16144" width="7.42578125" style="15" customWidth="1"/>
    <col min="16145" max="16145" width="13.28515625" style="15" customWidth="1"/>
    <col min="16146" max="16146" width="13.42578125" style="15" customWidth="1"/>
    <col min="16147" max="16147" width="10.28515625" style="15" customWidth="1"/>
    <col min="16148" max="16148" width="8.5703125" style="15" customWidth="1"/>
    <col min="16149" max="16151" width="9.28515625" style="15" customWidth="1"/>
    <col min="16152" max="16152" width="7.42578125" style="15" customWidth="1"/>
    <col min="16153" max="16153" width="6.5703125" style="15" customWidth="1"/>
    <col min="16154" max="16154" width="8.7109375" style="15" customWidth="1"/>
    <col min="16155" max="16155" width="7" style="15" customWidth="1"/>
    <col min="16156" max="16156" width="6.42578125" style="15" customWidth="1"/>
    <col min="16157" max="16157" width="8.42578125" style="15" customWidth="1"/>
    <col min="16158" max="16158" width="8" style="15" customWidth="1"/>
    <col min="16159" max="16159" width="0" style="15" hidden="1" customWidth="1"/>
    <col min="16160" max="16160" width="10.5703125" style="15" customWidth="1"/>
    <col min="16161" max="16161" width="11.7109375" style="15" customWidth="1"/>
    <col min="16162" max="16162" width="7.85546875" style="15" customWidth="1"/>
    <col min="16163" max="16163" width="10" style="15" customWidth="1"/>
    <col min="16164" max="16384" width="9.140625" style="15"/>
  </cols>
  <sheetData>
    <row r="1" spans="2:35" ht="32.25" customHeight="1" x14ac:dyDescent="0.25">
      <c r="B1" s="523" t="s">
        <v>8</v>
      </c>
      <c r="C1" s="523"/>
      <c r="D1" s="523"/>
      <c r="E1" s="523"/>
      <c r="F1" s="523"/>
      <c r="G1" s="523"/>
      <c r="H1" s="523"/>
      <c r="I1" s="523"/>
      <c r="J1" s="523"/>
      <c r="K1" s="523"/>
      <c r="L1" s="523"/>
      <c r="M1" s="523"/>
      <c r="N1" s="523"/>
      <c r="O1" s="523"/>
      <c r="P1" s="523"/>
      <c r="Q1" s="523"/>
      <c r="R1" s="523"/>
      <c r="S1" s="523"/>
      <c r="T1" s="523"/>
      <c r="U1" s="523"/>
      <c r="V1" s="523"/>
      <c r="W1" s="523"/>
      <c r="X1" s="523"/>
      <c r="Y1" s="523"/>
      <c r="Z1" s="523"/>
      <c r="AA1" s="523"/>
      <c r="AB1" s="523"/>
      <c r="AC1" s="523"/>
      <c r="AD1" s="523"/>
      <c r="AE1" s="523"/>
      <c r="AF1" s="523"/>
      <c r="AG1" s="523"/>
      <c r="AH1" s="523"/>
      <c r="AI1" s="523"/>
    </row>
    <row r="2" spans="2:35" ht="17.25" x14ac:dyDescent="0.25">
      <c r="B2" s="524" t="s">
        <v>9</v>
      </c>
      <c r="C2" s="524"/>
      <c r="D2" s="524"/>
      <c r="E2" s="524"/>
      <c r="F2" s="524"/>
      <c r="G2" s="524"/>
      <c r="H2" s="524"/>
      <c r="I2" s="524"/>
      <c r="J2" s="524"/>
      <c r="K2" s="524"/>
      <c r="L2" s="524"/>
      <c r="M2" s="524"/>
      <c r="N2" s="524"/>
      <c r="O2" s="524"/>
      <c r="P2" s="524"/>
      <c r="Q2" s="524"/>
      <c r="R2" s="524"/>
      <c r="S2" s="524"/>
      <c r="T2" s="524"/>
      <c r="U2" s="524"/>
      <c r="V2" s="524"/>
      <c r="W2" s="524"/>
      <c r="X2" s="524"/>
      <c r="Y2" s="524"/>
      <c r="Z2" s="524"/>
      <c r="AA2" s="524"/>
      <c r="AB2" s="524"/>
      <c r="AC2" s="524"/>
      <c r="AD2" s="524"/>
      <c r="AE2" s="524"/>
      <c r="AF2" s="524"/>
      <c r="AG2" s="524"/>
      <c r="AH2" s="524"/>
      <c r="AI2" s="524"/>
    </row>
    <row r="3" spans="2:35" ht="17.25" x14ac:dyDescent="0.25">
      <c r="B3" s="524" t="s">
        <v>10</v>
      </c>
      <c r="C3" s="524"/>
      <c r="D3" s="524"/>
      <c r="E3" s="524"/>
      <c r="F3" s="524"/>
      <c r="G3" s="524"/>
      <c r="H3" s="524"/>
      <c r="I3" s="524"/>
      <c r="J3" s="524"/>
      <c r="K3" s="524"/>
      <c r="L3" s="524"/>
      <c r="M3" s="524"/>
      <c r="N3" s="524"/>
      <c r="O3" s="524"/>
      <c r="P3" s="524"/>
      <c r="Q3" s="524"/>
      <c r="R3" s="524"/>
      <c r="S3" s="524"/>
      <c r="T3" s="524"/>
      <c r="U3" s="524"/>
      <c r="V3" s="524"/>
      <c r="W3" s="524"/>
      <c r="X3" s="524"/>
      <c r="Y3" s="524"/>
      <c r="Z3" s="524"/>
      <c r="AA3" s="524"/>
      <c r="AB3" s="524"/>
      <c r="AC3" s="524"/>
      <c r="AD3" s="524"/>
      <c r="AE3" s="524"/>
      <c r="AF3" s="524"/>
      <c r="AG3" s="524"/>
      <c r="AH3" s="524"/>
    </row>
    <row r="4" spans="2:35" ht="18" customHeight="1" x14ac:dyDescent="0.25">
      <c r="B4" s="525"/>
      <c r="C4" s="525"/>
      <c r="D4" s="525"/>
      <c r="E4" s="16"/>
      <c r="F4" s="16"/>
      <c r="G4" s="16"/>
      <c r="H4" s="17"/>
      <c r="I4" s="17"/>
      <c r="J4" s="16"/>
      <c r="K4" s="16"/>
      <c r="L4" s="16"/>
      <c r="AH4" s="525"/>
      <c r="AI4" s="525"/>
    </row>
    <row r="5" spans="2:35" x14ac:dyDescent="0.25">
      <c r="B5" s="511" t="s">
        <v>11</v>
      </c>
      <c r="C5" s="20"/>
      <c r="D5" s="512" t="s">
        <v>12</v>
      </c>
      <c r="E5" s="21"/>
      <c r="F5" s="21"/>
      <c r="G5" s="21"/>
      <c r="H5" s="521" t="s">
        <v>13</v>
      </c>
      <c r="I5" s="521"/>
      <c r="J5" s="521"/>
      <c r="K5" s="521"/>
      <c r="L5" s="521"/>
      <c r="M5" s="521"/>
      <c r="N5" s="521"/>
      <c r="O5" s="521"/>
      <c r="P5" s="521"/>
      <c r="Q5" s="521"/>
      <c r="R5" s="521" t="s">
        <v>14</v>
      </c>
      <c r="S5" s="521"/>
      <c r="T5" s="521"/>
      <c r="U5" s="521"/>
      <c r="V5" s="521"/>
      <c r="W5" s="521"/>
      <c r="X5" s="521"/>
      <c r="Y5" s="521"/>
      <c r="Z5" s="521"/>
      <c r="AA5" s="521"/>
      <c r="AB5" s="521"/>
      <c r="AC5" s="521"/>
      <c r="AD5" s="521"/>
      <c r="AE5" s="521"/>
      <c r="AF5" s="521"/>
      <c r="AG5" s="521" t="s">
        <v>15</v>
      </c>
      <c r="AH5" s="514" t="s">
        <v>16</v>
      </c>
      <c r="AI5" s="509" t="s">
        <v>17</v>
      </c>
    </row>
    <row r="6" spans="2:35" ht="15.75" customHeight="1" x14ac:dyDescent="0.25">
      <c r="B6" s="509"/>
      <c r="C6" s="22"/>
      <c r="D6" s="512"/>
      <c r="E6" s="23"/>
      <c r="F6" s="23"/>
      <c r="G6" s="23"/>
      <c r="H6" s="519" t="s">
        <v>18</v>
      </c>
      <c r="I6" s="507" t="s">
        <v>19</v>
      </c>
      <c r="J6" s="511" t="s">
        <v>20</v>
      </c>
      <c r="K6" s="511" t="s">
        <v>21</v>
      </c>
      <c r="L6" s="511" t="s">
        <v>22</v>
      </c>
      <c r="M6" s="511" t="s">
        <v>23</v>
      </c>
      <c r="N6" s="511" t="s">
        <v>24</v>
      </c>
      <c r="O6" s="511" t="s">
        <v>25</v>
      </c>
      <c r="P6" s="507" t="s">
        <v>26</v>
      </c>
      <c r="Q6" s="509" t="s">
        <v>27</v>
      </c>
      <c r="R6" s="510" t="s">
        <v>28</v>
      </c>
      <c r="S6" s="510"/>
      <c r="T6" s="509" t="s">
        <v>29</v>
      </c>
      <c r="U6" s="507" t="s">
        <v>30</v>
      </c>
      <c r="V6" s="509" t="s">
        <v>31</v>
      </c>
      <c r="W6" s="509" t="s">
        <v>32</v>
      </c>
      <c r="X6" s="511" t="s">
        <v>33</v>
      </c>
      <c r="Y6" s="511" t="s">
        <v>34</v>
      </c>
      <c r="Z6" s="511" t="s">
        <v>35</v>
      </c>
      <c r="AA6" s="507" t="s">
        <v>36</v>
      </c>
      <c r="AB6" s="507" t="s">
        <v>37</v>
      </c>
      <c r="AC6" s="507" t="s">
        <v>38</v>
      </c>
      <c r="AD6" s="507" t="s">
        <v>39</v>
      </c>
      <c r="AE6" s="517" t="s">
        <v>40</v>
      </c>
      <c r="AF6" s="511" t="s">
        <v>41</v>
      </c>
      <c r="AG6" s="521"/>
      <c r="AH6" s="515"/>
      <c r="AI6" s="509"/>
    </row>
    <row r="7" spans="2:35" ht="27.75" customHeight="1" x14ac:dyDescent="0.25">
      <c r="B7" s="509"/>
      <c r="C7" s="22" t="s">
        <v>42</v>
      </c>
      <c r="D7" s="512"/>
      <c r="E7" s="24"/>
      <c r="F7" s="24"/>
      <c r="G7" s="24"/>
      <c r="H7" s="520"/>
      <c r="I7" s="508"/>
      <c r="J7" s="509"/>
      <c r="K7" s="509"/>
      <c r="L7" s="509"/>
      <c r="M7" s="509"/>
      <c r="N7" s="509"/>
      <c r="O7" s="509"/>
      <c r="P7" s="508"/>
      <c r="Q7" s="509"/>
      <c r="R7" s="25" t="s">
        <v>43</v>
      </c>
      <c r="S7" s="26" t="s">
        <v>44</v>
      </c>
      <c r="T7" s="509"/>
      <c r="U7" s="522"/>
      <c r="V7" s="509"/>
      <c r="W7" s="509"/>
      <c r="X7" s="511"/>
      <c r="Y7" s="511"/>
      <c r="Z7" s="511"/>
      <c r="AA7" s="508"/>
      <c r="AB7" s="508"/>
      <c r="AC7" s="508"/>
      <c r="AD7" s="508"/>
      <c r="AE7" s="518"/>
      <c r="AF7" s="509"/>
      <c r="AG7" s="521"/>
      <c r="AH7" s="516"/>
      <c r="AI7" s="509"/>
    </row>
    <row r="8" spans="2:35" ht="59.25" customHeight="1" x14ac:dyDescent="0.25">
      <c r="B8" s="22">
        <v>1</v>
      </c>
      <c r="C8" s="22">
        <v>300123</v>
      </c>
      <c r="D8" s="27" t="s">
        <v>45</v>
      </c>
      <c r="E8" s="28" t="s">
        <v>46</v>
      </c>
      <c r="F8" s="29" t="s">
        <v>47</v>
      </c>
      <c r="G8" s="29" t="s">
        <v>48</v>
      </c>
      <c r="H8" s="30">
        <v>30230</v>
      </c>
      <c r="I8" s="30">
        <f t="shared" ref="I8:I71" si="0">ROUND((H8*15%),0)</f>
        <v>4535</v>
      </c>
      <c r="J8" s="31">
        <f>ROUND((H8*55%),0)</f>
        <v>16627</v>
      </c>
      <c r="K8" s="32">
        <v>1500</v>
      </c>
      <c r="L8" s="32">
        <v>300</v>
      </c>
      <c r="M8" s="33">
        <v>200</v>
      </c>
      <c r="N8" s="33">
        <v>500</v>
      </c>
      <c r="O8" s="33"/>
      <c r="P8" s="33"/>
      <c r="Q8" s="33">
        <f t="shared" ref="Q8:Q33" si="1">SUM(H8:O8)</f>
        <v>53892</v>
      </c>
      <c r="R8" s="34">
        <f t="shared" ref="R8:R71" si="2">ROUND((H8*10%),0)</f>
        <v>3023</v>
      </c>
      <c r="S8" s="34">
        <v>3450</v>
      </c>
      <c r="T8" s="33">
        <f t="shared" ref="T8:T71" si="3">ROUND((H8*1%),0)</f>
        <v>302</v>
      </c>
      <c r="U8" s="35"/>
      <c r="V8" s="33"/>
      <c r="W8" s="33"/>
      <c r="X8" s="36"/>
      <c r="Y8" s="36"/>
      <c r="Z8" s="36"/>
      <c r="AA8" s="37"/>
      <c r="AB8" s="37">
        <v>417</v>
      </c>
      <c r="AC8" s="37">
        <v>20</v>
      </c>
      <c r="AD8" s="37">
        <v>10</v>
      </c>
      <c r="AE8" s="38"/>
      <c r="AF8" s="33">
        <f t="shared" ref="AF8:AF71" si="4">SUM(R8:AE8)</f>
        <v>7222</v>
      </c>
      <c r="AG8" s="39">
        <f t="shared" ref="AG8:AG71" si="5">Q8-AF8</f>
        <v>46670</v>
      </c>
      <c r="AH8" s="20" t="s">
        <v>49</v>
      </c>
      <c r="AI8" s="40" t="s">
        <v>50</v>
      </c>
    </row>
    <row r="9" spans="2:35" ht="63" customHeight="1" x14ac:dyDescent="0.25">
      <c r="B9" s="22">
        <v>2</v>
      </c>
      <c r="C9" s="22">
        <v>300018</v>
      </c>
      <c r="D9" s="27" t="s">
        <v>51</v>
      </c>
      <c r="E9" s="41" t="s">
        <v>52</v>
      </c>
      <c r="F9" s="42" t="s">
        <v>53</v>
      </c>
      <c r="G9" s="29" t="s">
        <v>54</v>
      </c>
      <c r="H9" s="31">
        <v>22530</v>
      </c>
      <c r="I9" s="30">
        <f t="shared" si="0"/>
        <v>3380</v>
      </c>
      <c r="J9" s="31"/>
      <c r="K9" s="31">
        <v>1500</v>
      </c>
      <c r="L9" s="31">
        <v>300</v>
      </c>
      <c r="M9" s="34">
        <v>200</v>
      </c>
      <c r="N9" s="34">
        <v>500</v>
      </c>
      <c r="O9" s="34">
        <v>0</v>
      </c>
      <c r="P9" s="43"/>
      <c r="Q9" s="33">
        <f t="shared" si="1"/>
        <v>28410</v>
      </c>
      <c r="R9" s="34">
        <f t="shared" si="2"/>
        <v>2253</v>
      </c>
      <c r="S9" s="34">
        <v>5000</v>
      </c>
      <c r="T9" s="33">
        <f t="shared" si="3"/>
        <v>225</v>
      </c>
      <c r="U9" s="34"/>
      <c r="V9" s="34">
        <v>0</v>
      </c>
      <c r="W9" s="34">
        <v>1080</v>
      </c>
      <c r="X9" s="34">
        <v>30</v>
      </c>
      <c r="Y9" s="34">
        <v>10</v>
      </c>
      <c r="Z9" s="34">
        <v>1785</v>
      </c>
      <c r="AA9" s="34">
        <v>0</v>
      </c>
      <c r="AB9" s="34"/>
      <c r="AC9" s="34">
        <v>20</v>
      </c>
      <c r="AD9" s="34">
        <v>10</v>
      </c>
      <c r="AE9" s="38"/>
      <c r="AF9" s="33">
        <f t="shared" si="4"/>
        <v>10413</v>
      </c>
      <c r="AG9" s="39">
        <f t="shared" si="5"/>
        <v>17997</v>
      </c>
      <c r="AH9" s="44" t="s">
        <v>55</v>
      </c>
      <c r="AI9" s="22"/>
    </row>
    <row r="10" spans="2:35" ht="63" customHeight="1" x14ac:dyDescent="0.25">
      <c r="B10" s="22">
        <v>3</v>
      </c>
      <c r="C10" s="22">
        <v>300137</v>
      </c>
      <c r="D10" s="27" t="s">
        <v>56</v>
      </c>
      <c r="E10" s="41" t="s">
        <v>57</v>
      </c>
      <c r="F10" s="42" t="s">
        <v>58</v>
      </c>
      <c r="G10" s="29" t="s">
        <v>59</v>
      </c>
      <c r="H10" s="31">
        <v>13130</v>
      </c>
      <c r="I10" s="30">
        <f>ROUND((H10*15%),0)</f>
        <v>1970</v>
      </c>
      <c r="J10" s="31"/>
      <c r="K10" s="31">
        <v>1500</v>
      </c>
      <c r="L10" s="31">
        <v>300</v>
      </c>
      <c r="M10" s="34">
        <v>200</v>
      </c>
      <c r="N10" s="34"/>
      <c r="O10" s="34"/>
      <c r="P10" s="43"/>
      <c r="Q10" s="33">
        <f t="shared" si="1"/>
        <v>17100</v>
      </c>
      <c r="R10" s="34">
        <f t="shared" si="2"/>
        <v>1313</v>
      </c>
      <c r="S10" s="34"/>
      <c r="T10" s="33">
        <f t="shared" si="3"/>
        <v>131</v>
      </c>
      <c r="U10" s="34"/>
      <c r="V10" s="34"/>
      <c r="W10" s="34">
        <v>1080</v>
      </c>
      <c r="X10" s="34">
        <v>30</v>
      </c>
      <c r="Y10" s="34">
        <v>10</v>
      </c>
      <c r="Z10" s="34">
        <v>1237</v>
      </c>
      <c r="AA10" s="34"/>
      <c r="AB10" s="34"/>
      <c r="AC10" s="34">
        <v>20</v>
      </c>
      <c r="AD10" s="34">
        <v>10</v>
      </c>
      <c r="AE10" s="38"/>
      <c r="AF10" s="33">
        <f t="shared" si="4"/>
        <v>3831</v>
      </c>
      <c r="AG10" s="39">
        <f t="shared" si="5"/>
        <v>13269</v>
      </c>
      <c r="AH10" s="26"/>
      <c r="AI10" s="20"/>
    </row>
    <row r="11" spans="2:35" ht="76.5" customHeight="1" x14ac:dyDescent="0.25">
      <c r="B11" s="22">
        <v>4</v>
      </c>
      <c r="C11" s="22"/>
      <c r="D11" s="27" t="s">
        <v>60</v>
      </c>
      <c r="E11" s="27" t="s">
        <v>61</v>
      </c>
      <c r="F11" s="42" t="s">
        <v>62</v>
      </c>
      <c r="G11" s="45" t="s">
        <v>63</v>
      </c>
      <c r="H11" s="31">
        <v>12500</v>
      </c>
      <c r="I11" s="30">
        <f>ROUND((H11*15%),0)</f>
        <v>1875</v>
      </c>
      <c r="J11" s="31">
        <f t="shared" ref="J11:J16" si="6">ROUND((H11*60%),0)</f>
        <v>7500</v>
      </c>
      <c r="K11" s="31">
        <v>1500</v>
      </c>
      <c r="L11" s="31">
        <v>300</v>
      </c>
      <c r="M11" s="34">
        <v>200</v>
      </c>
      <c r="N11" s="34"/>
      <c r="O11" s="34"/>
      <c r="P11" s="43"/>
      <c r="Q11" s="33">
        <f t="shared" si="1"/>
        <v>23875</v>
      </c>
      <c r="R11" s="34">
        <f t="shared" si="2"/>
        <v>1250</v>
      </c>
      <c r="S11" s="34"/>
      <c r="T11" s="33">
        <f t="shared" si="3"/>
        <v>125</v>
      </c>
      <c r="U11" s="34"/>
      <c r="V11" s="34"/>
      <c r="W11" s="34"/>
      <c r="X11" s="34"/>
      <c r="Y11" s="34"/>
      <c r="Z11" s="34"/>
      <c r="AA11" s="34"/>
      <c r="AB11" s="34"/>
      <c r="AC11" s="34">
        <v>20</v>
      </c>
      <c r="AD11" s="34">
        <v>10</v>
      </c>
      <c r="AE11" s="38"/>
      <c r="AF11" s="33">
        <f t="shared" si="4"/>
        <v>1405</v>
      </c>
      <c r="AG11" s="39">
        <f t="shared" si="5"/>
        <v>22470</v>
      </c>
      <c r="AH11" s="26"/>
      <c r="AI11" s="20"/>
    </row>
    <row r="12" spans="2:35" ht="76.5" customHeight="1" x14ac:dyDescent="0.25">
      <c r="B12" s="22">
        <v>5</v>
      </c>
      <c r="C12" s="22"/>
      <c r="D12" s="27" t="s">
        <v>64</v>
      </c>
      <c r="E12" s="27" t="s">
        <v>65</v>
      </c>
      <c r="F12" s="42" t="s">
        <v>62</v>
      </c>
      <c r="G12" s="45" t="s">
        <v>66</v>
      </c>
      <c r="H12" s="31">
        <v>12500</v>
      </c>
      <c r="I12" s="30">
        <f>ROUND((H12*15%),0)</f>
        <v>1875</v>
      </c>
      <c r="J12" s="31">
        <f t="shared" si="6"/>
        <v>7500</v>
      </c>
      <c r="K12" s="31">
        <v>1500</v>
      </c>
      <c r="L12" s="31">
        <v>300</v>
      </c>
      <c r="M12" s="34">
        <v>200</v>
      </c>
      <c r="N12" s="34"/>
      <c r="O12" s="34"/>
      <c r="P12" s="43"/>
      <c r="Q12" s="33">
        <f t="shared" si="1"/>
        <v>23875</v>
      </c>
      <c r="R12" s="34">
        <f t="shared" si="2"/>
        <v>1250</v>
      </c>
      <c r="S12" s="34"/>
      <c r="T12" s="33">
        <f t="shared" si="3"/>
        <v>125</v>
      </c>
      <c r="U12" s="34"/>
      <c r="V12" s="34"/>
      <c r="W12" s="34"/>
      <c r="X12" s="34"/>
      <c r="Y12" s="34"/>
      <c r="Z12" s="34"/>
      <c r="AA12" s="34"/>
      <c r="AB12" s="34"/>
      <c r="AC12" s="34"/>
      <c r="AD12" s="34">
        <v>10</v>
      </c>
      <c r="AE12" s="38"/>
      <c r="AF12" s="33">
        <f t="shared" si="4"/>
        <v>1385</v>
      </c>
      <c r="AG12" s="39">
        <f t="shared" si="5"/>
        <v>22490</v>
      </c>
      <c r="AH12" s="26"/>
      <c r="AI12" s="20"/>
    </row>
    <row r="13" spans="2:35" ht="63" customHeight="1" x14ac:dyDescent="0.25">
      <c r="B13" s="22">
        <v>6</v>
      </c>
      <c r="C13" s="22">
        <v>300004</v>
      </c>
      <c r="D13" s="27" t="s">
        <v>67</v>
      </c>
      <c r="E13" s="27" t="s">
        <v>68</v>
      </c>
      <c r="F13" s="42" t="s">
        <v>69</v>
      </c>
      <c r="G13" s="46" t="s">
        <v>70</v>
      </c>
      <c r="H13" s="31">
        <v>15500</v>
      </c>
      <c r="I13" s="30">
        <f t="shared" si="0"/>
        <v>2325</v>
      </c>
      <c r="J13" s="31">
        <f t="shared" si="6"/>
        <v>9300</v>
      </c>
      <c r="K13" s="31">
        <v>1500</v>
      </c>
      <c r="L13" s="31">
        <v>300</v>
      </c>
      <c r="M13" s="34">
        <v>200</v>
      </c>
      <c r="N13" s="34">
        <v>500</v>
      </c>
      <c r="O13" s="34">
        <v>0</v>
      </c>
      <c r="P13" s="34"/>
      <c r="Q13" s="33">
        <f t="shared" si="1"/>
        <v>29625</v>
      </c>
      <c r="R13" s="34">
        <f t="shared" si="2"/>
        <v>1550</v>
      </c>
      <c r="S13" s="34">
        <v>2950</v>
      </c>
      <c r="T13" s="33">
        <f t="shared" si="3"/>
        <v>155</v>
      </c>
      <c r="U13" s="34"/>
      <c r="V13" s="34"/>
      <c r="W13" s="34"/>
      <c r="X13" s="34"/>
      <c r="Y13" s="34"/>
      <c r="Z13" s="34"/>
      <c r="AA13" s="34">
        <v>0</v>
      </c>
      <c r="AB13" s="34"/>
      <c r="AC13" s="34">
        <v>20</v>
      </c>
      <c r="AD13" s="34">
        <v>10</v>
      </c>
      <c r="AE13" s="38"/>
      <c r="AF13" s="33">
        <f t="shared" si="4"/>
        <v>4685</v>
      </c>
      <c r="AG13" s="39">
        <f t="shared" si="5"/>
        <v>24940</v>
      </c>
      <c r="AH13" s="47" t="s">
        <v>71</v>
      </c>
      <c r="AI13" s="20"/>
    </row>
    <row r="14" spans="2:35" ht="78.75" customHeight="1" x14ac:dyDescent="0.25">
      <c r="B14" s="22">
        <v>7</v>
      </c>
      <c r="C14" s="22">
        <v>300140</v>
      </c>
      <c r="D14" s="27" t="s">
        <v>72</v>
      </c>
      <c r="E14" s="41" t="s">
        <v>73</v>
      </c>
      <c r="F14" s="42" t="s">
        <v>74</v>
      </c>
      <c r="G14" s="48" t="s">
        <v>75</v>
      </c>
      <c r="H14" s="31">
        <v>11550</v>
      </c>
      <c r="I14" s="30">
        <f t="shared" si="0"/>
        <v>1733</v>
      </c>
      <c r="J14" s="31">
        <f t="shared" si="6"/>
        <v>6930</v>
      </c>
      <c r="K14" s="31">
        <v>1500</v>
      </c>
      <c r="L14" s="31">
        <v>300</v>
      </c>
      <c r="M14" s="34">
        <v>200</v>
      </c>
      <c r="N14" s="34"/>
      <c r="O14" s="34"/>
      <c r="P14" s="34"/>
      <c r="Q14" s="33">
        <f t="shared" si="1"/>
        <v>22213</v>
      </c>
      <c r="R14" s="34">
        <f t="shared" si="2"/>
        <v>1155</v>
      </c>
      <c r="S14" s="34"/>
      <c r="T14" s="33">
        <f t="shared" si="3"/>
        <v>116</v>
      </c>
      <c r="U14" s="34"/>
      <c r="V14" s="34"/>
      <c r="W14" s="34"/>
      <c r="X14" s="34"/>
      <c r="Y14" s="34"/>
      <c r="Z14" s="34"/>
      <c r="AA14" s="34"/>
      <c r="AB14" s="34"/>
      <c r="AC14" s="34">
        <v>20</v>
      </c>
      <c r="AD14" s="34">
        <v>10</v>
      </c>
      <c r="AE14" s="38"/>
      <c r="AF14" s="33">
        <f t="shared" si="4"/>
        <v>1301</v>
      </c>
      <c r="AG14" s="39">
        <f t="shared" si="5"/>
        <v>20912</v>
      </c>
      <c r="AH14" s="47"/>
      <c r="AI14" s="22"/>
    </row>
    <row r="15" spans="2:35" ht="75" customHeight="1" x14ac:dyDescent="0.25">
      <c r="B15" s="22">
        <v>8</v>
      </c>
      <c r="C15" s="22">
        <v>300139</v>
      </c>
      <c r="D15" s="27" t="s">
        <v>76</v>
      </c>
      <c r="E15" s="41" t="s">
        <v>77</v>
      </c>
      <c r="F15" s="42" t="s">
        <v>74</v>
      </c>
      <c r="G15" s="48" t="s">
        <v>78</v>
      </c>
      <c r="H15" s="31">
        <v>11550</v>
      </c>
      <c r="I15" s="30">
        <f t="shared" si="0"/>
        <v>1733</v>
      </c>
      <c r="J15" s="31">
        <f t="shared" si="6"/>
        <v>6930</v>
      </c>
      <c r="K15" s="31">
        <v>1500</v>
      </c>
      <c r="L15" s="31">
        <v>300</v>
      </c>
      <c r="M15" s="34">
        <v>200</v>
      </c>
      <c r="N15" s="34"/>
      <c r="O15" s="34"/>
      <c r="P15" s="34"/>
      <c r="Q15" s="33">
        <f t="shared" si="1"/>
        <v>22213</v>
      </c>
      <c r="R15" s="34">
        <f t="shared" si="2"/>
        <v>1155</v>
      </c>
      <c r="S15" s="34"/>
      <c r="T15" s="33">
        <f t="shared" si="3"/>
        <v>116</v>
      </c>
      <c r="U15" s="34"/>
      <c r="V15" s="34"/>
      <c r="W15" s="34"/>
      <c r="X15" s="34"/>
      <c r="Y15" s="34"/>
      <c r="Z15" s="34"/>
      <c r="AA15" s="34"/>
      <c r="AB15" s="34"/>
      <c r="AC15" s="34">
        <v>20</v>
      </c>
      <c r="AD15" s="34">
        <v>10</v>
      </c>
      <c r="AE15" s="38"/>
      <c r="AF15" s="33">
        <f t="shared" si="4"/>
        <v>1301</v>
      </c>
      <c r="AG15" s="39">
        <f t="shared" si="5"/>
        <v>20912</v>
      </c>
      <c r="AH15" s="47"/>
      <c r="AI15" s="22"/>
    </row>
    <row r="16" spans="2:35" ht="74.25" customHeight="1" x14ac:dyDescent="0.25">
      <c r="B16" s="22">
        <v>9</v>
      </c>
      <c r="C16" s="22">
        <v>300138</v>
      </c>
      <c r="D16" s="27" t="s">
        <v>79</v>
      </c>
      <c r="E16" s="41" t="s">
        <v>80</v>
      </c>
      <c r="F16" s="42" t="s">
        <v>74</v>
      </c>
      <c r="G16" s="48" t="s">
        <v>81</v>
      </c>
      <c r="H16" s="31">
        <v>11550</v>
      </c>
      <c r="I16" s="30">
        <f t="shared" si="0"/>
        <v>1733</v>
      </c>
      <c r="J16" s="31">
        <f t="shared" si="6"/>
        <v>6930</v>
      </c>
      <c r="K16" s="31">
        <v>1500</v>
      </c>
      <c r="L16" s="31">
        <v>300</v>
      </c>
      <c r="M16" s="34">
        <v>200</v>
      </c>
      <c r="N16" s="34"/>
      <c r="O16" s="34"/>
      <c r="P16" s="34"/>
      <c r="Q16" s="33">
        <f t="shared" si="1"/>
        <v>22213</v>
      </c>
      <c r="R16" s="34">
        <f t="shared" si="2"/>
        <v>1155</v>
      </c>
      <c r="S16" s="34"/>
      <c r="T16" s="33">
        <f t="shared" si="3"/>
        <v>116</v>
      </c>
      <c r="U16" s="34"/>
      <c r="V16" s="34"/>
      <c r="W16" s="34"/>
      <c r="X16" s="34"/>
      <c r="Y16" s="34"/>
      <c r="Z16" s="34"/>
      <c r="AA16" s="34"/>
      <c r="AB16" s="34"/>
      <c r="AC16" s="34">
        <v>20</v>
      </c>
      <c r="AD16" s="34">
        <v>10</v>
      </c>
      <c r="AE16" s="38"/>
      <c r="AF16" s="33">
        <f t="shared" si="4"/>
        <v>1301</v>
      </c>
      <c r="AG16" s="39">
        <f t="shared" si="5"/>
        <v>20912</v>
      </c>
      <c r="AH16" s="47"/>
      <c r="AI16" s="22"/>
    </row>
    <row r="17" spans="2:35" ht="60.75" customHeight="1" x14ac:dyDescent="0.25">
      <c r="B17" s="22">
        <v>10</v>
      </c>
      <c r="C17" s="22">
        <v>300037</v>
      </c>
      <c r="D17" s="27" t="s">
        <v>82</v>
      </c>
      <c r="E17" s="41" t="s">
        <v>83</v>
      </c>
      <c r="F17" s="42" t="s">
        <v>84</v>
      </c>
      <c r="G17" s="29" t="s">
        <v>85</v>
      </c>
      <c r="H17" s="31">
        <v>20810</v>
      </c>
      <c r="I17" s="30">
        <f t="shared" si="0"/>
        <v>3122</v>
      </c>
      <c r="J17" s="31">
        <v>0</v>
      </c>
      <c r="K17" s="31">
        <v>1500</v>
      </c>
      <c r="L17" s="31">
        <v>300</v>
      </c>
      <c r="M17" s="34">
        <v>200</v>
      </c>
      <c r="N17" s="34"/>
      <c r="O17" s="34"/>
      <c r="P17" s="34"/>
      <c r="Q17" s="33">
        <f t="shared" si="1"/>
        <v>25932</v>
      </c>
      <c r="R17" s="34">
        <f t="shared" si="2"/>
        <v>2081</v>
      </c>
      <c r="S17" s="34"/>
      <c r="T17" s="33">
        <f t="shared" si="3"/>
        <v>208</v>
      </c>
      <c r="U17" s="34"/>
      <c r="V17" s="34">
        <v>0</v>
      </c>
      <c r="W17" s="34">
        <v>1080</v>
      </c>
      <c r="X17" s="34">
        <v>30</v>
      </c>
      <c r="Y17" s="34">
        <v>10</v>
      </c>
      <c r="Z17" s="34">
        <v>1206</v>
      </c>
      <c r="AA17" s="34">
        <v>0</v>
      </c>
      <c r="AB17" s="34"/>
      <c r="AC17" s="34">
        <v>20</v>
      </c>
      <c r="AD17" s="34">
        <v>10</v>
      </c>
      <c r="AE17" s="38"/>
      <c r="AF17" s="33">
        <f t="shared" si="4"/>
        <v>4645</v>
      </c>
      <c r="AG17" s="39">
        <f t="shared" si="5"/>
        <v>21287</v>
      </c>
      <c r="AH17" s="47"/>
      <c r="AI17" s="22"/>
    </row>
    <row r="18" spans="2:35" ht="58.5" x14ac:dyDescent="0.25">
      <c r="B18" s="22">
        <v>11</v>
      </c>
      <c r="C18" s="22">
        <v>300039</v>
      </c>
      <c r="D18" s="27" t="s">
        <v>86</v>
      </c>
      <c r="E18" s="41" t="s">
        <v>87</v>
      </c>
      <c r="F18" s="42" t="s">
        <v>84</v>
      </c>
      <c r="G18" s="29" t="s">
        <v>88</v>
      </c>
      <c r="H18" s="31">
        <v>18860</v>
      </c>
      <c r="I18" s="30">
        <f t="shared" si="0"/>
        <v>2829</v>
      </c>
      <c r="J18" s="31">
        <v>0</v>
      </c>
      <c r="K18" s="31">
        <v>1500</v>
      </c>
      <c r="L18" s="31">
        <v>300</v>
      </c>
      <c r="M18" s="34">
        <v>200</v>
      </c>
      <c r="N18" s="34">
        <v>500</v>
      </c>
      <c r="O18" s="34"/>
      <c r="P18" s="34"/>
      <c r="Q18" s="33">
        <f t="shared" si="1"/>
        <v>24189</v>
      </c>
      <c r="R18" s="34">
        <f t="shared" si="2"/>
        <v>1886</v>
      </c>
      <c r="S18" s="34"/>
      <c r="T18" s="33">
        <f t="shared" si="3"/>
        <v>189</v>
      </c>
      <c r="U18" s="34"/>
      <c r="V18" s="34">
        <v>0</v>
      </c>
      <c r="W18" s="34">
        <v>1080</v>
      </c>
      <c r="X18" s="34">
        <v>30</v>
      </c>
      <c r="Y18" s="34">
        <v>10</v>
      </c>
      <c r="Z18" s="34">
        <v>1267</v>
      </c>
      <c r="AA18" s="34">
        <v>0</v>
      </c>
      <c r="AB18" s="34"/>
      <c r="AC18" s="34">
        <v>20</v>
      </c>
      <c r="AD18" s="34">
        <v>10</v>
      </c>
      <c r="AE18" s="38"/>
      <c r="AF18" s="33">
        <f t="shared" si="4"/>
        <v>4492</v>
      </c>
      <c r="AG18" s="39">
        <f t="shared" si="5"/>
        <v>19697</v>
      </c>
      <c r="AH18" s="47"/>
      <c r="AI18" s="22"/>
    </row>
    <row r="19" spans="2:35" ht="58.5" x14ac:dyDescent="0.25">
      <c r="B19" s="22">
        <v>12</v>
      </c>
      <c r="C19" s="22">
        <v>300041</v>
      </c>
      <c r="D19" s="27" t="s">
        <v>89</v>
      </c>
      <c r="E19" s="41" t="s">
        <v>90</v>
      </c>
      <c r="F19" s="42" t="s">
        <v>84</v>
      </c>
      <c r="G19" s="29" t="s">
        <v>91</v>
      </c>
      <c r="H19" s="31">
        <v>18860</v>
      </c>
      <c r="I19" s="30">
        <f t="shared" si="0"/>
        <v>2829</v>
      </c>
      <c r="J19" s="31">
        <f>ROUND((H19*55%),0)</f>
        <v>10373</v>
      </c>
      <c r="K19" s="31">
        <v>1500</v>
      </c>
      <c r="L19" s="31">
        <v>300</v>
      </c>
      <c r="M19" s="34">
        <v>200</v>
      </c>
      <c r="N19" s="34"/>
      <c r="O19" s="34"/>
      <c r="P19" s="34"/>
      <c r="Q19" s="33">
        <f t="shared" si="1"/>
        <v>34062</v>
      </c>
      <c r="R19" s="34">
        <f t="shared" si="2"/>
        <v>1886</v>
      </c>
      <c r="S19" s="34">
        <v>4500</v>
      </c>
      <c r="T19" s="33">
        <f t="shared" si="3"/>
        <v>189</v>
      </c>
      <c r="U19" s="34"/>
      <c r="V19" s="49"/>
      <c r="W19" s="34"/>
      <c r="X19" s="34"/>
      <c r="Y19" s="34"/>
      <c r="Z19" s="34"/>
      <c r="AA19" s="34">
        <v>0</v>
      </c>
      <c r="AB19" s="34"/>
      <c r="AC19" s="34">
        <v>20</v>
      </c>
      <c r="AD19" s="34">
        <v>10</v>
      </c>
      <c r="AE19" s="38"/>
      <c r="AF19" s="33">
        <f t="shared" si="4"/>
        <v>6605</v>
      </c>
      <c r="AG19" s="39">
        <f t="shared" si="5"/>
        <v>27457</v>
      </c>
      <c r="AH19" s="50" t="s">
        <v>92</v>
      </c>
      <c r="AI19" s="22"/>
    </row>
    <row r="20" spans="2:35" ht="58.5" x14ac:dyDescent="0.25">
      <c r="B20" s="22">
        <v>13</v>
      </c>
      <c r="C20" s="22">
        <v>300046</v>
      </c>
      <c r="D20" s="27" t="s">
        <v>93</v>
      </c>
      <c r="E20" s="41" t="s">
        <v>94</v>
      </c>
      <c r="F20" s="42" t="s">
        <v>84</v>
      </c>
      <c r="G20" s="29" t="s">
        <v>95</v>
      </c>
      <c r="H20" s="31">
        <v>18860</v>
      </c>
      <c r="I20" s="30">
        <f t="shared" si="0"/>
        <v>2829</v>
      </c>
      <c r="J20" s="31">
        <f>ROUND((H20*55%),0)</f>
        <v>10373</v>
      </c>
      <c r="K20" s="31">
        <v>1500</v>
      </c>
      <c r="L20" s="31">
        <v>300</v>
      </c>
      <c r="M20" s="34">
        <v>200</v>
      </c>
      <c r="N20" s="34">
        <v>500</v>
      </c>
      <c r="O20" s="34"/>
      <c r="P20" s="34"/>
      <c r="Q20" s="33">
        <f t="shared" si="1"/>
        <v>34562</v>
      </c>
      <c r="R20" s="34">
        <f t="shared" si="2"/>
        <v>1886</v>
      </c>
      <c r="S20" s="34">
        <v>5000</v>
      </c>
      <c r="T20" s="33">
        <f t="shared" si="3"/>
        <v>189</v>
      </c>
      <c r="U20" s="34"/>
      <c r="V20" s="34"/>
      <c r="W20" s="34"/>
      <c r="X20" s="34"/>
      <c r="Y20" s="34"/>
      <c r="Z20" s="31"/>
      <c r="AA20" s="34">
        <v>0</v>
      </c>
      <c r="AB20" s="34"/>
      <c r="AC20" s="34">
        <v>20</v>
      </c>
      <c r="AD20" s="34">
        <v>10</v>
      </c>
      <c r="AE20" s="38"/>
      <c r="AF20" s="33">
        <f t="shared" si="4"/>
        <v>7105</v>
      </c>
      <c r="AG20" s="39">
        <f t="shared" si="5"/>
        <v>27457</v>
      </c>
      <c r="AH20" s="44" t="s">
        <v>96</v>
      </c>
      <c r="AI20" s="22"/>
    </row>
    <row r="21" spans="2:35" ht="76.5" customHeight="1" x14ac:dyDescent="0.25">
      <c r="B21" s="22">
        <v>14</v>
      </c>
      <c r="C21" s="51">
        <v>300125</v>
      </c>
      <c r="D21" s="27" t="s">
        <v>97</v>
      </c>
      <c r="E21" s="41" t="s">
        <v>98</v>
      </c>
      <c r="F21" s="42" t="s">
        <v>84</v>
      </c>
      <c r="G21" s="29" t="s">
        <v>99</v>
      </c>
      <c r="H21" s="31">
        <v>12740</v>
      </c>
      <c r="I21" s="30">
        <f t="shared" si="0"/>
        <v>1911</v>
      </c>
      <c r="J21" s="31">
        <f t="shared" ref="J21:J30" si="7">ROUND((H21*60%),0)</f>
        <v>7644</v>
      </c>
      <c r="K21" s="31">
        <v>1500</v>
      </c>
      <c r="L21" s="31">
        <v>300</v>
      </c>
      <c r="M21" s="34">
        <v>200</v>
      </c>
      <c r="N21" s="34"/>
      <c r="O21" s="34"/>
      <c r="P21" s="34"/>
      <c r="Q21" s="33">
        <f t="shared" si="1"/>
        <v>24295</v>
      </c>
      <c r="R21" s="34">
        <f t="shared" si="2"/>
        <v>1274</v>
      </c>
      <c r="S21" s="34"/>
      <c r="T21" s="33">
        <f t="shared" si="3"/>
        <v>127</v>
      </c>
      <c r="U21" s="34"/>
      <c r="V21" s="34"/>
      <c r="W21" s="34"/>
      <c r="X21" s="34"/>
      <c r="Y21" s="34"/>
      <c r="Z21" s="31"/>
      <c r="AA21" s="34"/>
      <c r="AB21" s="34"/>
      <c r="AC21" s="34">
        <v>20</v>
      </c>
      <c r="AD21" s="34">
        <v>10</v>
      </c>
      <c r="AE21" s="38"/>
      <c r="AF21" s="33">
        <f t="shared" si="4"/>
        <v>1431</v>
      </c>
      <c r="AG21" s="39">
        <f t="shared" si="5"/>
        <v>22864</v>
      </c>
      <c r="AH21" s="26"/>
      <c r="AI21" s="22"/>
    </row>
    <row r="22" spans="2:35" ht="78" customHeight="1" x14ac:dyDescent="0.25">
      <c r="B22" s="22">
        <v>15</v>
      </c>
      <c r="C22" s="52">
        <v>300126</v>
      </c>
      <c r="D22" s="27" t="s">
        <v>100</v>
      </c>
      <c r="E22" s="41" t="s">
        <v>101</v>
      </c>
      <c r="F22" s="42" t="s">
        <v>84</v>
      </c>
      <c r="G22" s="29" t="s">
        <v>102</v>
      </c>
      <c r="H22" s="31">
        <v>12740</v>
      </c>
      <c r="I22" s="30">
        <f t="shared" si="0"/>
        <v>1911</v>
      </c>
      <c r="J22" s="31">
        <f t="shared" si="7"/>
        <v>7644</v>
      </c>
      <c r="K22" s="31">
        <v>1500</v>
      </c>
      <c r="L22" s="31">
        <v>300</v>
      </c>
      <c r="M22" s="34">
        <v>200</v>
      </c>
      <c r="N22" s="34"/>
      <c r="O22" s="34"/>
      <c r="P22" s="34"/>
      <c r="Q22" s="33">
        <f t="shared" si="1"/>
        <v>24295</v>
      </c>
      <c r="R22" s="34">
        <f t="shared" si="2"/>
        <v>1274</v>
      </c>
      <c r="S22" s="34"/>
      <c r="T22" s="33">
        <f t="shared" si="3"/>
        <v>127</v>
      </c>
      <c r="U22" s="34"/>
      <c r="V22" s="34"/>
      <c r="W22" s="34"/>
      <c r="X22" s="34"/>
      <c r="Y22" s="34"/>
      <c r="Z22" s="31"/>
      <c r="AA22" s="34"/>
      <c r="AB22" s="34"/>
      <c r="AC22" s="34">
        <v>20</v>
      </c>
      <c r="AD22" s="34">
        <v>10</v>
      </c>
      <c r="AE22" s="38"/>
      <c r="AF22" s="33">
        <f t="shared" si="4"/>
        <v>1431</v>
      </c>
      <c r="AG22" s="39">
        <f t="shared" si="5"/>
        <v>22864</v>
      </c>
      <c r="AH22" s="26"/>
      <c r="AI22" s="22"/>
    </row>
    <row r="23" spans="2:35" ht="76.5" customHeight="1" x14ac:dyDescent="0.25">
      <c r="B23" s="22">
        <v>16</v>
      </c>
      <c r="C23" s="52">
        <v>300127</v>
      </c>
      <c r="D23" s="27" t="s">
        <v>103</v>
      </c>
      <c r="E23" s="41" t="s">
        <v>104</v>
      </c>
      <c r="F23" s="42" t="s">
        <v>84</v>
      </c>
      <c r="G23" s="29" t="s">
        <v>105</v>
      </c>
      <c r="H23" s="31">
        <v>12740</v>
      </c>
      <c r="I23" s="30">
        <f t="shared" si="0"/>
        <v>1911</v>
      </c>
      <c r="J23" s="31">
        <f t="shared" si="7"/>
        <v>7644</v>
      </c>
      <c r="K23" s="31">
        <v>1500</v>
      </c>
      <c r="L23" s="31">
        <v>300</v>
      </c>
      <c r="M23" s="34">
        <v>200</v>
      </c>
      <c r="N23" s="34"/>
      <c r="O23" s="34"/>
      <c r="P23" s="34"/>
      <c r="Q23" s="33">
        <f t="shared" si="1"/>
        <v>24295</v>
      </c>
      <c r="R23" s="34">
        <f t="shared" si="2"/>
        <v>1274</v>
      </c>
      <c r="S23" s="34"/>
      <c r="T23" s="33">
        <f t="shared" si="3"/>
        <v>127</v>
      </c>
      <c r="U23" s="34"/>
      <c r="V23" s="34"/>
      <c r="W23" s="34"/>
      <c r="X23" s="34"/>
      <c r="Y23" s="34"/>
      <c r="Z23" s="31"/>
      <c r="AA23" s="34"/>
      <c r="AB23" s="34"/>
      <c r="AC23" s="34">
        <v>20</v>
      </c>
      <c r="AD23" s="34">
        <v>10</v>
      </c>
      <c r="AE23" s="38"/>
      <c r="AF23" s="33">
        <f t="shared" si="4"/>
        <v>1431</v>
      </c>
      <c r="AG23" s="39">
        <f t="shared" si="5"/>
        <v>22864</v>
      </c>
      <c r="AH23" s="26"/>
      <c r="AI23" s="22"/>
    </row>
    <row r="24" spans="2:35" ht="76.5" customHeight="1" x14ac:dyDescent="0.25">
      <c r="B24" s="22">
        <v>17</v>
      </c>
      <c r="C24" s="52">
        <v>300128</v>
      </c>
      <c r="D24" s="27" t="s">
        <v>106</v>
      </c>
      <c r="E24" s="41" t="s">
        <v>107</v>
      </c>
      <c r="F24" s="42" t="s">
        <v>84</v>
      </c>
      <c r="G24" s="29" t="s">
        <v>108</v>
      </c>
      <c r="H24" s="31">
        <v>12740</v>
      </c>
      <c r="I24" s="30">
        <f t="shared" si="0"/>
        <v>1911</v>
      </c>
      <c r="J24" s="31">
        <f t="shared" si="7"/>
        <v>7644</v>
      </c>
      <c r="K24" s="31">
        <v>1500</v>
      </c>
      <c r="L24" s="31">
        <v>300</v>
      </c>
      <c r="M24" s="34">
        <v>200</v>
      </c>
      <c r="N24" s="34">
        <v>500</v>
      </c>
      <c r="O24" s="34"/>
      <c r="P24" s="34"/>
      <c r="Q24" s="33">
        <f t="shared" si="1"/>
        <v>24795</v>
      </c>
      <c r="R24" s="34">
        <f t="shared" si="2"/>
        <v>1274</v>
      </c>
      <c r="S24" s="34"/>
      <c r="T24" s="33">
        <f t="shared" si="3"/>
        <v>127</v>
      </c>
      <c r="U24" s="34"/>
      <c r="V24" s="34"/>
      <c r="W24" s="34"/>
      <c r="X24" s="34"/>
      <c r="Y24" s="34"/>
      <c r="Z24" s="31"/>
      <c r="AA24" s="34"/>
      <c r="AB24" s="34"/>
      <c r="AC24" s="34">
        <v>20</v>
      </c>
      <c r="AD24" s="34">
        <v>10</v>
      </c>
      <c r="AE24" s="38"/>
      <c r="AF24" s="33">
        <f t="shared" si="4"/>
        <v>1431</v>
      </c>
      <c r="AG24" s="39">
        <f t="shared" si="5"/>
        <v>23364</v>
      </c>
      <c r="AH24" s="26"/>
      <c r="AI24" s="22"/>
    </row>
    <row r="25" spans="2:35" ht="76.5" customHeight="1" x14ac:dyDescent="0.25">
      <c r="B25" s="22">
        <v>18</v>
      </c>
      <c r="C25" s="52">
        <v>300129</v>
      </c>
      <c r="D25" s="27" t="s">
        <v>109</v>
      </c>
      <c r="E25" s="41" t="s">
        <v>110</v>
      </c>
      <c r="F25" s="42" t="s">
        <v>84</v>
      </c>
      <c r="G25" s="29" t="s">
        <v>111</v>
      </c>
      <c r="H25" s="31">
        <v>12740</v>
      </c>
      <c r="I25" s="30">
        <f t="shared" si="0"/>
        <v>1911</v>
      </c>
      <c r="J25" s="31">
        <f t="shared" si="7"/>
        <v>7644</v>
      </c>
      <c r="K25" s="31">
        <v>1500</v>
      </c>
      <c r="L25" s="31">
        <v>300</v>
      </c>
      <c r="M25" s="34">
        <v>200</v>
      </c>
      <c r="N25" s="34"/>
      <c r="O25" s="34"/>
      <c r="P25" s="34"/>
      <c r="Q25" s="33">
        <f t="shared" si="1"/>
        <v>24295</v>
      </c>
      <c r="R25" s="34">
        <f t="shared" si="2"/>
        <v>1274</v>
      </c>
      <c r="S25" s="34"/>
      <c r="T25" s="33">
        <f t="shared" si="3"/>
        <v>127</v>
      </c>
      <c r="U25" s="34"/>
      <c r="V25" s="34"/>
      <c r="W25" s="34"/>
      <c r="X25" s="34"/>
      <c r="Y25" s="34"/>
      <c r="Z25" s="31"/>
      <c r="AA25" s="34"/>
      <c r="AB25" s="34"/>
      <c r="AC25" s="34">
        <v>20</v>
      </c>
      <c r="AD25" s="34">
        <v>10</v>
      </c>
      <c r="AE25" s="38"/>
      <c r="AF25" s="33">
        <f t="shared" si="4"/>
        <v>1431</v>
      </c>
      <c r="AG25" s="39">
        <f t="shared" si="5"/>
        <v>22864</v>
      </c>
      <c r="AH25" s="26"/>
      <c r="AI25" s="22"/>
    </row>
    <row r="26" spans="2:35" ht="76.5" customHeight="1" x14ac:dyDescent="0.25">
      <c r="B26" s="22">
        <v>19</v>
      </c>
      <c r="C26" s="52">
        <v>300130</v>
      </c>
      <c r="D26" s="27" t="s">
        <v>112</v>
      </c>
      <c r="E26" s="41" t="s">
        <v>113</v>
      </c>
      <c r="F26" s="42" t="s">
        <v>84</v>
      </c>
      <c r="G26" s="29" t="s">
        <v>114</v>
      </c>
      <c r="H26" s="31">
        <v>12740</v>
      </c>
      <c r="I26" s="30">
        <f t="shared" si="0"/>
        <v>1911</v>
      </c>
      <c r="J26" s="31">
        <f t="shared" si="7"/>
        <v>7644</v>
      </c>
      <c r="K26" s="31">
        <v>1500</v>
      </c>
      <c r="L26" s="31">
        <v>300</v>
      </c>
      <c r="M26" s="34">
        <v>200</v>
      </c>
      <c r="N26" s="34"/>
      <c r="O26" s="34"/>
      <c r="P26" s="34"/>
      <c r="Q26" s="33">
        <f t="shared" si="1"/>
        <v>24295</v>
      </c>
      <c r="R26" s="34">
        <f t="shared" si="2"/>
        <v>1274</v>
      </c>
      <c r="S26" s="34"/>
      <c r="T26" s="33">
        <f t="shared" si="3"/>
        <v>127</v>
      </c>
      <c r="U26" s="34"/>
      <c r="V26" s="34"/>
      <c r="W26" s="34"/>
      <c r="X26" s="34"/>
      <c r="Y26" s="34"/>
      <c r="Z26" s="31"/>
      <c r="AA26" s="34"/>
      <c r="AB26" s="34"/>
      <c r="AC26" s="34">
        <v>20</v>
      </c>
      <c r="AD26" s="34">
        <v>10</v>
      </c>
      <c r="AE26" s="38"/>
      <c r="AF26" s="33">
        <f t="shared" si="4"/>
        <v>1431</v>
      </c>
      <c r="AG26" s="39">
        <f t="shared" si="5"/>
        <v>22864</v>
      </c>
      <c r="AH26" s="26"/>
      <c r="AI26" s="22"/>
    </row>
    <row r="27" spans="2:35" ht="77.25" customHeight="1" x14ac:dyDescent="0.25">
      <c r="B27" s="22">
        <v>20</v>
      </c>
      <c r="C27" s="52">
        <v>300131</v>
      </c>
      <c r="D27" s="27" t="s">
        <v>115</v>
      </c>
      <c r="E27" s="41" t="s">
        <v>116</v>
      </c>
      <c r="F27" s="42" t="s">
        <v>84</v>
      </c>
      <c r="G27" s="29" t="s">
        <v>117</v>
      </c>
      <c r="H27" s="31">
        <v>12740</v>
      </c>
      <c r="I27" s="30">
        <f t="shared" si="0"/>
        <v>1911</v>
      </c>
      <c r="J27" s="31">
        <f t="shared" si="7"/>
        <v>7644</v>
      </c>
      <c r="K27" s="31">
        <v>1500</v>
      </c>
      <c r="L27" s="31">
        <v>300</v>
      </c>
      <c r="M27" s="34">
        <v>200</v>
      </c>
      <c r="N27" s="34"/>
      <c r="O27" s="34"/>
      <c r="P27" s="34"/>
      <c r="Q27" s="33">
        <f t="shared" si="1"/>
        <v>24295</v>
      </c>
      <c r="R27" s="34">
        <f t="shared" si="2"/>
        <v>1274</v>
      </c>
      <c r="S27" s="34"/>
      <c r="T27" s="33">
        <f t="shared" si="3"/>
        <v>127</v>
      </c>
      <c r="U27" s="34"/>
      <c r="V27" s="34"/>
      <c r="W27" s="34"/>
      <c r="X27" s="34"/>
      <c r="Y27" s="34"/>
      <c r="Z27" s="31"/>
      <c r="AA27" s="34">
        <v>250</v>
      </c>
      <c r="AB27" s="34"/>
      <c r="AC27" s="34">
        <v>20</v>
      </c>
      <c r="AD27" s="34">
        <v>10</v>
      </c>
      <c r="AE27" s="38"/>
      <c r="AF27" s="33">
        <f t="shared" si="4"/>
        <v>1681</v>
      </c>
      <c r="AG27" s="39">
        <f t="shared" si="5"/>
        <v>22614</v>
      </c>
      <c r="AH27" s="26"/>
      <c r="AI27" s="22"/>
    </row>
    <row r="28" spans="2:35" ht="77.25" customHeight="1" x14ac:dyDescent="0.25">
      <c r="B28" s="22">
        <v>21</v>
      </c>
      <c r="C28" s="52">
        <v>300132</v>
      </c>
      <c r="D28" s="27" t="s">
        <v>118</v>
      </c>
      <c r="E28" s="41" t="s">
        <v>119</v>
      </c>
      <c r="F28" s="42" t="s">
        <v>84</v>
      </c>
      <c r="G28" s="29" t="s">
        <v>120</v>
      </c>
      <c r="H28" s="31">
        <v>12740</v>
      </c>
      <c r="I28" s="30">
        <f t="shared" si="0"/>
        <v>1911</v>
      </c>
      <c r="J28" s="31">
        <f t="shared" si="7"/>
        <v>7644</v>
      </c>
      <c r="K28" s="31">
        <v>1500</v>
      </c>
      <c r="L28" s="31">
        <v>300</v>
      </c>
      <c r="M28" s="34">
        <v>200</v>
      </c>
      <c r="N28" s="34"/>
      <c r="O28" s="34"/>
      <c r="P28" s="34"/>
      <c r="Q28" s="33">
        <f t="shared" si="1"/>
        <v>24295</v>
      </c>
      <c r="R28" s="34">
        <f t="shared" si="2"/>
        <v>1274</v>
      </c>
      <c r="S28" s="34"/>
      <c r="T28" s="33">
        <f t="shared" si="3"/>
        <v>127</v>
      </c>
      <c r="U28" s="34"/>
      <c r="V28" s="34"/>
      <c r="W28" s="34"/>
      <c r="X28" s="34"/>
      <c r="Y28" s="34"/>
      <c r="Z28" s="31"/>
      <c r="AA28" s="34"/>
      <c r="AB28" s="34"/>
      <c r="AC28" s="34">
        <v>20</v>
      </c>
      <c r="AD28" s="34">
        <v>10</v>
      </c>
      <c r="AE28" s="38"/>
      <c r="AF28" s="33">
        <f t="shared" si="4"/>
        <v>1431</v>
      </c>
      <c r="AG28" s="39">
        <f t="shared" si="5"/>
        <v>22864</v>
      </c>
      <c r="AH28" s="26"/>
      <c r="AI28" s="22"/>
    </row>
    <row r="29" spans="2:35" ht="77.25" customHeight="1" x14ac:dyDescent="0.25">
      <c r="B29" s="22">
        <v>22</v>
      </c>
      <c r="C29" s="52">
        <v>300133</v>
      </c>
      <c r="D29" s="27" t="s">
        <v>121</v>
      </c>
      <c r="E29" s="41" t="s">
        <v>122</v>
      </c>
      <c r="F29" s="42" t="s">
        <v>84</v>
      </c>
      <c r="G29" s="29" t="s">
        <v>123</v>
      </c>
      <c r="H29" s="31">
        <v>12740</v>
      </c>
      <c r="I29" s="30">
        <f t="shared" si="0"/>
        <v>1911</v>
      </c>
      <c r="J29" s="31">
        <f t="shared" si="7"/>
        <v>7644</v>
      </c>
      <c r="K29" s="31">
        <v>1500</v>
      </c>
      <c r="L29" s="31">
        <v>300</v>
      </c>
      <c r="M29" s="34">
        <v>200</v>
      </c>
      <c r="N29" s="34"/>
      <c r="O29" s="34"/>
      <c r="P29" s="34"/>
      <c r="Q29" s="33">
        <f t="shared" si="1"/>
        <v>24295</v>
      </c>
      <c r="R29" s="34">
        <f t="shared" si="2"/>
        <v>1274</v>
      </c>
      <c r="S29" s="34"/>
      <c r="T29" s="33">
        <f t="shared" si="3"/>
        <v>127</v>
      </c>
      <c r="U29" s="34"/>
      <c r="V29" s="34"/>
      <c r="W29" s="34"/>
      <c r="X29" s="34"/>
      <c r="Y29" s="34"/>
      <c r="Z29" s="31"/>
      <c r="AA29" s="34"/>
      <c r="AB29" s="34"/>
      <c r="AC29" s="34">
        <v>20</v>
      </c>
      <c r="AD29" s="34">
        <v>10</v>
      </c>
      <c r="AE29" s="38"/>
      <c r="AF29" s="33">
        <f t="shared" si="4"/>
        <v>1431</v>
      </c>
      <c r="AG29" s="39">
        <f t="shared" si="5"/>
        <v>22864</v>
      </c>
      <c r="AH29" s="26"/>
      <c r="AI29" s="22"/>
    </row>
    <row r="30" spans="2:35" ht="77.25" customHeight="1" x14ac:dyDescent="0.25">
      <c r="B30" s="22">
        <v>23</v>
      </c>
      <c r="C30" s="52">
        <v>300134</v>
      </c>
      <c r="D30" s="27" t="s">
        <v>124</v>
      </c>
      <c r="E30" s="41" t="s">
        <v>125</v>
      </c>
      <c r="F30" s="42" t="s">
        <v>84</v>
      </c>
      <c r="G30" s="29" t="s">
        <v>126</v>
      </c>
      <c r="H30" s="31">
        <v>12740</v>
      </c>
      <c r="I30" s="30">
        <f t="shared" si="0"/>
        <v>1911</v>
      </c>
      <c r="J30" s="31">
        <f t="shared" si="7"/>
        <v>7644</v>
      </c>
      <c r="K30" s="31">
        <v>1500</v>
      </c>
      <c r="L30" s="31">
        <v>300</v>
      </c>
      <c r="M30" s="34">
        <v>200</v>
      </c>
      <c r="N30" s="34">
        <v>500</v>
      </c>
      <c r="O30" s="34"/>
      <c r="P30" s="34"/>
      <c r="Q30" s="33">
        <f t="shared" si="1"/>
        <v>24795</v>
      </c>
      <c r="R30" s="34">
        <f t="shared" si="2"/>
        <v>1274</v>
      </c>
      <c r="S30" s="34"/>
      <c r="T30" s="33">
        <f t="shared" si="3"/>
        <v>127</v>
      </c>
      <c r="U30" s="34"/>
      <c r="V30" s="34"/>
      <c r="W30" s="34"/>
      <c r="X30" s="34"/>
      <c r="Y30" s="34"/>
      <c r="Z30" s="31"/>
      <c r="AA30" s="34"/>
      <c r="AB30" s="34"/>
      <c r="AC30" s="34">
        <v>20</v>
      </c>
      <c r="AD30" s="34">
        <v>10</v>
      </c>
      <c r="AE30" s="38"/>
      <c r="AF30" s="33">
        <f t="shared" si="4"/>
        <v>1431</v>
      </c>
      <c r="AG30" s="39">
        <f t="shared" si="5"/>
        <v>23364</v>
      </c>
      <c r="AH30" s="26"/>
      <c r="AI30" s="22"/>
    </row>
    <row r="31" spans="2:35" s="53" customFormat="1" ht="58.5" x14ac:dyDescent="0.25">
      <c r="B31" s="22">
        <v>24</v>
      </c>
      <c r="C31" s="22">
        <v>300040</v>
      </c>
      <c r="D31" s="27" t="s">
        <v>127</v>
      </c>
      <c r="E31" s="41" t="s">
        <v>128</v>
      </c>
      <c r="F31" s="42" t="s">
        <v>84</v>
      </c>
      <c r="G31" s="29" t="s">
        <v>129</v>
      </c>
      <c r="H31" s="31">
        <v>18860</v>
      </c>
      <c r="I31" s="30">
        <f t="shared" si="0"/>
        <v>2829</v>
      </c>
      <c r="J31" s="31"/>
      <c r="K31" s="31">
        <v>1500</v>
      </c>
      <c r="L31" s="31">
        <v>300</v>
      </c>
      <c r="M31" s="49">
        <v>200</v>
      </c>
      <c r="N31" s="49">
        <v>1000</v>
      </c>
      <c r="O31" s="49"/>
      <c r="P31" s="49"/>
      <c r="Q31" s="33">
        <f t="shared" si="1"/>
        <v>24689</v>
      </c>
      <c r="R31" s="34">
        <f t="shared" si="2"/>
        <v>1886</v>
      </c>
      <c r="S31" s="34">
        <v>4200</v>
      </c>
      <c r="T31" s="33">
        <f t="shared" si="3"/>
        <v>189</v>
      </c>
      <c r="U31" s="49"/>
      <c r="V31" s="49"/>
      <c r="W31" s="49">
        <v>1080</v>
      </c>
      <c r="X31" s="49">
        <v>30</v>
      </c>
      <c r="Y31" s="49">
        <v>10</v>
      </c>
      <c r="Z31" s="49">
        <v>1730</v>
      </c>
      <c r="AA31" s="49">
        <v>0</v>
      </c>
      <c r="AB31" s="49"/>
      <c r="AC31" s="49">
        <v>20</v>
      </c>
      <c r="AD31" s="49">
        <v>10</v>
      </c>
      <c r="AE31" s="38"/>
      <c r="AF31" s="33">
        <f t="shared" si="4"/>
        <v>9155</v>
      </c>
      <c r="AG31" s="39">
        <f t="shared" si="5"/>
        <v>15534</v>
      </c>
      <c r="AH31" s="50" t="s">
        <v>130</v>
      </c>
      <c r="AI31" s="54"/>
    </row>
    <row r="32" spans="2:35" s="53" customFormat="1" ht="58.5" x14ac:dyDescent="0.25">
      <c r="B32" s="22">
        <v>25</v>
      </c>
      <c r="C32" s="22">
        <v>300045</v>
      </c>
      <c r="D32" s="27" t="s">
        <v>131</v>
      </c>
      <c r="E32" s="55" t="s">
        <v>132</v>
      </c>
      <c r="F32" s="42" t="s">
        <v>84</v>
      </c>
      <c r="G32" s="29" t="s">
        <v>133</v>
      </c>
      <c r="H32" s="31">
        <v>18860</v>
      </c>
      <c r="I32" s="30">
        <f t="shared" si="0"/>
        <v>2829</v>
      </c>
      <c r="J32" s="31">
        <f>ROUND((H32*55%),0)</f>
        <v>10373</v>
      </c>
      <c r="K32" s="31">
        <v>1500</v>
      </c>
      <c r="L32" s="31">
        <v>300</v>
      </c>
      <c r="M32" s="49">
        <v>200</v>
      </c>
      <c r="N32" s="49">
        <v>500</v>
      </c>
      <c r="O32" s="49"/>
      <c r="P32" s="49"/>
      <c r="Q32" s="33">
        <f t="shared" si="1"/>
        <v>34562</v>
      </c>
      <c r="R32" s="34">
        <f t="shared" si="2"/>
        <v>1886</v>
      </c>
      <c r="S32" s="34"/>
      <c r="T32" s="33">
        <f t="shared" si="3"/>
        <v>189</v>
      </c>
      <c r="U32" s="49"/>
      <c r="V32" s="49"/>
      <c r="W32" s="49"/>
      <c r="X32" s="49"/>
      <c r="Y32" s="49"/>
      <c r="Z32" s="31"/>
      <c r="AA32" s="49"/>
      <c r="AB32" s="49"/>
      <c r="AC32" s="49">
        <v>20</v>
      </c>
      <c r="AD32" s="49">
        <v>10</v>
      </c>
      <c r="AE32" s="38"/>
      <c r="AF32" s="33">
        <f t="shared" si="4"/>
        <v>2105</v>
      </c>
      <c r="AG32" s="39">
        <f t="shared" si="5"/>
        <v>32457</v>
      </c>
      <c r="AH32" s="50"/>
      <c r="AI32" s="54"/>
    </row>
    <row r="33" spans="1:237" s="56" customFormat="1" ht="58.5" x14ac:dyDescent="0.25">
      <c r="B33" s="22">
        <v>26</v>
      </c>
      <c r="C33" s="42">
        <v>300075</v>
      </c>
      <c r="D33" s="27" t="s">
        <v>134</v>
      </c>
      <c r="E33" s="46" t="s">
        <v>135</v>
      </c>
      <c r="F33" s="57" t="s">
        <v>136</v>
      </c>
      <c r="G33" s="46" t="s">
        <v>137</v>
      </c>
      <c r="H33" s="58">
        <v>14050</v>
      </c>
      <c r="I33" s="30">
        <f t="shared" si="0"/>
        <v>2108</v>
      </c>
      <c r="J33" s="58">
        <f>ROUND((H33*60%),0)</f>
        <v>8430</v>
      </c>
      <c r="K33" s="58">
        <v>1500</v>
      </c>
      <c r="L33" s="58">
        <v>300</v>
      </c>
      <c r="M33" s="58">
        <v>200</v>
      </c>
      <c r="N33" s="58">
        <v>500</v>
      </c>
      <c r="O33" s="58"/>
      <c r="P33" s="58"/>
      <c r="Q33" s="32">
        <f t="shared" si="1"/>
        <v>27088</v>
      </c>
      <c r="R33" s="31">
        <f t="shared" si="2"/>
        <v>1405</v>
      </c>
      <c r="S33" s="31">
        <v>2100</v>
      </c>
      <c r="T33" s="32">
        <f t="shared" si="3"/>
        <v>141</v>
      </c>
      <c r="U33" s="31"/>
      <c r="V33" s="31"/>
      <c r="W33" s="31"/>
      <c r="X33" s="31"/>
      <c r="Y33" s="31"/>
      <c r="Z33" s="31"/>
      <c r="AA33" s="31">
        <v>0</v>
      </c>
      <c r="AB33" s="31"/>
      <c r="AC33" s="31">
        <v>20</v>
      </c>
      <c r="AD33" s="31">
        <v>10</v>
      </c>
      <c r="AE33" s="59"/>
      <c r="AF33" s="32">
        <f t="shared" si="4"/>
        <v>3676</v>
      </c>
      <c r="AG33" s="60">
        <f t="shared" si="5"/>
        <v>23412</v>
      </c>
      <c r="AH33" s="61" t="s">
        <v>138</v>
      </c>
      <c r="AI33" s="62"/>
    </row>
    <row r="34" spans="1:237" ht="58.5" x14ac:dyDescent="0.25">
      <c r="B34" s="22">
        <v>27</v>
      </c>
      <c r="C34" s="22">
        <v>300078</v>
      </c>
      <c r="D34" s="27" t="s">
        <v>139</v>
      </c>
      <c r="E34" s="46" t="s">
        <v>140</v>
      </c>
      <c r="F34" s="57" t="s">
        <v>136</v>
      </c>
      <c r="G34" s="46" t="s">
        <v>141</v>
      </c>
      <c r="H34" s="58">
        <v>14050</v>
      </c>
      <c r="I34" s="30">
        <f t="shared" si="0"/>
        <v>2108</v>
      </c>
      <c r="J34" s="58">
        <f>ROUND((H34*60%),0)</f>
        <v>8430</v>
      </c>
      <c r="K34" s="58">
        <v>1500</v>
      </c>
      <c r="L34" s="58">
        <v>300</v>
      </c>
      <c r="M34" s="63">
        <v>200</v>
      </c>
      <c r="N34" s="63">
        <v>500</v>
      </c>
      <c r="O34" s="63"/>
      <c r="P34" s="64"/>
      <c r="Q34" s="33">
        <f>SUM(H34:P34)</f>
        <v>27088</v>
      </c>
      <c r="R34" s="34">
        <f t="shared" si="2"/>
        <v>1405</v>
      </c>
      <c r="S34" s="34"/>
      <c r="T34" s="33">
        <f t="shared" si="3"/>
        <v>141</v>
      </c>
      <c r="U34" s="34"/>
      <c r="V34" s="34">
        <v>0</v>
      </c>
      <c r="W34" s="34">
        <v>0</v>
      </c>
      <c r="X34" s="34">
        <v>0</v>
      </c>
      <c r="Y34" s="34">
        <v>0</v>
      </c>
      <c r="Z34" s="34"/>
      <c r="AA34" s="34">
        <v>0</v>
      </c>
      <c r="AB34" s="34"/>
      <c r="AC34" s="34">
        <v>20</v>
      </c>
      <c r="AD34" s="34">
        <v>10</v>
      </c>
      <c r="AE34" s="38"/>
      <c r="AF34" s="33">
        <f t="shared" si="4"/>
        <v>1576</v>
      </c>
      <c r="AG34" s="39">
        <f t="shared" si="5"/>
        <v>25512</v>
      </c>
      <c r="AH34" s="65"/>
      <c r="AI34" s="66"/>
    </row>
    <row r="35" spans="1:237" s="69" customFormat="1" ht="64.5" customHeight="1" x14ac:dyDescent="0.25">
      <c r="A35" s="67"/>
      <c r="B35" s="22">
        <v>28</v>
      </c>
      <c r="C35" s="22">
        <v>300081</v>
      </c>
      <c r="D35" s="27" t="s">
        <v>142</v>
      </c>
      <c r="E35" s="46" t="s">
        <v>143</v>
      </c>
      <c r="F35" s="57" t="s">
        <v>136</v>
      </c>
      <c r="G35" s="46" t="s">
        <v>144</v>
      </c>
      <c r="H35" s="58">
        <v>13380</v>
      </c>
      <c r="I35" s="30">
        <f t="shared" si="0"/>
        <v>2007</v>
      </c>
      <c r="J35" s="58"/>
      <c r="K35" s="58">
        <v>1500</v>
      </c>
      <c r="L35" s="58">
        <v>300</v>
      </c>
      <c r="M35" s="58">
        <v>200</v>
      </c>
      <c r="N35" s="58"/>
      <c r="O35" s="58"/>
      <c r="P35" s="58"/>
      <c r="Q35" s="33">
        <f t="shared" ref="Q35:Q53" si="8">SUM(H35:O35)</f>
        <v>17387</v>
      </c>
      <c r="R35" s="34">
        <f t="shared" si="2"/>
        <v>1338</v>
      </c>
      <c r="S35" s="34"/>
      <c r="T35" s="33">
        <f t="shared" si="3"/>
        <v>134</v>
      </c>
      <c r="U35" s="31"/>
      <c r="V35" s="31"/>
      <c r="W35" s="31">
        <v>1080</v>
      </c>
      <c r="X35" s="31">
        <v>30</v>
      </c>
      <c r="Y35" s="31">
        <v>10</v>
      </c>
      <c r="Z35" s="31">
        <v>783</v>
      </c>
      <c r="AA35" s="31"/>
      <c r="AB35" s="31"/>
      <c r="AC35" s="31">
        <v>20</v>
      </c>
      <c r="AD35" s="31">
        <v>10</v>
      </c>
      <c r="AE35" s="38"/>
      <c r="AF35" s="33">
        <f t="shared" si="4"/>
        <v>3405</v>
      </c>
      <c r="AG35" s="39">
        <f t="shared" si="5"/>
        <v>13982</v>
      </c>
      <c r="AH35" s="61"/>
      <c r="AI35" s="62"/>
      <c r="AJ35" s="67"/>
      <c r="AK35" s="67"/>
      <c r="AL35" s="67"/>
      <c r="AM35" s="67"/>
      <c r="AN35" s="67"/>
      <c r="AO35" s="67"/>
      <c r="AP35" s="67"/>
      <c r="AQ35" s="68"/>
      <c r="AR35" s="68"/>
      <c r="AS35" s="68"/>
      <c r="AT35" s="68"/>
      <c r="AU35" s="68"/>
      <c r="AV35" s="68"/>
      <c r="AW35" s="68"/>
      <c r="AX35" s="68"/>
      <c r="AY35" s="68"/>
      <c r="AZ35" s="68"/>
      <c r="BA35" s="68"/>
      <c r="BB35" s="68"/>
      <c r="BC35" s="68"/>
      <c r="BD35" s="68"/>
      <c r="BE35" s="68"/>
      <c r="BF35" s="68"/>
      <c r="BG35" s="68"/>
      <c r="BH35" s="68"/>
      <c r="BI35" s="68"/>
      <c r="BJ35" s="68"/>
      <c r="BK35" s="68"/>
      <c r="BL35" s="68"/>
      <c r="BM35" s="68"/>
      <c r="BN35" s="68"/>
      <c r="BO35" s="68"/>
      <c r="BP35" s="68"/>
      <c r="BQ35" s="68"/>
      <c r="BR35" s="68"/>
      <c r="BS35" s="68"/>
      <c r="BT35" s="68"/>
      <c r="BU35" s="68"/>
      <c r="BV35" s="68"/>
      <c r="BW35" s="68"/>
      <c r="BX35" s="68"/>
      <c r="BY35" s="68"/>
      <c r="BZ35" s="68"/>
      <c r="CA35" s="68"/>
      <c r="CB35" s="68"/>
      <c r="CC35" s="68"/>
      <c r="CD35" s="68"/>
      <c r="CE35" s="68"/>
      <c r="CF35" s="68"/>
      <c r="CG35" s="68"/>
      <c r="CH35" s="68"/>
      <c r="CI35" s="68"/>
      <c r="CJ35" s="68"/>
      <c r="CK35" s="68"/>
      <c r="CL35" s="68"/>
      <c r="CM35" s="68"/>
      <c r="CN35" s="68"/>
      <c r="CO35" s="68"/>
      <c r="CP35" s="68"/>
      <c r="CQ35" s="68"/>
      <c r="CR35" s="68"/>
      <c r="CS35" s="68"/>
      <c r="CT35" s="68"/>
      <c r="CU35" s="68"/>
      <c r="CV35" s="68"/>
      <c r="CW35" s="68"/>
      <c r="CX35" s="68"/>
      <c r="CY35" s="68"/>
      <c r="CZ35" s="68"/>
      <c r="DA35" s="68"/>
      <c r="DB35" s="68"/>
      <c r="DC35" s="68"/>
      <c r="DD35" s="68"/>
      <c r="DE35" s="68"/>
      <c r="DF35" s="68"/>
      <c r="DG35" s="68"/>
      <c r="DH35" s="68"/>
      <c r="DI35" s="68"/>
      <c r="DJ35" s="68"/>
      <c r="DK35" s="68"/>
      <c r="DL35" s="68"/>
      <c r="DM35" s="68"/>
      <c r="DN35" s="68"/>
      <c r="DO35" s="68"/>
      <c r="DP35" s="68"/>
      <c r="DQ35" s="68"/>
      <c r="DR35" s="68"/>
      <c r="DS35" s="68"/>
      <c r="DT35" s="68"/>
      <c r="DU35" s="68"/>
      <c r="DV35" s="68"/>
      <c r="DW35" s="68"/>
      <c r="DX35" s="68"/>
      <c r="DY35" s="68"/>
      <c r="DZ35" s="68"/>
      <c r="EA35" s="68"/>
      <c r="EB35" s="68"/>
      <c r="EC35" s="68"/>
      <c r="ED35" s="68"/>
      <c r="EE35" s="68"/>
      <c r="EF35" s="68"/>
      <c r="EG35" s="68"/>
      <c r="EH35" s="68"/>
      <c r="EI35" s="68"/>
      <c r="EJ35" s="68"/>
      <c r="EK35" s="68"/>
      <c r="EL35" s="68"/>
      <c r="EM35" s="68"/>
      <c r="EN35" s="68"/>
      <c r="EO35" s="68"/>
      <c r="EP35" s="68"/>
      <c r="EQ35" s="68"/>
      <c r="ER35" s="68"/>
      <c r="ES35" s="68"/>
      <c r="ET35" s="68"/>
      <c r="EU35" s="68"/>
      <c r="EV35" s="68"/>
      <c r="EW35" s="68"/>
      <c r="EX35" s="68"/>
      <c r="EY35" s="68"/>
      <c r="EZ35" s="68"/>
      <c r="FA35" s="68"/>
      <c r="FB35" s="68"/>
      <c r="FC35" s="68"/>
      <c r="FD35" s="68"/>
      <c r="FE35" s="68"/>
      <c r="FF35" s="68"/>
      <c r="FG35" s="68"/>
      <c r="FH35" s="68"/>
      <c r="FI35" s="68"/>
      <c r="FJ35" s="68"/>
      <c r="FK35" s="68"/>
      <c r="FL35" s="68"/>
      <c r="FM35" s="68"/>
      <c r="FN35" s="68"/>
      <c r="FO35" s="68"/>
      <c r="FP35" s="68"/>
      <c r="FQ35" s="68"/>
      <c r="FR35" s="68"/>
      <c r="FS35" s="68"/>
      <c r="FT35" s="68"/>
      <c r="FU35" s="68"/>
      <c r="FV35" s="68"/>
      <c r="FW35" s="68"/>
      <c r="FX35" s="68"/>
      <c r="FY35" s="68"/>
      <c r="FZ35" s="68"/>
      <c r="GA35" s="68"/>
      <c r="GB35" s="68"/>
      <c r="GC35" s="68"/>
      <c r="GD35" s="68"/>
      <c r="GE35" s="68"/>
      <c r="GF35" s="68"/>
      <c r="GG35" s="68"/>
      <c r="GH35" s="68"/>
      <c r="GI35" s="68"/>
      <c r="GJ35" s="68"/>
      <c r="GK35" s="68"/>
      <c r="GL35" s="68"/>
      <c r="GM35" s="68"/>
      <c r="GN35" s="68"/>
      <c r="GO35" s="68"/>
      <c r="GP35" s="68"/>
      <c r="GQ35" s="68"/>
      <c r="GR35" s="68"/>
      <c r="GS35" s="68"/>
      <c r="GT35" s="68"/>
      <c r="GU35" s="68"/>
      <c r="GV35" s="68"/>
      <c r="GW35" s="68"/>
      <c r="GX35" s="68"/>
      <c r="GY35" s="68"/>
      <c r="GZ35" s="68"/>
      <c r="HA35" s="68"/>
      <c r="HB35" s="68"/>
      <c r="HC35" s="68"/>
      <c r="HD35" s="68"/>
      <c r="HE35" s="68"/>
      <c r="HF35" s="68"/>
      <c r="HG35" s="68"/>
      <c r="HH35" s="68"/>
      <c r="HI35" s="68"/>
      <c r="HJ35" s="68"/>
      <c r="HK35" s="68"/>
      <c r="HL35" s="68"/>
      <c r="HM35" s="68"/>
      <c r="HN35" s="68"/>
      <c r="HO35" s="68"/>
      <c r="HP35" s="68"/>
      <c r="HQ35" s="68"/>
      <c r="HR35" s="68"/>
      <c r="HS35" s="68"/>
      <c r="HT35" s="68"/>
      <c r="HU35" s="68"/>
      <c r="HV35" s="68"/>
      <c r="HW35" s="68"/>
      <c r="HX35" s="68"/>
      <c r="HY35" s="68"/>
      <c r="HZ35" s="68"/>
      <c r="IA35" s="68"/>
      <c r="IB35" s="68"/>
      <c r="IC35" s="68"/>
    </row>
    <row r="36" spans="1:237" ht="63" customHeight="1" x14ac:dyDescent="0.25">
      <c r="B36" s="22">
        <v>29</v>
      </c>
      <c r="C36" s="22">
        <v>300095</v>
      </c>
      <c r="D36" s="27" t="s">
        <v>145</v>
      </c>
      <c r="E36" s="46" t="s">
        <v>146</v>
      </c>
      <c r="F36" s="57" t="s">
        <v>136</v>
      </c>
      <c r="G36" s="46" t="s">
        <v>147</v>
      </c>
      <c r="H36" s="58">
        <v>12130</v>
      </c>
      <c r="I36" s="30">
        <f t="shared" si="0"/>
        <v>1820</v>
      </c>
      <c r="J36" s="58"/>
      <c r="K36" s="58">
        <v>1500</v>
      </c>
      <c r="L36" s="58">
        <v>300</v>
      </c>
      <c r="M36" s="63">
        <v>200</v>
      </c>
      <c r="N36" s="63"/>
      <c r="O36" s="63"/>
      <c r="P36" s="63"/>
      <c r="Q36" s="33">
        <f t="shared" si="8"/>
        <v>15950</v>
      </c>
      <c r="R36" s="34">
        <f t="shared" si="2"/>
        <v>1213</v>
      </c>
      <c r="S36" s="34"/>
      <c r="T36" s="33">
        <f t="shared" si="3"/>
        <v>121</v>
      </c>
      <c r="U36" s="34"/>
      <c r="V36" s="34"/>
      <c r="W36" s="34">
        <v>1080</v>
      </c>
      <c r="X36" s="34">
        <v>30</v>
      </c>
      <c r="Y36" s="34">
        <v>10</v>
      </c>
      <c r="Z36" s="31">
        <v>1642</v>
      </c>
      <c r="AA36" s="34"/>
      <c r="AB36" s="34"/>
      <c r="AC36" s="34">
        <v>20</v>
      </c>
      <c r="AD36" s="34">
        <v>10</v>
      </c>
      <c r="AE36" s="38"/>
      <c r="AF36" s="33">
        <f t="shared" si="4"/>
        <v>4126</v>
      </c>
      <c r="AG36" s="39">
        <f t="shared" si="5"/>
        <v>11824</v>
      </c>
      <c r="AH36" s="65"/>
      <c r="AI36" s="70"/>
      <c r="DD36" s="71"/>
      <c r="DE36" s="71"/>
      <c r="DF36" s="71"/>
      <c r="DG36" s="71"/>
      <c r="DH36" s="71"/>
      <c r="DI36" s="71"/>
      <c r="DJ36" s="71"/>
      <c r="DK36" s="71"/>
      <c r="DL36" s="71"/>
      <c r="DM36" s="71"/>
      <c r="DN36" s="71"/>
      <c r="DO36" s="71"/>
      <c r="DP36" s="71"/>
      <c r="DQ36" s="71"/>
      <c r="DR36" s="71"/>
      <c r="DS36" s="71"/>
    </row>
    <row r="37" spans="1:237" s="69" customFormat="1" ht="63" customHeight="1" x14ac:dyDescent="0.25">
      <c r="A37" s="67"/>
      <c r="B37" s="22">
        <v>30</v>
      </c>
      <c r="C37" s="22">
        <v>300090</v>
      </c>
      <c r="D37" s="27" t="s">
        <v>148</v>
      </c>
      <c r="E37" s="46" t="s">
        <v>149</v>
      </c>
      <c r="F37" s="57" t="s">
        <v>136</v>
      </c>
      <c r="G37" s="46" t="s">
        <v>150</v>
      </c>
      <c r="H37" s="58">
        <v>12130</v>
      </c>
      <c r="I37" s="30">
        <f t="shared" si="0"/>
        <v>1820</v>
      </c>
      <c r="J37" s="58">
        <f>ROUND((H37*60%),0)</f>
        <v>7278</v>
      </c>
      <c r="K37" s="58">
        <v>1500</v>
      </c>
      <c r="L37" s="58">
        <v>300</v>
      </c>
      <c r="M37" s="58">
        <v>200</v>
      </c>
      <c r="N37" s="58">
        <v>1000</v>
      </c>
      <c r="O37" s="58"/>
      <c r="P37" s="58"/>
      <c r="Q37" s="33">
        <f t="shared" si="8"/>
        <v>24228</v>
      </c>
      <c r="R37" s="34">
        <f t="shared" si="2"/>
        <v>1213</v>
      </c>
      <c r="S37" s="34">
        <v>2000</v>
      </c>
      <c r="T37" s="33">
        <f t="shared" si="3"/>
        <v>121</v>
      </c>
      <c r="U37" s="31"/>
      <c r="V37" s="31"/>
      <c r="W37" s="31"/>
      <c r="X37" s="31"/>
      <c r="Y37" s="31"/>
      <c r="Z37" s="31"/>
      <c r="AA37" s="31"/>
      <c r="AB37" s="31"/>
      <c r="AC37" s="31">
        <v>20</v>
      </c>
      <c r="AD37" s="31">
        <v>10</v>
      </c>
      <c r="AE37" s="38"/>
      <c r="AF37" s="33">
        <f t="shared" si="4"/>
        <v>3364</v>
      </c>
      <c r="AG37" s="39">
        <f t="shared" si="5"/>
        <v>20864</v>
      </c>
      <c r="AH37" s="72" t="s">
        <v>151</v>
      </c>
      <c r="AI37" s="62"/>
      <c r="DD37" s="68"/>
      <c r="DE37" s="68"/>
      <c r="DF37" s="68"/>
      <c r="DG37" s="68"/>
      <c r="DH37" s="68"/>
      <c r="DI37" s="68"/>
      <c r="DJ37" s="68"/>
      <c r="DK37" s="68"/>
      <c r="DL37" s="68"/>
      <c r="DM37" s="68"/>
      <c r="DN37" s="68"/>
      <c r="DO37" s="68"/>
      <c r="DP37" s="68"/>
      <c r="DQ37" s="68"/>
      <c r="DR37" s="68"/>
      <c r="DS37" s="68"/>
      <c r="DT37" s="68"/>
      <c r="DU37" s="68"/>
      <c r="DV37" s="68"/>
      <c r="DW37" s="68"/>
      <c r="DX37" s="68"/>
      <c r="DY37" s="68"/>
      <c r="DZ37" s="68"/>
      <c r="EA37" s="68"/>
      <c r="EB37" s="68"/>
      <c r="EC37" s="68"/>
      <c r="ED37" s="68"/>
      <c r="EE37" s="68"/>
      <c r="EF37" s="68"/>
      <c r="EG37" s="68"/>
      <c r="EH37" s="68"/>
      <c r="EI37" s="68"/>
      <c r="EJ37" s="68"/>
      <c r="EK37" s="68"/>
      <c r="EL37" s="68"/>
      <c r="EM37" s="68"/>
      <c r="EN37" s="68"/>
      <c r="EO37" s="68"/>
      <c r="EP37" s="68"/>
      <c r="EQ37" s="68"/>
      <c r="ER37" s="68"/>
      <c r="ES37" s="68"/>
      <c r="ET37" s="68"/>
      <c r="EU37" s="68"/>
      <c r="EV37" s="68"/>
      <c r="EW37" s="68"/>
      <c r="EX37" s="68"/>
      <c r="EY37" s="68"/>
      <c r="EZ37" s="68"/>
      <c r="FA37" s="68"/>
      <c r="FB37" s="68"/>
      <c r="FC37" s="68"/>
      <c r="FD37" s="68"/>
      <c r="FE37" s="68"/>
      <c r="FF37" s="68"/>
      <c r="FG37" s="68"/>
      <c r="FH37" s="68"/>
      <c r="FI37" s="68"/>
      <c r="FJ37" s="68"/>
      <c r="FK37" s="68"/>
      <c r="FL37" s="68"/>
      <c r="FM37" s="68"/>
      <c r="FN37" s="68"/>
      <c r="FO37" s="68"/>
      <c r="FP37" s="68"/>
      <c r="FQ37" s="68"/>
      <c r="FR37" s="68"/>
      <c r="FS37" s="68"/>
      <c r="FT37" s="68"/>
      <c r="FU37" s="68"/>
      <c r="FV37" s="68"/>
      <c r="FW37" s="68"/>
      <c r="FX37" s="68"/>
      <c r="FY37" s="68"/>
      <c r="FZ37" s="68"/>
      <c r="GA37" s="68"/>
      <c r="GB37" s="68"/>
      <c r="GC37" s="68"/>
      <c r="GD37" s="68"/>
      <c r="GE37" s="68"/>
      <c r="GF37" s="68"/>
      <c r="GG37" s="68"/>
      <c r="GH37" s="68"/>
      <c r="GI37" s="68"/>
      <c r="GJ37" s="68"/>
      <c r="GK37" s="68"/>
      <c r="GL37" s="68"/>
      <c r="GM37" s="68"/>
      <c r="GN37" s="68"/>
      <c r="GO37" s="68"/>
      <c r="GP37" s="68"/>
      <c r="GQ37" s="68"/>
      <c r="GR37" s="68"/>
      <c r="GS37" s="68"/>
      <c r="GT37" s="68"/>
      <c r="GU37" s="68"/>
      <c r="GV37" s="68"/>
      <c r="GW37" s="68"/>
      <c r="GX37" s="68"/>
      <c r="GY37" s="68"/>
      <c r="GZ37" s="68"/>
      <c r="HA37" s="68"/>
      <c r="HB37" s="68"/>
      <c r="HC37" s="68"/>
      <c r="HD37" s="68"/>
      <c r="HE37" s="68"/>
      <c r="HF37" s="68"/>
      <c r="HG37" s="68"/>
      <c r="HH37" s="68"/>
      <c r="HI37" s="68"/>
      <c r="HJ37" s="68"/>
      <c r="HK37" s="68"/>
      <c r="HL37" s="68"/>
      <c r="HM37" s="68"/>
      <c r="HN37" s="68"/>
      <c r="HO37" s="68"/>
      <c r="HP37" s="68"/>
      <c r="HQ37" s="68"/>
      <c r="HR37" s="68"/>
      <c r="HS37" s="68"/>
      <c r="HT37" s="68"/>
      <c r="HU37" s="68"/>
      <c r="HV37" s="68"/>
      <c r="HW37" s="68"/>
      <c r="HX37" s="68"/>
      <c r="HY37" s="68"/>
      <c r="HZ37" s="68"/>
      <c r="IA37" s="68"/>
      <c r="IB37" s="68"/>
      <c r="IC37" s="68"/>
    </row>
    <row r="38" spans="1:237" ht="67.5" customHeight="1" x14ac:dyDescent="0.25">
      <c r="B38" s="22">
        <v>31</v>
      </c>
      <c r="C38" s="22">
        <v>300121</v>
      </c>
      <c r="D38" s="27" t="s">
        <v>152</v>
      </c>
      <c r="E38" s="46" t="s">
        <v>153</v>
      </c>
      <c r="F38" s="57" t="s">
        <v>136</v>
      </c>
      <c r="G38" s="46" t="s">
        <v>154</v>
      </c>
      <c r="H38" s="58">
        <v>12130</v>
      </c>
      <c r="I38" s="30">
        <f t="shared" si="0"/>
        <v>1820</v>
      </c>
      <c r="J38" s="58">
        <f>ROUND((H38*60%),0)</f>
        <v>7278</v>
      </c>
      <c r="K38" s="58">
        <v>1500</v>
      </c>
      <c r="L38" s="58">
        <v>300</v>
      </c>
      <c r="M38" s="63">
        <v>200</v>
      </c>
      <c r="N38" s="63"/>
      <c r="O38" s="63"/>
      <c r="P38" s="63"/>
      <c r="Q38" s="33">
        <f t="shared" si="8"/>
        <v>23228</v>
      </c>
      <c r="R38" s="34">
        <f t="shared" si="2"/>
        <v>1213</v>
      </c>
      <c r="S38" s="34"/>
      <c r="T38" s="33">
        <f t="shared" si="3"/>
        <v>121</v>
      </c>
      <c r="U38" s="34"/>
      <c r="V38" s="34"/>
      <c r="W38" s="34"/>
      <c r="X38" s="34"/>
      <c r="Y38" s="34"/>
      <c r="Z38" s="73"/>
      <c r="AA38" s="34"/>
      <c r="AB38" s="34"/>
      <c r="AC38" s="34">
        <v>20</v>
      </c>
      <c r="AD38" s="34">
        <v>10</v>
      </c>
      <c r="AE38" s="38"/>
      <c r="AF38" s="33">
        <f t="shared" si="4"/>
        <v>1364</v>
      </c>
      <c r="AG38" s="39">
        <f t="shared" si="5"/>
        <v>21864</v>
      </c>
      <c r="AH38" s="74"/>
      <c r="AI38" s="66"/>
      <c r="DD38" s="71"/>
      <c r="DE38" s="71"/>
      <c r="DF38" s="71"/>
      <c r="DG38" s="71"/>
      <c r="DH38" s="71"/>
      <c r="DI38" s="71"/>
      <c r="DJ38" s="71"/>
      <c r="DK38" s="71"/>
      <c r="DL38" s="71"/>
      <c r="DM38" s="71"/>
      <c r="DN38" s="71"/>
      <c r="DO38" s="71"/>
      <c r="DP38" s="71"/>
      <c r="DQ38" s="71"/>
      <c r="DR38" s="71"/>
      <c r="DS38" s="71"/>
    </row>
    <row r="39" spans="1:237" ht="58.5" customHeight="1" x14ac:dyDescent="0.25">
      <c r="B39" s="22">
        <v>32</v>
      </c>
      <c r="C39" s="22">
        <v>300048</v>
      </c>
      <c r="D39" s="27" t="s">
        <v>155</v>
      </c>
      <c r="E39" s="41" t="s">
        <v>156</v>
      </c>
      <c r="F39" s="42" t="s">
        <v>157</v>
      </c>
      <c r="G39" s="29" t="s">
        <v>158</v>
      </c>
      <c r="H39" s="31">
        <v>18860</v>
      </c>
      <c r="I39" s="30">
        <f t="shared" si="0"/>
        <v>2829</v>
      </c>
      <c r="J39" s="31">
        <v>0</v>
      </c>
      <c r="K39" s="31">
        <v>1500</v>
      </c>
      <c r="L39" s="31">
        <v>300</v>
      </c>
      <c r="M39" s="34">
        <v>200</v>
      </c>
      <c r="N39" s="34">
        <v>500</v>
      </c>
      <c r="O39" s="34"/>
      <c r="P39" s="34"/>
      <c r="Q39" s="33">
        <f t="shared" si="8"/>
        <v>24189</v>
      </c>
      <c r="R39" s="34">
        <f t="shared" si="2"/>
        <v>1886</v>
      </c>
      <c r="S39" s="34"/>
      <c r="T39" s="33">
        <f t="shared" si="3"/>
        <v>189</v>
      </c>
      <c r="U39" s="34"/>
      <c r="V39" s="34">
        <v>0</v>
      </c>
      <c r="W39" s="34">
        <v>1080</v>
      </c>
      <c r="X39" s="34">
        <v>30</v>
      </c>
      <c r="Y39" s="34">
        <v>10</v>
      </c>
      <c r="Z39" s="34">
        <v>1905</v>
      </c>
      <c r="AA39" s="34">
        <v>0</v>
      </c>
      <c r="AB39" s="34"/>
      <c r="AC39" s="34">
        <v>20</v>
      </c>
      <c r="AD39" s="34">
        <v>10</v>
      </c>
      <c r="AE39" s="38"/>
      <c r="AF39" s="33">
        <f t="shared" si="4"/>
        <v>5130</v>
      </c>
      <c r="AG39" s="39">
        <f t="shared" si="5"/>
        <v>19059</v>
      </c>
      <c r="AH39" s="26"/>
      <c r="AI39" s="22"/>
    </row>
    <row r="40" spans="1:237" ht="61.5" customHeight="1" x14ac:dyDescent="0.25">
      <c r="B40" s="22">
        <v>33</v>
      </c>
      <c r="C40" s="22">
        <v>300094</v>
      </c>
      <c r="D40" s="27" t="s">
        <v>159</v>
      </c>
      <c r="E40" s="41" t="s">
        <v>160</v>
      </c>
      <c r="F40" s="42" t="s">
        <v>161</v>
      </c>
      <c r="G40" s="29" t="s">
        <v>162</v>
      </c>
      <c r="H40" s="31">
        <v>13380</v>
      </c>
      <c r="I40" s="30">
        <f t="shared" si="0"/>
        <v>2007</v>
      </c>
      <c r="J40" s="31">
        <f>ROUND((H40*60%),0)</f>
        <v>8028</v>
      </c>
      <c r="K40" s="31">
        <v>1500</v>
      </c>
      <c r="L40" s="31">
        <v>300</v>
      </c>
      <c r="M40" s="34">
        <v>200</v>
      </c>
      <c r="N40" s="34">
        <v>500</v>
      </c>
      <c r="O40" s="34"/>
      <c r="P40" s="34"/>
      <c r="Q40" s="33">
        <f t="shared" si="8"/>
        <v>25915</v>
      </c>
      <c r="R40" s="34">
        <f t="shared" si="2"/>
        <v>1338</v>
      </c>
      <c r="S40" s="34">
        <v>2500</v>
      </c>
      <c r="T40" s="33">
        <f t="shared" si="3"/>
        <v>134</v>
      </c>
      <c r="U40" s="34"/>
      <c r="V40" s="34"/>
      <c r="W40" s="34"/>
      <c r="X40" s="34"/>
      <c r="Y40" s="34"/>
      <c r="Z40" s="34"/>
      <c r="AA40" s="34"/>
      <c r="AB40" s="34"/>
      <c r="AC40" s="34">
        <v>20</v>
      </c>
      <c r="AD40" s="34">
        <v>10</v>
      </c>
      <c r="AE40" s="38"/>
      <c r="AF40" s="33">
        <f t="shared" si="4"/>
        <v>4002</v>
      </c>
      <c r="AG40" s="39">
        <f t="shared" si="5"/>
        <v>21913</v>
      </c>
      <c r="AH40" s="44" t="s">
        <v>163</v>
      </c>
      <c r="AI40" s="22"/>
    </row>
    <row r="41" spans="1:237" ht="66.75" customHeight="1" x14ac:dyDescent="0.25">
      <c r="B41" s="22">
        <v>34</v>
      </c>
      <c r="C41" s="22">
        <v>300117</v>
      </c>
      <c r="D41" s="27" t="s">
        <v>164</v>
      </c>
      <c r="E41" s="41" t="s">
        <v>165</v>
      </c>
      <c r="F41" s="42" t="s">
        <v>136</v>
      </c>
      <c r="G41" s="29" t="s">
        <v>166</v>
      </c>
      <c r="H41" s="31">
        <v>12740</v>
      </c>
      <c r="I41" s="30">
        <f t="shared" si="0"/>
        <v>1911</v>
      </c>
      <c r="J41" s="31">
        <f>ROUND((H41*60%),0)</f>
        <v>7644</v>
      </c>
      <c r="K41" s="31">
        <v>1500</v>
      </c>
      <c r="L41" s="31">
        <v>300</v>
      </c>
      <c r="M41" s="34">
        <v>200</v>
      </c>
      <c r="N41" s="34">
        <v>1000</v>
      </c>
      <c r="O41" s="34"/>
      <c r="P41" s="34"/>
      <c r="Q41" s="33">
        <f t="shared" si="8"/>
        <v>25295</v>
      </c>
      <c r="R41" s="34">
        <f t="shared" si="2"/>
        <v>1274</v>
      </c>
      <c r="S41" s="34"/>
      <c r="T41" s="33">
        <f t="shared" si="3"/>
        <v>127</v>
      </c>
      <c r="U41" s="34"/>
      <c r="V41" s="34"/>
      <c r="W41" s="34"/>
      <c r="X41" s="34"/>
      <c r="Y41" s="34"/>
      <c r="Z41" s="49"/>
      <c r="AA41" s="34"/>
      <c r="AB41" s="34"/>
      <c r="AC41" s="34">
        <v>20</v>
      </c>
      <c r="AD41" s="34">
        <v>10</v>
      </c>
      <c r="AE41" s="38"/>
      <c r="AF41" s="33">
        <f t="shared" si="4"/>
        <v>1431</v>
      </c>
      <c r="AG41" s="39">
        <f t="shared" si="5"/>
        <v>23864</v>
      </c>
      <c r="AH41" s="26"/>
      <c r="AI41" s="22"/>
    </row>
    <row r="42" spans="1:237" ht="81" customHeight="1" x14ac:dyDescent="0.25">
      <c r="B42" s="22">
        <v>35</v>
      </c>
      <c r="C42" s="52">
        <v>300136</v>
      </c>
      <c r="D42" s="27" t="s">
        <v>167</v>
      </c>
      <c r="E42" s="41" t="s">
        <v>168</v>
      </c>
      <c r="F42" s="42" t="s">
        <v>169</v>
      </c>
      <c r="G42" s="29" t="s">
        <v>170</v>
      </c>
      <c r="H42" s="31">
        <v>11550</v>
      </c>
      <c r="I42" s="30">
        <f t="shared" si="0"/>
        <v>1733</v>
      </c>
      <c r="J42" s="31">
        <f>ROUND((H42*60%),0)</f>
        <v>6930</v>
      </c>
      <c r="K42" s="31">
        <v>1500</v>
      </c>
      <c r="L42" s="31">
        <v>300</v>
      </c>
      <c r="M42" s="34">
        <v>200</v>
      </c>
      <c r="N42" s="34"/>
      <c r="O42" s="34"/>
      <c r="P42" s="34"/>
      <c r="Q42" s="33">
        <f t="shared" si="8"/>
        <v>22213</v>
      </c>
      <c r="R42" s="34">
        <f t="shared" si="2"/>
        <v>1155</v>
      </c>
      <c r="S42" s="34">
        <v>1000</v>
      </c>
      <c r="T42" s="33">
        <f t="shared" si="3"/>
        <v>116</v>
      </c>
      <c r="U42" s="34"/>
      <c r="V42" s="34"/>
      <c r="W42" s="34"/>
      <c r="X42" s="34"/>
      <c r="Y42" s="34"/>
      <c r="Z42" s="49"/>
      <c r="AA42" s="34"/>
      <c r="AB42" s="34"/>
      <c r="AC42" s="34">
        <v>20</v>
      </c>
      <c r="AD42" s="34">
        <v>10</v>
      </c>
      <c r="AE42" s="38"/>
      <c r="AF42" s="33">
        <f t="shared" si="4"/>
        <v>2301</v>
      </c>
      <c r="AG42" s="39">
        <f t="shared" si="5"/>
        <v>19912</v>
      </c>
      <c r="AH42" s="44" t="s">
        <v>171</v>
      </c>
      <c r="AI42" s="22"/>
    </row>
    <row r="43" spans="1:237" ht="64.5" customHeight="1" x14ac:dyDescent="0.25">
      <c r="B43" s="22">
        <v>36</v>
      </c>
      <c r="C43" s="22">
        <v>300047</v>
      </c>
      <c r="D43" s="75" t="s">
        <v>172</v>
      </c>
      <c r="E43" s="41" t="s">
        <v>173</v>
      </c>
      <c r="F43" s="42" t="s">
        <v>174</v>
      </c>
      <c r="G43" s="29" t="s">
        <v>175</v>
      </c>
      <c r="H43" s="31">
        <v>18860</v>
      </c>
      <c r="I43" s="30">
        <f t="shared" si="0"/>
        <v>2829</v>
      </c>
      <c r="J43" s="31">
        <v>0</v>
      </c>
      <c r="K43" s="31">
        <v>1500</v>
      </c>
      <c r="L43" s="31">
        <v>300</v>
      </c>
      <c r="M43" s="34">
        <v>200</v>
      </c>
      <c r="N43" s="34">
        <v>500</v>
      </c>
      <c r="O43" s="34"/>
      <c r="P43" s="34"/>
      <c r="Q43" s="33">
        <f t="shared" si="8"/>
        <v>24189</v>
      </c>
      <c r="R43" s="34">
        <f t="shared" si="2"/>
        <v>1886</v>
      </c>
      <c r="S43" s="34"/>
      <c r="T43" s="33">
        <f t="shared" si="3"/>
        <v>189</v>
      </c>
      <c r="U43" s="34"/>
      <c r="V43" s="34">
        <v>0</v>
      </c>
      <c r="W43" s="34">
        <v>1080</v>
      </c>
      <c r="X43" s="34">
        <v>30</v>
      </c>
      <c r="Y43" s="34">
        <v>10</v>
      </c>
      <c r="Z43" s="34">
        <v>1063</v>
      </c>
      <c r="AA43" s="34">
        <v>0</v>
      </c>
      <c r="AB43" s="34"/>
      <c r="AC43" s="34">
        <v>20</v>
      </c>
      <c r="AD43" s="34">
        <v>10</v>
      </c>
      <c r="AE43" s="38"/>
      <c r="AF43" s="33">
        <f t="shared" si="4"/>
        <v>4288</v>
      </c>
      <c r="AG43" s="39">
        <f t="shared" si="5"/>
        <v>19901</v>
      </c>
      <c r="AH43" s="26"/>
      <c r="AI43" s="22"/>
    </row>
    <row r="44" spans="1:237" ht="63" customHeight="1" x14ac:dyDescent="0.25">
      <c r="B44" s="22">
        <v>37</v>
      </c>
      <c r="C44" s="22">
        <v>300032</v>
      </c>
      <c r="D44" s="27" t="s">
        <v>176</v>
      </c>
      <c r="E44" s="46" t="s">
        <v>177</v>
      </c>
      <c r="F44" s="57" t="s">
        <v>178</v>
      </c>
      <c r="G44" s="46" t="s">
        <v>179</v>
      </c>
      <c r="H44" s="31">
        <v>14050</v>
      </c>
      <c r="I44" s="30">
        <f t="shared" si="0"/>
        <v>2108</v>
      </c>
      <c r="J44" s="31"/>
      <c r="K44" s="31">
        <v>1500</v>
      </c>
      <c r="L44" s="31">
        <v>300</v>
      </c>
      <c r="M44" s="34">
        <v>200</v>
      </c>
      <c r="N44" s="34">
        <v>1000</v>
      </c>
      <c r="O44" s="34"/>
      <c r="P44" s="34"/>
      <c r="Q44" s="33">
        <f t="shared" si="8"/>
        <v>19158</v>
      </c>
      <c r="R44" s="34">
        <f t="shared" si="2"/>
        <v>1405</v>
      </c>
      <c r="S44" s="34">
        <v>2500</v>
      </c>
      <c r="T44" s="33">
        <f t="shared" si="3"/>
        <v>141</v>
      </c>
      <c r="U44" s="34"/>
      <c r="V44" s="34">
        <v>0</v>
      </c>
      <c r="W44" s="34">
        <v>1080</v>
      </c>
      <c r="X44" s="34">
        <v>30</v>
      </c>
      <c r="Y44" s="34">
        <v>10</v>
      </c>
      <c r="Z44" s="34">
        <v>1010</v>
      </c>
      <c r="AA44" s="34">
        <v>0</v>
      </c>
      <c r="AB44" s="34"/>
      <c r="AC44" s="34">
        <v>20</v>
      </c>
      <c r="AD44" s="34">
        <v>10</v>
      </c>
      <c r="AE44" s="38"/>
      <c r="AF44" s="33">
        <f t="shared" si="4"/>
        <v>6206</v>
      </c>
      <c r="AG44" s="39">
        <f t="shared" si="5"/>
        <v>12952</v>
      </c>
      <c r="AH44" s="47" t="s">
        <v>180</v>
      </c>
      <c r="AI44" s="22"/>
    </row>
    <row r="45" spans="1:237" ht="77.25" customHeight="1" x14ac:dyDescent="0.25">
      <c r="B45" s="22">
        <v>38</v>
      </c>
      <c r="C45" s="52">
        <v>300028</v>
      </c>
      <c r="D45" s="76" t="s">
        <v>181</v>
      </c>
      <c r="E45" s="41" t="s">
        <v>182</v>
      </c>
      <c r="F45" s="42" t="s">
        <v>183</v>
      </c>
      <c r="G45" s="29" t="s">
        <v>184</v>
      </c>
      <c r="H45" s="31">
        <v>17100</v>
      </c>
      <c r="I45" s="30">
        <f t="shared" si="0"/>
        <v>2565</v>
      </c>
      <c r="J45" s="31">
        <v>0</v>
      </c>
      <c r="K45" s="31">
        <v>1500</v>
      </c>
      <c r="L45" s="31">
        <v>300</v>
      </c>
      <c r="M45" s="34">
        <v>200</v>
      </c>
      <c r="N45" s="34">
        <v>500</v>
      </c>
      <c r="O45" s="34"/>
      <c r="P45" s="34"/>
      <c r="Q45" s="33">
        <f t="shared" si="8"/>
        <v>22165</v>
      </c>
      <c r="R45" s="34">
        <f t="shared" si="2"/>
        <v>1710</v>
      </c>
      <c r="S45" s="34"/>
      <c r="T45" s="33">
        <f t="shared" si="3"/>
        <v>171</v>
      </c>
      <c r="U45" s="34"/>
      <c r="V45" s="34">
        <v>0</v>
      </c>
      <c r="W45" s="34">
        <v>1080</v>
      </c>
      <c r="X45" s="34">
        <v>30</v>
      </c>
      <c r="Y45" s="34">
        <v>10</v>
      </c>
      <c r="Z45" s="34">
        <v>1554</v>
      </c>
      <c r="AA45" s="34">
        <v>0</v>
      </c>
      <c r="AB45" s="34"/>
      <c r="AC45" s="34">
        <v>20</v>
      </c>
      <c r="AD45" s="34">
        <v>10</v>
      </c>
      <c r="AE45" s="38"/>
      <c r="AF45" s="33">
        <f t="shared" si="4"/>
        <v>4585</v>
      </c>
      <c r="AG45" s="39">
        <f t="shared" si="5"/>
        <v>17580</v>
      </c>
      <c r="AH45" s="26"/>
      <c r="AI45" s="22"/>
    </row>
    <row r="46" spans="1:237" ht="58.5" x14ac:dyDescent="0.25">
      <c r="B46" s="22">
        <v>39</v>
      </c>
      <c r="C46" s="52">
        <v>300030</v>
      </c>
      <c r="D46" s="76" t="s">
        <v>185</v>
      </c>
      <c r="E46" s="41" t="s">
        <v>186</v>
      </c>
      <c r="F46" s="77" t="s">
        <v>187</v>
      </c>
      <c r="G46" s="29" t="s">
        <v>188</v>
      </c>
      <c r="H46" s="31">
        <v>17100</v>
      </c>
      <c r="I46" s="30">
        <f t="shared" si="0"/>
        <v>2565</v>
      </c>
      <c r="J46" s="31"/>
      <c r="K46" s="31">
        <v>1500</v>
      </c>
      <c r="L46" s="31">
        <v>300</v>
      </c>
      <c r="M46" s="34">
        <v>200</v>
      </c>
      <c r="N46" s="34"/>
      <c r="O46" s="34"/>
      <c r="P46" s="34"/>
      <c r="Q46" s="33">
        <f t="shared" si="8"/>
        <v>21665</v>
      </c>
      <c r="R46" s="34">
        <f t="shared" si="2"/>
        <v>1710</v>
      </c>
      <c r="S46" s="34"/>
      <c r="T46" s="33">
        <f t="shared" si="3"/>
        <v>171</v>
      </c>
      <c r="U46" s="34"/>
      <c r="V46" s="34"/>
      <c r="W46" s="34">
        <v>1080</v>
      </c>
      <c r="X46" s="34">
        <v>30</v>
      </c>
      <c r="Y46" s="34">
        <v>10</v>
      </c>
      <c r="Z46" s="34">
        <v>2200</v>
      </c>
      <c r="AA46" s="34"/>
      <c r="AB46" s="34"/>
      <c r="AC46" s="34">
        <v>20</v>
      </c>
      <c r="AD46" s="34">
        <v>10</v>
      </c>
      <c r="AE46" s="38"/>
      <c r="AF46" s="33">
        <f t="shared" si="4"/>
        <v>5231</v>
      </c>
      <c r="AG46" s="39">
        <f t="shared" si="5"/>
        <v>16434</v>
      </c>
      <c r="AH46" s="47"/>
      <c r="AI46" s="22"/>
    </row>
    <row r="47" spans="1:237" ht="60" customHeight="1" x14ac:dyDescent="0.25">
      <c r="B47" s="22">
        <v>40</v>
      </c>
      <c r="C47" s="52">
        <v>300157</v>
      </c>
      <c r="D47" s="76" t="s">
        <v>189</v>
      </c>
      <c r="E47" s="41" t="s">
        <v>190</v>
      </c>
      <c r="F47" s="77" t="s">
        <v>191</v>
      </c>
      <c r="G47" s="48" t="s">
        <v>192</v>
      </c>
      <c r="H47" s="31">
        <v>11000</v>
      </c>
      <c r="I47" s="30">
        <f t="shared" si="0"/>
        <v>1650</v>
      </c>
      <c r="J47" s="31">
        <f>ROUND((H47*60%),0)</f>
        <v>6600</v>
      </c>
      <c r="K47" s="31">
        <v>1500</v>
      </c>
      <c r="L47" s="31">
        <v>300</v>
      </c>
      <c r="M47" s="34">
        <v>200</v>
      </c>
      <c r="N47" s="34"/>
      <c r="O47" s="34"/>
      <c r="P47" s="34"/>
      <c r="Q47" s="33">
        <f t="shared" si="8"/>
        <v>21250</v>
      </c>
      <c r="R47" s="34">
        <f t="shared" si="2"/>
        <v>1100</v>
      </c>
      <c r="S47" s="34"/>
      <c r="T47" s="33">
        <f t="shared" si="3"/>
        <v>110</v>
      </c>
      <c r="U47" s="34"/>
      <c r="V47" s="34"/>
      <c r="W47" s="34"/>
      <c r="X47" s="34"/>
      <c r="Y47" s="34"/>
      <c r="Z47" s="34"/>
      <c r="AA47" s="34"/>
      <c r="AB47" s="34"/>
      <c r="AC47" s="34"/>
      <c r="AD47" s="34">
        <v>10</v>
      </c>
      <c r="AE47" s="38"/>
      <c r="AF47" s="33">
        <f t="shared" si="4"/>
        <v>1220</v>
      </c>
      <c r="AG47" s="39">
        <f t="shared" si="5"/>
        <v>20030</v>
      </c>
      <c r="AH47" s="47"/>
      <c r="AI47" s="22"/>
    </row>
    <row r="48" spans="1:237" ht="61.5" customHeight="1" x14ac:dyDescent="0.25">
      <c r="B48" s="22">
        <v>41</v>
      </c>
      <c r="C48" s="22">
        <v>300060</v>
      </c>
      <c r="D48" s="27" t="s">
        <v>193</v>
      </c>
      <c r="E48" s="41" t="s">
        <v>194</v>
      </c>
      <c r="F48" s="42" t="s">
        <v>195</v>
      </c>
      <c r="G48" s="29" t="s">
        <v>196</v>
      </c>
      <c r="H48" s="31">
        <v>19810</v>
      </c>
      <c r="I48" s="30">
        <f t="shared" si="0"/>
        <v>2972</v>
      </c>
      <c r="J48" s="31"/>
      <c r="K48" s="31">
        <v>1500</v>
      </c>
      <c r="L48" s="31">
        <v>300</v>
      </c>
      <c r="M48" s="34">
        <v>200</v>
      </c>
      <c r="N48" s="34">
        <v>0</v>
      </c>
      <c r="O48" s="34"/>
      <c r="P48" s="34"/>
      <c r="Q48" s="33">
        <f t="shared" si="8"/>
        <v>24782</v>
      </c>
      <c r="R48" s="34">
        <f t="shared" si="2"/>
        <v>1981</v>
      </c>
      <c r="S48" s="34"/>
      <c r="T48" s="33">
        <f t="shared" si="3"/>
        <v>198</v>
      </c>
      <c r="U48" s="34"/>
      <c r="V48" s="34"/>
      <c r="W48" s="78">
        <v>1080</v>
      </c>
      <c r="X48" s="34">
        <v>30</v>
      </c>
      <c r="Y48" s="34">
        <v>10</v>
      </c>
      <c r="Z48" s="73">
        <v>292</v>
      </c>
      <c r="AA48" s="34">
        <v>0</v>
      </c>
      <c r="AB48" s="34"/>
      <c r="AC48" s="34">
        <v>20</v>
      </c>
      <c r="AD48" s="34">
        <v>10</v>
      </c>
      <c r="AE48" s="38"/>
      <c r="AF48" s="33">
        <f t="shared" si="4"/>
        <v>3621</v>
      </c>
      <c r="AG48" s="39">
        <f t="shared" si="5"/>
        <v>21161</v>
      </c>
      <c r="AH48" s="26"/>
      <c r="AI48" s="22"/>
    </row>
    <row r="49" spans="1:50" ht="60" customHeight="1" x14ac:dyDescent="0.25">
      <c r="B49" s="22">
        <v>42</v>
      </c>
      <c r="C49" s="22">
        <v>300049</v>
      </c>
      <c r="D49" s="75" t="s">
        <v>197</v>
      </c>
      <c r="E49" s="41" t="s">
        <v>198</v>
      </c>
      <c r="F49" s="42" t="s">
        <v>199</v>
      </c>
      <c r="G49" s="29" t="s">
        <v>200</v>
      </c>
      <c r="H49" s="31">
        <v>19810</v>
      </c>
      <c r="I49" s="30">
        <f t="shared" si="0"/>
        <v>2972</v>
      </c>
      <c r="J49" s="31">
        <v>0</v>
      </c>
      <c r="K49" s="31">
        <v>1500</v>
      </c>
      <c r="L49" s="31">
        <v>300</v>
      </c>
      <c r="M49" s="34">
        <v>200</v>
      </c>
      <c r="N49" s="34">
        <v>500</v>
      </c>
      <c r="O49" s="34"/>
      <c r="P49" s="34"/>
      <c r="Q49" s="33">
        <f t="shared" si="8"/>
        <v>25282</v>
      </c>
      <c r="R49" s="34">
        <f t="shared" si="2"/>
        <v>1981</v>
      </c>
      <c r="S49" s="34"/>
      <c r="T49" s="33">
        <f t="shared" si="3"/>
        <v>198</v>
      </c>
      <c r="U49" s="34"/>
      <c r="V49" s="34">
        <v>0</v>
      </c>
      <c r="W49" s="34">
        <v>1080</v>
      </c>
      <c r="X49" s="34">
        <v>30</v>
      </c>
      <c r="Y49" s="34">
        <v>10</v>
      </c>
      <c r="Z49" s="34">
        <v>1913</v>
      </c>
      <c r="AA49" s="34">
        <v>0</v>
      </c>
      <c r="AB49" s="34"/>
      <c r="AC49" s="34">
        <v>20</v>
      </c>
      <c r="AD49" s="34">
        <v>10</v>
      </c>
      <c r="AE49" s="38"/>
      <c r="AF49" s="33">
        <f t="shared" si="4"/>
        <v>5242</v>
      </c>
      <c r="AG49" s="39">
        <f t="shared" si="5"/>
        <v>20040</v>
      </c>
      <c r="AH49" s="47"/>
      <c r="AI49" s="22"/>
    </row>
    <row r="50" spans="1:50" ht="60.75" customHeight="1" x14ac:dyDescent="0.25">
      <c r="B50" s="22">
        <v>43</v>
      </c>
      <c r="C50" s="22">
        <v>300050</v>
      </c>
      <c r="D50" s="75" t="s">
        <v>201</v>
      </c>
      <c r="E50" s="41" t="s">
        <v>202</v>
      </c>
      <c r="F50" s="42" t="s">
        <v>199</v>
      </c>
      <c r="G50" s="29" t="s">
        <v>203</v>
      </c>
      <c r="H50" s="31">
        <v>19810</v>
      </c>
      <c r="I50" s="30">
        <f t="shared" si="0"/>
        <v>2972</v>
      </c>
      <c r="J50" s="31">
        <v>0</v>
      </c>
      <c r="K50" s="31">
        <v>1500</v>
      </c>
      <c r="L50" s="31">
        <v>300</v>
      </c>
      <c r="M50" s="34">
        <v>200</v>
      </c>
      <c r="N50" s="34">
        <v>500</v>
      </c>
      <c r="O50" s="34"/>
      <c r="P50" s="34"/>
      <c r="Q50" s="33">
        <f t="shared" si="8"/>
        <v>25282</v>
      </c>
      <c r="R50" s="34">
        <f t="shared" si="2"/>
        <v>1981</v>
      </c>
      <c r="S50" s="34"/>
      <c r="T50" s="33">
        <f t="shared" si="3"/>
        <v>198</v>
      </c>
      <c r="U50" s="34"/>
      <c r="V50" s="34">
        <v>0</v>
      </c>
      <c r="W50" s="34">
        <v>1080</v>
      </c>
      <c r="X50" s="34">
        <v>30</v>
      </c>
      <c r="Y50" s="34">
        <v>10</v>
      </c>
      <c r="Z50" s="34">
        <v>1350</v>
      </c>
      <c r="AA50" s="34">
        <v>0</v>
      </c>
      <c r="AB50" s="34"/>
      <c r="AC50" s="34">
        <v>20</v>
      </c>
      <c r="AD50" s="34">
        <v>10</v>
      </c>
      <c r="AE50" s="38"/>
      <c r="AF50" s="33">
        <f t="shared" si="4"/>
        <v>4679</v>
      </c>
      <c r="AG50" s="39">
        <f t="shared" si="5"/>
        <v>20603</v>
      </c>
      <c r="AH50" s="26"/>
      <c r="AI50" s="22"/>
    </row>
    <row r="51" spans="1:50" ht="58.5" customHeight="1" x14ac:dyDescent="0.25">
      <c r="B51" s="22">
        <v>44</v>
      </c>
      <c r="C51" s="22">
        <v>300052</v>
      </c>
      <c r="D51" s="75" t="s">
        <v>204</v>
      </c>
      <c r="E51" s="41" t="s">
        <v>205</v>
      </c>
      <c r="F51" s="42" t="s">
        <v>199</v>
      </c>
      <c r="G51" s="29" t="s">
        <v>206</v>
      </c>
      <c r="H51" s="31">
        <v>19810</v>
      </c>
      <c r="I51" s="30">
        <f t="shared" si="0"/>
        <v>2972</v>
      </c>
      <c r="J51" s="31">
        <v>0</v>
      </c>
      <c r="K51" s="31">
        <v>1500</v>
      </c>
      <c r="L51" s="31">
        <v>300</v>
      </c>
      <c r="M51" s="34">
        <v>200</v>
      </c>
      <c r="N51" s="34"/>
      <c r="O51" s="34"/>
      <c r="P51" s="34"/>
      <c r="Q51" s="33">
        <f t="shared" si="8"/>
        <v>24782</v>
      </c>
      <c r="R51" s="34">
        <f t="shared" si="2"/>
        <v>1981</v>
      </c>
      <c r="S51" s="34">
        <v>3000</v>
      </c>
      <c r="T51" s="33">
        <f t="shared" si="3"/>
        <v>198</v>
      </c>
      <c r="U51" s="34"/>
      <c r="V51" s="34">
        <v>0</v>
      </c>
      <c r="W51" s="34">
        <v>1080</v>
      </c>
      <c r="X51" s="34">
        <v>30</v>
      </c>
      <c r="Y51" s="34">
        <v>10</v>
      </c>
      <c r="Z51" s="79">
        <v>2326</v>
      </c>
      <c r="AA51" s="34">
        <v>0</v>
      </c>
      <c r="AB51" s="34"/>
      <c r="AC51" s="34">
        <v>20</v>
      </c>
      <c r="AD51" s="34">
        <v>10</v>
      </c>
      <c r="AE51" s="38"/>
      <c r="AF51" s="33">
        <f t="shared" si="4"/>
        <v>8655</v>
      </c>
      <c r="AG51" s="39">
        <f t="shared" si="5"/>
        <v>16127</v>
      </c>
      <c r="AH51" s="47" t="s">
        <v>207</v>
      </c>
      <c r="AI51" s="22"/>
    </row>
    <row r="52" spans="1:50" ht="64.5" customHeight="1" x14ac:dyDescent="0.25">
      <c r="B52" s="22">
        <v>45</v>
      </c>
      <c r="C52" s="22">
        <v>300053</v>
      </c>
      <c r="D52" s="75" t="s">
        <v>208</v>
      </c>
      <c r="E52" s="41" t="s">
        <v>209</v>
      </c>
      <c r="F52" s="42" t="s">
        <v>199</v>
      </c>
      <c r="G52" s="29" t="s">
        <v>210</v>
      </c>
      <c r="H52" s="31">
        <v>19810</v>
      </c>
      <c r="I52" s="30">
        <f t="shared" si="0"/>
        <v>2972</v>
      </c>
      <c r="J52" s="31">
        <v>0</v>
      </c>
      <c r="K52" s="31">
        <v>1500</v>
      </c>
      <c r="L52" s="31">
        <v>300</v>
      </c>
      <c r="M52" s="34">
        <v>200</v>
      </c>
      <c r="N52" s="34">
        <v>1000</v>
      </c>
      <c r="O52" s="34"/>
      <c r="P52" s="34"/>
      <c r="Q52" s="33">
        <f t="shared" si="8"/>
        <v>25782</v>
      </c>
      <c r="R52" s="34">
        <f t="shared" si="2"/>
        <v>1981</v>
      </c>
      <c r="S52" s="34">
        <v>1460</v>
      </c>
      <c r="T52" s="33">
        <f t="shared" si="3"/>
        <v>198</v>
      </c>
      <c r="U52" s="34"/>
      <c r="V52" s="34">
        <v>0</v>
      </c>
      <c r="W52" s="34">
        <v>1080</v>
      </c>
      <c r="X52" s="34">
        <v>30</v>
      </c>
      <c r="Y52" s="34">
        <v>10</v>
      </c>
      <c r="Z52" s="31">
        <v>1937</v>
      </c>
      <c r="AA52" s="34">
        <v>0</v>
      </c>
      <c r="AB52" s="34"/>
      <c r="AC52" s="34">
        <v>20</v>
      </c>
      <c r="AD52" s="34">
        <v>10</v>
      </c>
      <c r="AE52" s="38"/>
      <c r="AF52" s="33">
        <f t="shared" si="4"/>
        <v>6726</v>
      </c>
      <c r="AG52" s="39">
        <f t="shared" si="5"/>
        <v>19056</v>
      </c>
      <c r="AH52" s="44" t="s">
        <v>211</v>
      </c>
      <c r="AI52" s="22"/>
    </row>
    <row r="53" spans="1:50" ht="63.75" customHeight="1" x14ac:dyDescent="0.25">
      <c r="B53" s="22">
        <v>46</v>
      </c>
      <c r="C53" s="22">
        <v>300054</v>
      </c>
      <c r="D53" s="75" t="s">
        <v>212</v>
      </c>
      <c r="E53" s="41" t="s">
        <v>213</v>
      </c>
      <c r="F53" s="42" t="s">
        <v>199</v>
      </c>
      <c r="G53" s="29" t="s">
        <v>214</v>
      </c>
      <c r="H53" s="31">
        <v>19810</v>
      </c>
      <c r="I53" s="30">
        <f t="shared" si="0"/>
        <v>2972</v>
      </c>
      <c r="J53" s="31">
        <f>ROUND((H53*55%),0)</f>
        <v>10896</v>
      </c>
      <c r="K53" s="31">
        <v>1500</v>
      </c>
      <c r="L53" s="31">
        <v>300</v>
      </c>
      <c r="M53" s="34">
        <v>200</v>
      </c>
      <c r="N53" s="34">
        <v>1000</v>
      </c>
      <c r="O53" s="34"/>
      <c r="P53" s="34"/>
      <c r="Q53" s="33">
        <f t="shared" si="8"/>
        <v>36678</v>
      </c>
      <c r="R53" s="34">
        <f t="shared" si="2"/>
        <v>1981</v>
      </c>
      <c r="S53" s="34">
        <v>5000</v>
      </c>
      <c r="T53" s="33">
        <f t="shared" si="3"/>
        <v>198</v>
      </c>
      <c r="U53" s="34"/>
      <c r="V53" s="34"/>
      <c r="W53" s="34"/>
      <c r="X53" s="34"/>
      <c r="Y53" s="34"/>
      <c r="Z53" s="31"/>
      <c r="AA53" s="34">
        <v>0</v>
      </c>
      <c r="AB53" s="34"/>
      <c r="AC53" s="34">
        <v>20</v>
      </c>
      <c r="AD53" s="34">
        <v>10</v>
      </c>
      <c r="AE53" s="38"/>
      <c r="AF53" s="33">
        <f t="shared" si="4"/>
        <v>7209</v>
      </c>
      <c r="AG53" s="39">
        <f t="shared" si="5"/>
        <v>29469</v>
      </c>
      <c r="AH53" s="47" t="s">
        <v>215</v>
      </c>
      <c r="AI53" s="22"/>
    </row>
    <row r="54" spans="1:50" ht="59.25" customHeight="1" x14ac:dyDescent="0.25">
      <c r="B54" s="22">
        <v>47</v>
      </c>
      <c r="C54" s="22">
        <v>300055</v>
      </c>
      <c r="D54" s="75" t="s">
        <v>216</v>
      </c>
      <c r="E54" s="41" t="s">
        <v>217</v>
      </c>
      <c r="F54" s="42" t="s">
        <v>199</v>
      </c>
      <c r="G54" s="29" t="s">
        <v>218</v>
      </c>
      <c r="H54" s="31">
        <v>19810</v>
      </c>
      <c r="I54" s="30">
        <f t="shared" si="0"/>
        <v>2972</v>
      </c>
      <c r="J54" s="31">
        <f>ROUND((H54*55%),0)</f>
        <v>10896</v>
      </c>
      <c r="K54" s="31">
        <v>1500</v>
      </c>
      <c r="L54" s="31">
        <v>300</v>
      </c>
      <c r="M54" s="34">
        <v>200</v>
      </c>
      <c r="N54" s="34">
        <v>500</v>
      </c>
      <c r="O54" s="34"/>
      <c r="P54" s="34"/>
      <c r="Q54" s="33">
        <f>SUM(H54:P54)</f>
        <v>36178</v>
      </c>
      <c r="R54" s="34">
        <f t="shared" si="2"/>
        <v>1981</v>
      </c>
      <c r="S54" s="34">
        <v>5000</v>
      </c>
      <c r="T54" s="33">
        <f t="shared" si="3"/>
        <v>198</v>
      </c>
      <c r="U54" s="34"/>
      <c r="V54" s="34"/>
      <c r="W54" s="34"/>
      <c r="X54" s="34"/>
      <c r="Y54" s="34"/>
      <c r="Z54" s="31"/>
      <c r="AA54" s="34">
        <v>0</v>
      </c>
      <c r="AB54" s="34"/>
      <c r="AC54" s="34">
        <v>20</v>
      </c>
      <c r="AD54" s="34">
        <v>10</v>
      </c>
      <c r="AE54" s="38"/>
      <c r="AF54" s="33">
        <f t="shared" si="4"/>
        <v>7209</v>
      </c>
      <c r="AG54" s="39">
        <f t="shared" si="5"/>
        <v>28969</v>
      </c>
      <c r="AH54" s="47" t="s">
        <v>219</v>
      </c>
      <c r="AI54" s="22"/>
    </row>
    <row r="55" spans="1:50" ht="58.5" x14ac:dyDescent="0.25">
      <c r="B55" s="22">
        <v>48</v>
      </c>
      <c r="C55" s="22">
        <v>300059</v>
      </c>
      <c r="D55" s="75" t="s">
        <v>220</v>
      </c>
      <c r="E55" s="41" t="s">
        <v>221</v>
      </c>
      <c r="F55" s="42" t="s">
        <v>199</v>
      </c>
      <c r="G55" s="29" t="s">
        <v>222</v>
      </c>
      <c r="H55" s="31">
        <v>17960</v>
      </c>
      <c r="I55" s="30">
        <f t="shared" si="0"/>
        <v>2694</v>
      </c>
      <c r="J55" s="31">
        <f>ROUND((H55*55%),0)</f>
        <v>9878</v>
      </c>
      <c r="K55" s="31">
        <v>1500</v>
      </c>
      <c r="L55" s="31">
        <v>300</v>
      </c>
      <c r="M55" s="34">
        <v>200</v>
      </c>
      <c r="N55" s="34">
        <v>1000</v>
      </c>
      <c r="O55" s="34"/>
      <c r="P55" s="34"/>
      <c r="Q55" s="33">
        <f t="shared" ref="Q55:Q67" si="9">SUM(H55:O55)</f>
        <v>33532</v>
      </c>
      <c r="R55" s="34">
        <f t="shared" si="2"/>
        <v>1796</v>
      </c>
      <c r="S55" s="34">
        <v>1000</v>
      </c>
      <c r="T55" s="33">
        <f t="shared" si="3"/>
        <v>180</v>
      </c>
      <c r="U55" s="34"/>
      <c r="V55" s="34">
        <v>1300</v>
      </c>
      <c r="W55" s="34">
        <v>990</v>
      </c>
      <c r="X55" s="34">
        <v>20</v>
      </c>
      <c r="Y55" s="34">
        <v>10</v>
      </c>
      <c r="Z55" s="34"/>
      <c r="AA55" s="34">
        <v>0</v>
      </c>
      <c r="AB55" s="34"/>
      <c r="AC55" s="34">
        <v>20</v>
      </c>
      <c r="AD55" s="34">
        <v>10</v>
      </c>
      <c r="AE55" s="38"/>
      <c r="AF55" s="33">
        <f t="shared" si="4"/>
        <v>5326</v>
      </c>
      <c r="AG55" s="39">
        <f t="shared" si="5"/>
        <v>28206</v>
      </c>
      <c r="AH55" s="80" t="s">
        <v>223</v>
      </c>
      <c r="AI55" s="81"/>
    </row>
    <row r="56" spans="1:50" s="82" customFormat="1" ht="66" customHeight="1" x14ac:dyDescent="0.25">
      <c r="B56" s="22">
        <v>49</v>
      </c>
      <c r="C56" s="22">
        <v>300062</v>
      </c>
      <c r="D56" s="75" t="s">
        <v>224</v>
      </c>
      <c r="E56" s="83" t="s">
        <v>225</v>
      </c>
      <c r="F56" s="42" t="s">
        <v>226</v>
      </c>
      <c r="G56" s="46" t="s">
        <v>227</v>
      </c>
      <c r="H56" s="79">
        <v>18860</v>
      </c>
      <c r="I56" s="30">
        <f t="shared" si="0"/>
        <v>2829</v>
      </c>
      <c r="J56" s="31"/>
      <c r="K56" s="79">
        <v>1500</v>
      </c>
      <c r="L56" s="79">
        <v>300</v>
      </c>
      <c r="M56" s="84">
        <v>200</v>
      </c>
      <c r="N56" s="84">
        <v>500</v>
      </c>
      <c r="O56" s="84"/>
      <c r="P56" s="84"/>
      <c r="Q56" s="85">
        <f t="shared" si="9"/>
        <v>24189</v>
      </c>
      <c r="R56" s="84">
        <f t="shared" si="2"/>
        <v>1886</v>
      </c>
      <c r="S56" s="84"/>
      <c r="T56" s="85">
        <f t="shared" si="3"/>
        <v>189</v>
      </c>
      <c r="U56" s="34"/>
      <c r="V56" s="84"/>
      <c r="W56" s="84">
        <v>1080</v>
      </c>
      <c r="X56" s="84">
        <v>30</v>
      </c>
      <c r="Y56" s="84">
        <v>10</v>
      </c>
      <c r="Z56" s="84">
        <v>1961</v>
      </c>
      <c r="AA56" s="84">
        <v>0</v>
      </c>
      <c r="AB56" s="84"/>
      <c r="AC56" s="84">
        <v>20</v>
      </c>
      <c r="AD56" s="84">
        <v>10</v>
      </c>
      <c r="AE56" s="38"/>
      <c r="AF56" s="33">
        <f t="shared" si="4"/>
        <v>5186</v>
      </c>
      <c r="AG56" s="39">
        <f t="shared" si="5"/>
        <v>19003</v>
      </c>
      <c r="AH56" s="86"/>
      <c r="AI56" s="87"/>
    </row>
    <row r="57" spans="1:50" ht="58.5" x14ac:dyDescent="0.25">
      <c r="B57" s="22">
        <v>50</v>
      </c>
      <c r="C57" s="22">
        <v>300057</v>
      </c>
      <c r="D57" s="75" t="s">
        <v>228</v>
      </c>
      <c r="E57" s="41" t="s">
        <v>229</v>
      </c>
      <c r="F57" s="42" t="s">
        <v>199</v>
      </c>
      <c r="G57" s="29" t="s">
        <v>230</v>
      </c>
      <c r="H57" s="31">
        <v>17960</v>
      </c>
      <c r="I57" s="30">
        <f t="shared" si="0"/>
        <v>2694</v>
      </c>
      <c r="J57" s="31">
        <v>9600</v>
      </c>
      <c r="K57" s="31">
        <v>1500</v>
      </c>
      <c r="L57" s="31">
        <v>300</v>
      </c>
      <c r="M57" s="34">
        <v>200</v>
      </c>
      <c r="N57" s="34">
        <v>1000</v>
      </c>
      <c r="O57" s="34"/>
      <c r="P57" s="34"/>
      <c r="Q57" s="33">
        <f t="shared" si="9"/>
        <v>33254</v>
      </c>
      <c r="R57" s="34">
        <f t="shared" si="2"/>
        <v>1796</v>
      </c>
      <c r="S57" s="34">
        <v>5000</v>
      </c>
      <c r="T57" s="33">
        <f t="shared" si="3"/>
        <v>180</v>
      </c>
      <c r="U57" s="34"/>
      <c r="V57" s="34"/>
      <c r="W57" s="34"/>
      <c r="X57" s="34"/>
      <c r="Y57" s="34"/>
      <c r="Z57" s="34"/>
      <c r="AA57" s="34">
        <v>0</v>
      </c>
      <c r="AB57" s="34"/>
      <c r="AC57" s="34">
        <v>20</v>
      </c>
      <c r="AD57" s="34">
        <v>10</v>
      </c>
      <c r="AE57" s="38"/>
      <c r="AF57" s="33">
        <f t="shared" si="4"/>
        <v>7006</v>
      </c>
      <c r="AG57" s="39">
        <f t="shared" si="5"/>
        <v>26248</v>
      </c>
      <c r="AH57" s="47" t="s">
        <v>231</v>
      </c>
      <c r="AI57" s="22"/>
    </row>
    <row r="58" spans="1:50" ht="60" customHeight="1" x14ac:dyDescent="0.25">
      <c r="B58" s="22">
        <v>51</v>
      </c>
      <c r="C58" s="22">
        <v>300061</v>
      </c>
      <c r="D58" s="27" t="s">
        <v>232</v>
      </c>
      <c r="E58" s="41" t="s">
        <v>233</v>
      </c>
      <c r="F58" s="42" t="s">
        <v>195</v>
      </c>
      <c r="G58" s="29" t="s">
        <v>234</v>
      </c>
      <c r="H58" s="31">
        <v>19810</v>
      </c>
      <c r="I58" s="30">
        <f t="shared" si="0"/>
        <v>2972</v>
      </c>
      <c r="J58" s="31"/>
      <c r="K58" s="31">
        <v>1500</v>
      </c>
      <c r="L58" s="31">
        <v>300</v>
      </c>
      <c r="M58" s="34">
        <v>200</v>
      </c>
      <c r="N58" s="34">
        <v>1000</v>
      </c>
      <c r="O58" s="34"/>
      <c r="P58" s="34"/>
      <c r="Q58" s="33">
        <f t="shared" si="9"/>
        <v>25782</v>
      </c>
      <c r="R58" s="34">
        <f t="shared" si="2"/>
        <v>1981</v>
      </c>
      <c r="S58" s="34"/>
      <c r="T58" s="33">
        <f t="shared" si="3"/>
        <v>198</v>
      </c>
      <c r="U58" s="34"/>
      <c r="V58" s="34"/>
      <c r="W58" s="31">
        <v>1080</v>
      </c>
      <c r="X58" s="34">
        <v>30</v>
      </c>
      <c r="Y58" s="34">
        <v>10</v>
      </c>
      <c r="Z58" s="31">
        <v>1176</v>
      </c>
      <c r="AA58" s="34">
        <v>0</v>
      </c>
      <c r="AB58" s="34"/>
      <c r="AC58" s="34">
        <v>20</v>
      </c>
      <c r="AD58" s="34">
        <v>10</v>
      </c>
      <c r="AE58" s="38"/>
      <c r="AF58" s="33">
        <f t="shared" si="4"/>
        <v>4505</v>
      </c>
      <c r="AG58" s="39">
        <f t="shared" si="5"/>
        <v>21277</v>
      </c>
      <c r="AH58" s="44"/>
      <c r="AI58" s="22"/>
    </row>
    <row r="59" spans="1:50" ht="58.5" x14ac:dyDescent="0.25">
      <c r="B59" s="22">
        <v>52</v>
      </c>
      <c r="C59" s="22">
        <v>300058</v>
      </c>
      <c r="D59" s="75" t="s">
        <v>235</v>
      </c>
      <c r="E59" s="41" t="s">
        <v>236</v>
      </c>
      <c r="F59" s="42" t="s">
        <v>199</v>
      </c>
      <c r="G59" s="29" t="s">
        <v>237</v>
      </c>
      <c r="H59" s="31">
        <v>17960</v>
      </c>
      <c r="I59" s="30">
        <f t="shared" si="0"/>
        <v>2694</v>
      </c>
      <c r="J59" s="31"/>
      <c r="K59" s="31">
        <v>1500</v>
      </c>
      <c r="L59" s="31">
        <v>300</v>
      </c>
      <c r="M59" s="34">
        <v>200</v>
      </c>
      <c r="N59" s="34"/>
      <c r="O59" s="34"/>
      <c r="P59" s="34"/>
      <c r="Q59" s="33">
        <f>SUM(H59:O59)</f>
        <v>22654</v>
      </c>
      <c r="R59" s="34">
        <f>ROUND((H59*10%),0)</f>
        <v>1796</v>
      </c>
      <c r="S59" s="34"/>
      <c r="T59" s="33">
        <f>ROUND((H59*1%),0)</f>
        <v>180</v>
      </c>
      <c r="U59" s="34"/>
      <c r="V59" s="34">
        <v>0</v>
      </c>
      <c r="W59" s="34">
        <v>1080</v>
      </c>
      <c r="X59" s="34">
        <v>30</v>
      </c>
      <c r="Y59" s="34">
        <v>10</v>
      </c>
      <c r="Z59" s="34">
        <v>738</v>
      </c>
      <c r="AA59" s="34">
        <v>0</v>
      </c>
      <c r="AB59" s="34"/>
      <c r="AC59" s="34">
        <v>20</v>
      </c>
      <c r="AD59" s="34">
        <v>10</v>
      </c>
      <c r="AE59" s="38"/>
      <c r="AF59" s="33">
        <f>SUM(R59:AE59)</f>
        <v>3864</v>
      </c>
      <c r="AG59" s="39">
        <f>Q59-AF59</f>
        <v>18790</v>
      </c>
      <c r="AH59" s="47"/>
      <c r="AI59" s="22"/>
    </row>
    <row r="60" spans="1:50" s="93" customFormat="1" ht="61.5" customHeight="1" x14ac:dyDescent="0.25">
      <c r="A60" s="88"/>
      <c r="B60" s="22">
        <v>53</v>
      </c>
      <c r="C60" s="51">
        <v>300079</v>
      </c>
      <c r="D60" s="75" t="s">
        <v>238</v>
      </c>
      <c r="E60" s="46" t="s">
        <v>239</v>
      </c>
      <c r="F60" s="57" t="s">
        <v>136</v>
      </c>
      <c r="G60" s="46" t="s">
        <v>240</v>
      </c>
      <c r="H60" s="89">
        <v>14050</v>
      </c>
      <c r="I60" s="58">
        <f>ROUND((H60*15%),0)</f>
        <v>2108</v>
      </c>
      <c r="J60" s="89">
        <f>ROUND((H60*60%),0)</f>
        <v>8430</v>
      </c>
      <c r="K60" s="89">
        <v>1500</v>
      </c>
      <c r="L60" s="89">
        <v>300</v>
      </c>
      <c r="M60" s="89">
        <v>200</v>
      </c>
      <c r="N60" s="89">
        <v>1000</v>
      </c>
      <c r="O60" s="89">
        <v>100</v>
      </c>
      <c r="P60" s="89"/>
      <c r="Q60" s="90">
        <f>SUM(H60:O60)</f>
        <v>27688</v>
      </c>
      <c r="R60" s="78">
        <f>ROUND((H60*10%),0)</f>
        <v>1405</v>
      </c>
      <c r="S60" s="78">
        <v>1000</v>
      </c>
      <c r="T60" s="90">
        <f>ROUND((H60*1%),0)</f>
        <v>141</v>
      </c>
      <c r="U60" s="79"/>
      <c r="V60" s="79">
        <v>0</v>
      </c>
      <c r="W60" s="79">
        <v>0</v>
      </c>
      <c r="X60" s="79">
        <v>0</v>
      </c>
      <c r="Y60" s="79">
        <v>0</v>
      </c>
      <c r="Z60" s="79"/>
      <c r="AA60" s="79">
        <v>0</v>
      </c>
      <c r="AB60" s="79"/>
      <c r="AC60" s="79">
        <v>20</v>
      </c>
      <c r="AD60" s="79">
        <v>10</v>
      </c>
      <c r="AE60" s="38"/>
      <c r="AF60" s="33">
        <f>SUM(R60:AE60)</f>
        <v>2576</v>
      </c>
      <c r="AG60" s="39">
        <f>Q60-AF60</f>
        <v>25112</v>
      </c>
      <c r="AH60" s="91" t="s">
        <v>241</v>
      </c>
      <c r="AI60" s="92"/>
      <c r="AJ60" s="88"/>
      <c r="AK60" s="88"/>
      <c r="AL60" s="88"/>
      <c r="AM60" s="88"/>
      <c r="AN60" s="88"/>
      <c r="AO60" s="88"/>
      <c r="AP60" s="88"/>
      <c r="AQ60" s="88"/>
      <c r="AR60" s="88"/>
      <c r="AS60" s="88"/>
      <c r="AT60" s="88"/>
      <c r="AU60" s="88"/>
      <c r="AV60" s="88"/>
      <c r="AW60" s="88"/>
      <c r="AX60" s="88"/>
    </row>
    <row r="61" spans="1:50" s="93" customFormat="1" ht="58.5" customHeight="1" x14ac:dyDescent="0.25">
      <c r="A61" s="88"/>
      <c r="B61" s="22">
        <v>54</v>
      </c>
      <c r="C61" s="51">
        <v>300080</v>
      </c>
      <c r="D61" s="75" t="s">
        <v>242</v>
      </c>
      <c r="E61" s="46" t="s">
        <v>243</v>
      </c>
      <c r="F61" s="57" t="s">
        <v>136</v>
      </c>
      <c r="G61" s="46" t="s">
        <v>244</v>
      </c>
      <c r="H61" s="89">
        <v>13380</v>
      </c>
      <c r="I61" s="58">
        <f>ROUND((H61*15%),0)</f>
        <v>2007</v>
      </c>
      <c r="J61" s="89">
        <f>ROUND((H61*60%),0)</f>
        <v>8028</v>
      </c>
      <c r="K61" s="89">
        <v>1500</v>
      </c>
      <c r="L61" s="89">
        <v>300</v>
      </c>
      <c r="M61" s="89">
        <v>200</v>
      </c>
      <c r="N61" s="89">
        <v>1000</v>
      </c>
      <c r="O61" s="89">
        <v>100</v>
      </c>
      <c r="P61" s="89"/>
      <c r="Q61" s="90">
        <f>SUM(H61:O61)</f>
        <v>26515</v>
      </c>
      <c r="R61" s="78">
        <f>ROUND((H61*10%),0)</f>
        <v>1338</v>
      </c>
      <c r="S61" s="78">
        <v>4000</v>
      </c>
      <c r="T61" s="90">
        <f>ROUND((H61*1%),0)</f>
        <v>134</v>
      </c>
      <c r="U61" s="79"/>
      <c r="V61" s="79"/>
      <c r="W61" s="79"/>
      <c r="X61" s="79"/>
      <c r="Y61" s="79"/>
      <c r="Z61" s="79"/>
      <c r="AA61" s="79"/>
      <c r="AB61" s="79"/>
      <c r="AC61" s="79">
        <v>20</v>
      </c>
      <c r="AD61" s="79">
        <v>10</v>
      </c>
      <c r="AE61" s="38"/>
      <c r="AF61" s="33">
        <f>SUM(R61:AE61)</f>
        <v>5502</v>
      </c>
      <c r="AG61" s="39">
        <f>Q61-AF61</f>
        <v>21013</v>
      </c>
      <c r="AH61" s="94" t="s">
        <v>245</v>
      </c>
      <c r="AI61" s="92"/>
      <c r="AJ61" s="88"/>
      <c r="AK61" s="88"/>
      <c r="AL61" s="88"/>
      <c r="AM61" s="88"/>
      <c r="AN61" s="88"/>
      <c r="AO61" s="88"/>
      <c r="AP61" s="88"/>
      <c r="AQ61" s="88"/>
      <c r="AR61" s="88"/>
      <c r="AS61" s="88"/>
      <c r="AT61" s="88"/>
      <c r="AU61" s="88"/>
      <c r="AV61" s="88"/>
      <c r="AW61" s="88"/>
      <c r="AX61" s="88"/>
    </row>
    <row r="62" spans="1:50" s="95" customFormat="1" ht="60.75" customHeight="1" x14ac:dyDescent="0.25">
      <c r="B62" s="22">
        <v>55</v>
      </c>
      <c r="C62" s="51">
        <v>3000118</v>
      </c>
      <c r="D62" s="75" t="s">
        <v>246</v>
      </c>
      <c r="E62" s="46" t="s">
        <v>247</v>
      </c>
      <c r="F62" s="57" t="s">
        <v>136</v>
      </c>
      <c r="G62" s="46" t="s">
        <v>248</v>
      </c>
      <c r="H62" s="89">
        <v>11550</v>
      </c>
      <c r="I62" s="58">
        <f>ROUND((H62*15%),0)</f>
        <v>1733</v>
      </c>
      <c r="J62" s="89">
        <f>ROUND((H62*60%),0)</f>
        <v>6930</v>
      </c>
      <c r="K62" s="89">
        <v>1500</v>
      </c>
      <c r="L62" s="89">
        <v>300</v>
      </c>
      <c r="M62" s="96">
        <v>200</v>
      </c>
      <c r="N62" s="96"/>
      <c r="O62" s="96">
        <v>100</v>
      </c>
      <c r="P62" s="96"/>
      <c r="Q62" s="90">
        <f>SUM(H62:O62)</f>
        <v>22313</v>
      </c>
      <c r="R62" s="78">
        <f>ROUND((H62*10%),0)</f>
        <v>1155</v>
      </c>
      <c r="S62" s="78">
        <v>2000</v>
      </c>
      <c r="T62" s="90">
        <f>ROUND((H62*1%),0)</f>
        <v>116</v>
      </c>
      <c r="U62" s="78"/>
      <c r="V62" s="78"/>
      <c r="W62" s="78"/>
      <c r="X62" s="78"/>
      <c r="Y62" s="78"/>
      <c r="Z62" s="78"/>
      <c r="AA62" s="78"/>
      <c r="AB62" s="78"/>
      <c r="AC62" s="78">
        <v>20</v>
      </c>
      <c r="AD62" s="78">
        <v>10</v>
      </c>
      <c r="AE62" s="38"/>
      <c r="AF62" s="33">
        <f>SUM(R62:AE62)</f>
        <v>3301</v>
      </c>
      <c r="AG62" s="39">
        <f>Q62-AF62</f>
        <v>19012</v>
      </c>
      <c r="AH62" s="97" t="s">
        <v>249</v>
      </c>
      <c r="AI62" s="98"/>
      <c r="AJ62" s="88"/>
      <c r="AK62" s="88"/>
      <c r="AL62" s="88"/>
      <c r="AM62" s="88"/>
      <c r="AN62" s="88"/>
      <c r="AO62" s="88"/>
      <c r="AP62" s="88"/>
      <c r="AQ62" s="88"/>
      <c r="AR62" s="88"/>
      <c r="AS62" s="88"/>
      <c r="AT62" s="88"/>
      <c r="AU62" s="88"/>
      <c r="AV62" s="88"/>
      <c r="AW62" s="88"/>
      <c r="AX62" s="88"/>
    </row>
    <row r="63" spans="1:50" ht="61.5" customHeight="1" x14ac:dyDescent="0.25">
      <c r="B63" s="22">
        <v>56</v>
      </c>
      <c r="C63" s="22">
        <v>300029</v>
      </c>
      <c r="D63" s="27" t="s">
        <v>250</v>
      </c>
      <c r="E63" s="41" t="s">
        <v>251</v>
      </c>
      <c r="F63" s="42" t="s">
        <v>252</v>
      </c>
      <c r="G63" s="29" t="s">
        <v>253</v>
      </c>
      <c r="H63" s="31">
        <v>16680</v>
      </c>
      <c r="I63" s="30">
        <f t="shared" si="0"/>
        <v>2502</v>
      </c>
      <c r="J63" s="31"/>
      <c r="K63" s="31">
        <v>1500</v>
      </c>
      <c r="L63" s="31">
        <v>300</v>
      </c>
      <c r="M63" s="34">
        <v>200</v>
      </c>
      <c r="N63" s="34"/>
      <c r="O63" s="34">
        <v>100</v>
      </c>
      <c r="P63" s="34"/>
      <c r="Q63" s="33">
        <f t="shared" si="9"/>
        <v>21282</v>
      </c>
      <c r="R63" s="34">
        <f t="shared" si="2"/>
        <v>1668</v>
      </c>
      <c r="S63" s="34"/>
      <c r="T63" s="33">
        <f t="shared" si="3"/>
        <v>167</v>
      </c>
      <c r="U63" s="34"/>
      <c r="V63" s="34"/>
      <c r="W63" s="34">
        <v>1080</v>
      </c>
      <c r="X63" s="34">
        <v>30</v>
      </c>
      <c r="Y63" s="34">
        <v>10</v>
      </c>
      <c r="Z63" s="34">
        <v>3960</v>
      </c>
      <c r="AA63" s="34"/>
      <c r="AB63" s="34"/>
      <c r="AC63" s="34">
        <v>20</v>
      </c>
      <c r="AD63" s="34">
        <v>10</v>
      </c>
      <c r="AE63" s="38"/>
      <c r="AF63" s="33">
        <f t="shared" si="4"/>
        <v>6945</v>
      </c>
      <c r="AG63" s="39">
        <f t="shared" si="5"/>
        <v>14337</v>
      </c>
      <c r="AH63" s="26"/>
      <c r="AI63" s="22"/>
    </row>
    <row r="64" spans="1:50" ht="63" customHeight="1" x14ac:dyDescent="0.25">
      <c r="B64" s="22">
        <v>57</v>
      </c>
      <c r="C64" s="22">
        <v>300089</v>
      </c>
      <c r="D64" s="27" t="s">
        <v>254</v>
      </c>
      <c r="E64" s="46" t="s">
        <v>255</v>
      </c>
      <c r="F64" s="42" t="s">
        <v>256</v>
      </c>
      <c r="G64" s="46" t="s">
        <v>257</v>
      </c>
      <c r="H64" s="31">
        <v>13710</v>
      </c>
      <c r="I64" s="30">
        <f t="shared" si="0"/>
        <v>2057</v>
      </c>
      <c r="J64" s="31"/>
      <c r="K64" s="31">
        <v>1500</v>
      </c>
      <c r="L64" s="31">
        <v>300</v>
      </c>
      <c r="M64" s="34">
        <v>200</v>
      </c>
      <c r="N64" s="34">
        <v>500</v>
      </c>
      <c r="O64" s="34">
        <v>100</v>
      </c>
      <c r="P64" s="34"/>
      <c r="Q64" s="33">
        <f t="shared" si="9"/>
        <v>18367</v>
      </c>
      <c r="R64" s="34">
        <f t="shared" si="2"/>
        <v>1371</v>
      </c>
      <c r="S64" s="34"/>
      <c r="T64" s="33">
        <f t="shared" si="3"/>
        <v>137</v>
      </c>
      <c r="U64" s="34"/>
      <c r="V64" s="34"/>
      <c r="W64" s="34">
        <v>1080</v>
      </c>
      <c r="X64" s="34">
        <v>30</v>
      </c>
      <c r="Y64" s="34">
        <v>10</v>
      </c>
      <c r="Z64" s="34">
        <v>1335</v>
      </c>
      <c r="AA64" s="34"/>
      <c r="AB64" s="34"/>
      <c r="AC64" s="34">
        <v>20</v>
      </c>
      <c r="AD64" s="34">
        <v>10</v>
      </c>
      <c r="AE64" s="38"/>
      <c r="AF64" s="33">
        <f t="shared" si="4"/>
        <v>3993</v>
      </c>
      <c r="AG64" s="39">
        <f t="shared" si="5"/>
        <v>14374</v>
      </c>
      <c r="AH64" s="47"/>
      <c r="AI64" s="22"/>
    </row>
    <row r="65" spans="2:35" ht="64.5" customHeight="1" x14ac:dyDescent="0.25">
      <c r="B65" s="22">
        <v>58</v>
      </c>
      <c r="C65" s="22">
        <v>300091</v>
      </c>
      <c r="D65" s="27" t="s">
        <v>258</v>
      </c>
      <c r="E65" s="57" t="s">
        <v>259</v>
      </c>
      <c r="F65" s="42" t="s">
        <v>256</v>
      </c>
      <c r="G65" s="46" t="s">
        <v>260</v>
      </c>
      <c r="H65" s="31">
        <v>13710</v>
      </c>
      <c r="I65" s="30">
        <f t="shared" si="0"/>
        <v>2057</v>
      </c>
      <c r="J65" s="31">
        <f>ROUND((H65*60%),0)</f>
        <v>8226</v>
      </c>
      <c r="K65" s="31">
        <v>1500</v>
      </c>
      <c r="L65" s="31">
        <v>300</v>
      </c>
      <c r="M65" s="34">
        <v>200</v>
      </c>
      <c r="N65" s="34">
        <v>1000</v>
      </c>
      <c r="O65" s="34">
        <v>100</v>
      </c>
      <c r="P65" s="34"/>
      <c r="Q65" s="33">
        <f t="shared" si="9"/>
        <v>27093</v>
      </c>
      <c r="R65" s="34">
        <f t="shared" si="2"/>
        <v>1371</v>
      </c>
      <c r="S65" s="34"/>
      <c r="T65" s="33">
        <f t="shared" si="3"/>
        <v>137</v>
      </c>
      <c r="U65" s="34"/>
      <c r="V65" s="34"/>
      <c r="W65" s="34"/>
      <c r="X65" s="34"/>
      <c r="Y65" s="34"/>
      <c r="Z65" s="34"/>
      <c r="AA65" s="34"/>
      <c r="AB65" s="34"/>
      <c r="AC65" s="34">
        <v>20</v>
      </c>
      <c r="AD65" s="34">
        <v>10</v>
      </c>
      <c r="AE65" s="38"/>
      <c r="AF65" s="33">
        <f t="shared" si="4"/>
        <v>1538</v>
      </c>
      <c r="AG65" s="39">
        <f t="shared" si="5"/>
        <v>25555</v>
      </c>
      <c r="AH65" s="47"/>
      <c r="AI65" s="22"/>
    </row>
    <row r="66" spans="2:35" ht="65.25" customHeight="1" x14ac:dyDescent="0.25">
      <c r="B66" s="22">
        <v>59</v>
      </c>
      <c r="C66" s="22">
        <v>300111</v>
      </c>
      <c r="D66" s="27" t="s">
        <v>261</v>
      </c>
      <c r="E66" s="41" t="s">
        <v>262</v>
      </c>
      <c r="F66" s="42" t="s">
        <v>256</v>
      </c>
      <c r="G66" s="29" t="s">
        <v>263</v>
      </c>
      <c r="H66" s="31">
        <v>13710</v>
      </c>
      <c r="I66" s="30">
        <f t="shared" si="0"/>
        <v>2057</v>
      </c>
      <c r="J66" s="31"/>
      <c r="K66" s="31">
        <v>1500</v>
      </c>
      <c r="L66" s="31">
        <v>300</v>
      </c>
      <c r="M66" s="34">
        <v>200</v>
      </c>
      <c r="N66" s="34">
        <v>1000</v>
      </c>
      <c r="O66" s="34">
        <v>100</v>
      </c>
      <c r="P66" s="34"/>
      <c r="Q66" s="33">
        <f t="shared" si="9"/>
        <v>18867</v>
      </c>
      <c r="R66" s="34">
        <f t="shared" si="2"/>
        <v>1371</v>
      </c>
      <c r="S66" s="34"/>
      <c r="T66" s="33">
        <f t="shared" si="3"/>
        <v>137</v>
      </c>
      <c r="U66" s="34"/>
      <c r="V66" s="34"/>
      <c r="W66" s="34">
        <v>1080</v>
      </c>
      <c r="X66" s="34">
        <v>30</v>
      </c>
      <c r="Y66" s="34">
        <v>10</v>
      </c>
      <c r="Z66" s="34">
        <v>1682</v>
      </c>
      <c r="AA66" s="34"/>
      <c r="AB66" s="34"/>
      <c r="AC66" s="34">
        <v>20</v>
      </c>
      <c r="AD66" s="34">
        <v>10</v>
      </c>
      <c r="AE66" s="38"/>
      <c r="AF66" s="33">
        <f t="shared" si="4"/>
        <v>4340</v>
      </c>
      <c r="AG66" s="39">
        <f t="shared" si="5"/>
        <v>14527</v>
      </c>
      <c r="AH66" s="47"/>
      <c r="AI66" s="22"/>
    </row>
    <row r="67" spans="2:35" ht="78" customHeight="1" x14ac:dyDescent="0.25">
      <c r="B67" s="22">
        <v>60</v>
      </c>
      <c r="C67" s="22">
        <v>300031</v>
      </c>
      <c r="D67" s="27" t="s">
        <v>264</v>
      </c>
      <c r="E67" s="46" t="s">
        <v>265</v>
      </c>
      <c r="F67" s="42" t="s">
        <v>252</v>
      </c>
      <c r="G67" s="46" t="s">
        <v>266</v>
      </c>
      <c r="H67" s="31">
        <v>13040</v>
      </c>
      <c r="I67" s="30">
        <f t="shared" si="0"/>
        <v>1956</v>
      </c>
      <c r="J67" s="31">
        <f>ROUND((H67*60%),0)</f>
        <v>7824</v>
      </c>
      <c r="K67" s="31">
        <v>1500</v>
      </c>
      <c r="L67" s="31">
        <v>300</v>
      </c>
      <c r="M67" s="34">
        <v>200</v>
      </c>
      <c r="N67" s="34"/>
      <c r="O67" s="34">
        <v>100</v>
      </c>
      <c r="P67" s="34"/>
      <c r="Q67" s="33">
        <f t="shared" si="9"/>
        <v>24920</v>
      </c>
      <c r="R67" s="34">
        <f t="shared" si="2"/>
        <v>1304</v>
      </c>
      <c r="S67" s="34">
        <v>2000</v>
      </c>
      <c r="T67" s="33">
        <f t="shared" si="3"/>
        <v>130</v>
      </c>
      <c r="U67" s="34"/>
      <c r="V67" s="34"/>
      <c r="W67" s="34"/>
      <c r="X67" s="34"/>
      <c r="Y67" s="34"/>
      <c r="Z67" s="34"/>
      <c r="AA67" s="34"/>
      <c r="AB67" s="34"/>
      <c r="AC67" s="34">
        <v>20</v>
      </c>
      <c r="AD67" s="34">
        <v>10</v>
      </c>
      <c r="AE67" s="38"/>
      <c r="AF67" s="33">
        <f t="shared" si="4"/>
        <v>3464</v>
      </c>
      <c r="AG67" s="39">
        <f t="shared" si="5"/>
        <v>21456</v>
      </c>
      <c r="AH67" s="99" t="s">
        <v>267</v>
      </c>
      <c r="AI67" s="100" t="s">
        <v>268</v>
      </c>
    </row>
    <row r="68" spans="2:35" ht="77.25" customHeight="1" x14ac:dyDescent="0.25">
      <c r="B68" s="22">
        <v>61</v>
      </c>
      <c r="C68" s="22">
        <v>300135</v>
      </c>
      <c r="D68" s="27" t="s">
        <v>269</v>
      </c>
      <c r="E68" s="41" t="s">
        <v>270</v>
      </c>
      <c r="F68" s="42" t="s">
        <v>271</v>
      </c>
      <c r="G68" s="29" t="s">
        <v>272</v>
      </c>
      <c r="H68" s="31">
        <v>10190</v>
      </c>
      <c r="I68" s="30">
        <f t="shared" si="0"/>
        <v>1529</v>
      </c>
      <c r="J68" s="31">
        <v>6400</v>
      </c>
      <c r="K68" s="31">
        <v>1500</v>
      </c>
      <c r="L68" s="31">
        <v>300</v>
      </c>
      <c r="M68" s="34">
        <v>200</v>
      </c>
      <c r="N68" s="34">
        <v>500</v>
      </c>
      <c r="O68" s="101"/>
      <c r="P68" s="34"/>
      <c r="Q68" s="33">
        <f>SUM(H68:P68)</f>
        <v>20619</v>
      </c>
      <c r="R68" s="34">
        <f t="shared" si="2"/>
        <v>1019</v>
      </c>
      <c r="S68" s="34"/>
      <c r="T68" s="33">
        <f t="shared" si="3"/>
        <v>102</v>
      </c>
      <c r="U68" s="34"/>
      <c r="V68" s="34"/>
      <c r="W68" s="31"/>
      <c r="X68" s="34"/>
      <c r="Y68" s="34"/>
      <c r="Z68" s="102"/>
      <c r="AA68" s="34"/>
      <c r="AB68" s="34"/>
      <c r="AC68" s="34">
        <v>20</v>
      </c>
      <c r="AD68" s="34">
        <v>10</v>
      </c>
      <c r="AE68" s="38"/>
      <c r="AF68" s="33">
        <f t="shared" si="4"/>
        <v>1151</v>
      </c>
      <c r="AG68" s="39">
        <f t="shared" si="5"/>
        <v>19468</v>
      </c>
      <c r="AH68" s="26"/>
      <c r="AI68" s="22"/>
    </row>
    <row r="69" spans="2:35" ht="77.25" customHeight="1" x14ac:dyDescent="0.25">
      <c r="B69" s="22">
        <v>62</v>
      </c>
      <c r="C69" s="22">
        <v>300161</v>
      </c>
      <c r="D69" s="27" t="s">
        <v>273</v>
      </c>
      <c r="E69" s="41" t="s">
        <v>274</v>
      </c>
      <c r="F69" s="42" t="s">
        <v>271</v>
      </c>
      <c r="G69" s="45" t="s">
        <v>275</v>
      </c>
      <c r="H69" s="31">
        <v>9700</v>
      </c>
      <c r="I69" s="30">
        <f t="shared" si="0"/>
        <v>1455</v>
      </c>
      <c r="J69" s="31">
        <f>ROUND((H69*65%),0)</f>
        <v>6305</v>
      </c>
      <c r="K69" s="31">
        <v>1500</v>
      </c>
      <c r="L69" s="31">
        <v>300</v>
      </c>
      <c r="M69" s="34">
        <v>200</v>
      </c>
      <c r="N69" s="34">
        <v>1000</v>
      </c>
      <c r="O69" s="103"/>
      <c r="P69" s="34"/>
      <c r="Q69" s="33">
        <f>SUM(H69:P69)</f>
        <v>20460</v>
      </c>
      <c r="R69" s="34">
        <f t="shared" si="2"/>
        <v>970</v>
      </c>
      <c r="S69" s="34"/>
      <c r="T69" s="33">
        <f t="shared" si="3"/>
        <v>97</v>
      </c>
      <c r="U69" s="34"/>
      <c r="V69" s="34"/>
      <c r="W69" s="31"/>
      <c r="X69" s="34"/>
      <c r="Y69" s="34"/>
      <c r="Z69" s="104"/>
      <c r="AA69" s="34"/>
      <c r="AB69" s="34"/>
      <c r="AC69" s="34">
        <v>20</v>
      </c>
      <c r="AD69" s="34">
        <v>10</v>
      </c>
      <c r="AE69" s="38"/>
      <c r="AF69" s="33">
        <f t="shared" si="4"/>
        <v>1097</v>
      </c>
      <c r="AG69" s="39">
        <f t="shared" si="5"/>
        <v>19363</v>
      </c>
      <c r="AH69" s="26"/>
      <c r="AI69" s="22"/>
    </row>
    <row r="70" spans="2:35" ht="77.25" customHeight="1" x14ac:dyDescent="0.25">
      <c r="B70" s="22">
        <v>63</v>
      </c>
      <c r="C70" s="22">
        <v>300162</v>
      </c>
      <c r="D70" s="27" t="s">
        <v>276</v>
      </c>
      <c r="E70" s="41" t="s">
        <v>277</v>
      </c>
      <c r="F70" s="42" t="s">
        <v>271</v>
      </c>
      <c r="G70" s="45" t="s">
        <v>278</v>
      </c>
      <c r="H70" s="31">
        <v>9700</v>
      </c>
      <c r="I70" s="30">
        <f t="shared" si="0"/>
        <v>1455</v>
      </c>
      <c r="J70" s="31">
        <f>ROUND((H70*65%),0)</f>
        <v>6305</v>
      </c>
      <c r="K70" s="31">
        <v>1500</v>
      </c>
      <c r="L70" s="31">
        <v>300</v>
      </c>
      <c r="M70" s="34">
        <v>200</v>
      </c>
      <c r="N70" s="34"/>
      <c r="O70" s="101"/>
      <c r="P70" s="34"/>
      <c r="Q70" s="33">
        <f>SUM(H70:P70)</f>
        <v>19460</v>
      </c>
      <c r="R70" s="34">
        <f t="shared" si="2"/>
        <v>970</v>
      </c>
      <c r="S70" s="34"/>
      <c r="T70" s="33">
        <f t="shared" si="3"/>
        <v>97</v>
      </c>
      <c r="U70" s="34"/>
      <c r="V70" s="34"/>
      <c r="W70" s="31"/>
      <c r="X70" s="34"/>
      <c r="Y70" s="34"/>
      <c r="Z70" s="102"/>
      <c r="AA70" s="34"/>
      <c r="AB70" s="34"/>
      <c r="AC70" s="34">
        <v>20</v>
      </c>
      <c r="AD70" s="34">
        <v>10</v>
      </c>
      <c r="AE70" s="38"/>
      <c r="AF70" s="33">
        <f t="shared" si="4"/>
        <v>1097</v>
      </c>
      <c r="AG70" s="39">
        <f t="shared" si="5"/>
        <v>18363</v>
      </c>
      <c r="AH70" s="26"/>
      <c r="AI70" s="22"/>
    </row>
    <row r="71" spans="2:35" s="95" customFormat="1" ht="58.5" x14ac:dyDescent="0.25">
      <c r="B71" s="22">
        <v>64</v>
      </c>
      <c r="C71" s="51">
        <v>300071</v>
      </c>
      <c r="D71" s="75" t="s">
        <v>279</v>
      </c>
      <c r="E71" s="46" t="s">
        <v>280</v>
      </c>
      <c r="F71" s="57" t="s">
        <v>199</v>
      </c>
      <c r="G71" s="46" t="s">
        <v>281</v>
      </c>
      <c r="H71" s="79">
        <v>14390</v>
      </c>
      <c r="I71" s="30">
        <f t="shared" si="0"/>
        <v>2159</v>
      </c>
      <c r="J71" s="79"/>
      <c r="K71" s="79">
        <v>1500</v>
      </c>
      <c r="L71" s="79">
        <v>300</v>
      </c>
      <c r="M71" s="78">
        <v>200</v>
      </c>
      <c r="N71" s="78">
        <v>1000</v>
      </c>
      <c r="O71" s="78"/>
      <c r="P71" s="78"/>
      <c r="Q71" s="90">
        <f t="shared" ref="Q71:Q92" si="10">SUM(H71:O71)</f>
        <v>19549</v>
      </c>
      <c r="R71" s="78">
        <f t="shared" si="2"/>
        <v>1439</v>
      </c>
      <c r="S71" s="78"/>
      <c r="T71" s="90">
        <f t="shared" si="3"/>
        <v>144</v>
      </c>
      <c r="U71" s="78"/>
      <c r="V71" s="78"/>
      <c r="W71" s="78">
        <v>1080</v>
      </c>
      <c r="X71" s="78">
        <v>30</v>
      </c>
      <c r="Y71" s="78">
        <v>10</v>
      </c>
      <c r="Z71" s="105">
        <v>1554</v>
      </c>
      <c r="AA71" s="78">
        <v>0</v>
      </c>
      <c r="AB71" s="78"/>
      <c r="AC71" s="78">
        <v>20</v>
      </c>
      <c r="AD71" s="78">
        <v>10</v>
      </c>
      <c r="AE71" s="38"/>
      <c r="AF71" s="33">
        <f t="shared" si="4"/>
        <v>4287</v>
      </c>
      <c r="AG71" s="39">
        <f t="shared" si="5"/>
        <v>15262</v>
      </c>
      <c r="AH71" s="106"/>
      <c r="AI71" s="51"/>
    </row>
    <row r="72" spans="2:35" s="95" customFormat="1" ht="63" customHeight="1" x14ac:dyDescent="0.25">
      <c r="B72" s="22">
        <v>65</v>
      </c>
      <c r="C72" s="107">
        <v>300085</v>
      </c>
      <c r="D72" s="108" t="s">
        <v>282</v>
      </c>
      <c r="E72" s="109" t="s">
        <v>283</v>
      </c>
      <c r="F72" s="57" t="s">
        <v>284</v>
      </c>
      <c r="G72" s="46" t="s">
        <v>285</v>
      </c>
      <c r="H72" s="110">
        <v>13700</v>
      </c>
      <c r="I72" s="30">
        <f t="shared" ref="I72:I92" si="11">ROUND((H72*15%),0)</f>
        <v>2055</v>
      </c>
      <c r="J72" s="79">
        <f t="shared" ref="J72:J80" si="12">ROUND((H72*60%),0)</f>
        <v>8220</v>
      </c>
      <c r="K72" s="79">
        <v>1500</v>
      </c>
      <c r="L72" s="79">
        <v>300</v>
      </c>
      <c r="M72" s="78">
        <v>200</v>
      </c>
      <c r="N72" s="111"/>
      <c r="O72" s="111"/>
      <c r="P72" s="111"/>
      <c r="Q72" s="90">
        <f t="shared" si="10"/>
        <v>25975</v>
      </c>
      <c r="R72" s="78">
        <f t="shared" ref="R72:R92" si="13">ROUND((H72*10%),0)</f>
        <v>1370</v>
      </c>
      <c r="S72" s="111">
        <v>5000</v>
      </c>
      <c r="T72" s="90">
        <f t="shared" ref="T72:T92" si="14">ROUND((H72*1%),0)</f>
        <v>137</v>
      </c>
      <c r="U72" s="78"/>
      <c r="V72" s="111"/>
      <c r="W72" s="111"/>
      <c r="X72" s="111"/>
      <c r="Y72" s="111"/>
      <c r="Z72" s="111"/>
      <c r="AA72" s="111"/>
      <c r="AB72" s="111"/>
      <c r="AC72" s="111">
        <v>20</v>
      </c>
      <c r="AD72" s="78">
        <v>10</v>
      </c>
      <c r="AE72" s="38"/>
      <c r="AF72" s="33">
        <f t="shared" ref="AF72:AF129" si="15">SUM(R72:AE72)</f>
        <v>6537</v>
      </c>
      <c r="AG72" s="39">
        <f t="shared" ref="AG72:AG129" si="16">Q72-AF72</f>
        <v>19438</v>
      </c>
      <c r="AH72" s="112" t="s">
        <v>286</v>
      </c>
      <c r="AI72" s="51"/>
    </row>
    <row r="73" spans="2:35" s="95" customFormat="1" ht="60" customHeight="1" x14ac:dyDescent="0.25">
      <c r="B73" s="22">
        <v>66</v>
      </c>
      <c r="C73" s="107">
        <v>300099</v>
      </c>
      <c r="D73" s="108" t="s">
        <v>287</v>
      </c>
      <c r="E73" s="109" t="s">
        <v>288</v>
      </c>
      <c r="F73" s="57" t="s">
        <v>289</v>
      </c>
      <c r="G73" s="46" t="s">
        <v>290</v>
      </c>
      <c r="H73" s="110">
        <v>12410</v>
      </c>
      <c r="I73" s="30">
        <f t="shared" si="11"/>
        <v>1862</v>
      </c>
      <c r="J73" s="79">
        <f t="shared" si="12"/>
        <v>7446</v>
      </c>
      <c r="K73" s="79">
        <v>1500</v>
      </c>
      <c r="L73" s="79">
        <v>300</v>
      </c>
      <c r="M73" s="78">
        <v>200</v>
      </c>
      <c r="N73" s="111"/>
      <c r="O73" s="111"/>
      <c r="P73" s="111"/>
      <c r="Q73" s="90">
        <f t="shared" si="10"/>
        <v>23718</v>
      </c>
      <c r="R73" s="78">
        <f t="shared" si="13"/>
        <v>1241</v>
      </c>
      <c r="S73" s="111">
        <v>5000</v>
      </c>
      <c r="T73" s="90">
        <f t="shared" si="14"/>
        <v>124</v>
      </c>
      <c r="U73" s="78"/>
      <c r="V73" s="111"/>
      <c r="W73" s="111"/>
      <c r="X73" s="111"/>
      <c r="Y73" s="111"/>
      <c r="Z73" s="111"/>
      <c r="AA73" s="111"/>
      <c r="AB73" s="111"/>
      <c r="AC73" s="111">
        <v>20</v>
      </c>
      <c r="AD73" s="78">
        <v>10</v>
      </c>
      <c r="AE73" s="38"/>
      <c r="AF73" s="33">
        <f t="shared" si="15"/>
        <v>6395</v>
      </c>
      <c r="AG73" s="39">
        <f t="shared" si="16"/>
        <v>17323</v>
      </c>
      <c r="AH73" s="112" t="s">
        <v>291</v>
      </c>
      <c r="AI73" s="51"/>
    </row>
    <row r="74" spans="2:35" s="95" customFormat="1" ht="60" customHeight="1" x14ac:dyDescent="0.25">
      <c r="B74" s="22">
        <v>67</v>
      </c>
      <c r="C74" s="107">
        <v>300110</v>
      </c>
      <c r="D74" s="108" t="s">
        <v>292</v>
      </c>
      <c r="E74" s="109" t="s">
        <v>293</v>
      </c>
      <c r="F74" s="57" t="s">
        <v>289</v>
      </c>
      <c r="G74" s="46" t="s">
        <v>294</v>
      </c>
      <c r="H74" s="110">
        <v>12410</v>
      </c>
      <c r="I74" s="30">
        <f t="shared" si="11"/>
        <v>1862</v>
      </c>
      <c r="J74" s="79">
        <f t="shared" si="12"/>
        <v>7446</v>
      </c>
      <c r="K74" s="79">
        <v>1500</v>
      </c>
      <c r="L74" s="79">
        <v>300</v>
      </c>
      <c r="M74" s="78">
        <v>200</v>
      </c>
      <c r="N74" s="111">
        <v>500</v>
      </c>
      <c r="O74" s="111"/>
      <c r="P74" s="111"/>
      <c r="Q74" s="90">
        <f t="shared" si="10"/>
        <v>24218</v>
      </c>
      <c r="R74" s="78">
        <f t="shared" si="13"/>
        <v>1241</v>
      </c>
      <c r="S74" s="111"/>
      <c r="T74" s="90">
        <f t="shared" si="14"/>
        <v>124</v>
      </c>
      <c r="U74" s="78"/>
      <c r="V74" s="111"/>
      <c r="W74" s="111"/>
      <c r="X74" s="111"/>
      <c r="Y74" s="111"/>
      <c r="Z74" s="111"/>
      <c r="AA74" s="111"/>
      <c r="AB74" s="111"/>
      <c r="AC74" s="111">
        <v>20</v>
      </c>
      <c r="AD74" s="78">
        <v>10</v>
      </c>
      <c r="AE74" s="38"/>
      <c r="AF74" s="33">
        <f t="shared" si="15"/>
        <v>1395</v>
      </c>
      <c r="AG74" s="39">
        <f t="shared" si="16"/>
        <v>22823</v>
      </c>
      <c r="AH74" s="106"/>
      <c r="AI74" s="51"/>
    </row>
    <row r="75" spans="2:35" s="95" customFormat="1" ht="58.5" x14ac:dyDescent="0.25">
      <c r="B75" s="22">
        <v>68</v>
      </c>
      <c r="C75" s="51">
        <v>300066</v>
      </c>
      <c r="D75" s="75" t="s">
        <v>295</v>
      </c>
      <c r="E75" s="46" t="s">
        <v>296</v>
      </c>
      <c r="F75" s="57" t="s">
        <v>297</v>
      </c>
      <c r="G75" s="46" t="s">
        <v>298</v>
      </c>
      <c r="H75" s="89">
        <v>14390</v>
      </c>
      <c r="I75" s="30">
        <f t="shared" si="11"/>
        <v>2159</v>
      </c>
      <c r="J75" s="89">
        <f t="shared" si="12"/>
        <v>8634</v>
      </c>
      <c r="K75" s="89">
        <v>1500</v>
      </c>
      <c r="L75" s="89">
        <v>300</v>
      </c>
      <c r="M75" s="96">
        <v>200</v>
      </c>
      <c r="N75" s="96">
        <v>500</v>
      </c>
      <c r="O75" s="96"/>
      <c r="P75" s="96"/>
      <c r="Q75" s="90">
        <f t="shared" si="10"/>
        <v>27683</v>
      </c>
      <c r="R75" s="78">
        <f t="shared" si="13"/>
        <v>1439</v>
      </c>
      <c r="S75" s="78">
        <v>3000</v>
      </c>
      <c r="T75" s="90">
        <f t="shared" si="14"/>
        <v>144</v>
      </c>
      <c r="U75" s="78"/>
      <c r="V75" s="78">
        <v>1300</v>
      </c>
      <c r="W75" s="78">
        <v>990</v>
      </c>
      <c r="X75" s="78">
        <v>20</v>
      </c>
      <c r="Y75" s="78">
        <v>10</v>
      </c>
      <c r="Z75" s="78"/>
      <c r="AA75" s="78">
        <v>0</v>
      </c>
      <c r="AB75" s="78"/>
      <c r="AC75" s="78">
        <v>20</v>
      </c>
      <c r="AD75" s="78">
        <v>10</v>
      </c>
      <c r="AE75" s="38"/>
      <c r="AF75" s="33">
        <f t="shared" si="15"/>
        <v>6933</v>
      </c>
      <c r="AG75" s="39">
        <f t="shared" si="16"/>
        <v>20750</v>
      </c>
      <c r="AH75" s="94" t="s">
        <v>299</v>
      </c>
      <c r="AI75" s="113"/>
    </row>
    <row r="76" spans="2:35" s="95" customFormat="1" ht="60" customHeight="1" x14ac:dyDescent="0.25">
      <c r="B76" s="22">
        <v>69</v>
      </c>
      <c r="C76" s="51">
        <v>300069</v>
      </c>
      <c r="D76" s="75" t="s">
        <v>300</v>
      </c>
      <c r="E76" s="46" t="s">
        <v>301</v>
      </c>
      <c r="F76" s="57" t="s">
        <v>297</v>
      </c>
      <c r="G76" s="46" t="s">
        <v>302</v>
      </c>
      <c r="H76" s="89">
        <v>14390</v>
      </c>
      <c r="I76" s="30">
        <f t="shared" si="11"/>
        <v>2159</v>
      </c>
      <c r="J76" s="89">
        <f t="shared" si="12"/>
        <v>8634</v>
      </c>
      <c r="K76" s="89">
        <v>1500</v>
      </c>
      <c r="L76" s="89">
        <v>300</v>
      </c>
      <c r="M76" s="96">
        <v>200</v>
      </c>
      <c r="N76" s="96">
        <v>500</v>
      </c>
      <c r="O76" s="96"/>
      <c r="P76" s="96"/>
      <c r="Q76" s="90">
        <f t="shared" si="10"/>
        <v>27683</v>
      </c>
      <c r="R76" s="78">
        <f t="shared" si="13"/>
        <v>1439</v>
      </c>
      <c r="S76" s="78"/>
      <c r="T76" s="90">
        <f t="shared" si="14"/>
        <v>144</v>
      </c>
      <c r="U76" s="78"/>
      <c r="V76" s="78">
        <v>1300</v>
      </c>
      <c r="W76" s="78">
        <v>990</v>
      </c>
      <c r="X76" s="78">
        <v>20</v>
      </c>
      <c r="Y76" s="78">
        <v>10</v>
      </c>
      <c r="Z76" s="78"/>
      <c r="AA76" s="78">
        <v>0</v>
      </c>
      <c r="AB76" s="78"/>
      <c r="AC76" s="78">
        <v>20</v>
      </c>
      <c r="AD76" s="78">
        <v>10</v>
      </c>
      <c r="AE76" s="38"/>
      <c r="AF76" s="33">
        <f t="shared" si="15"/>
        <v>3933</v>
      </c>
      <c r="AG76" s="39">
        <f t="shared" si="16"/>
        <v>23750</v>
      </c>
      <c r="AH76" s="94"/>
      <c r="AI76" s="98"/>
    </row>
    <row r="77" spans="2:35" s="95" customFormat="1" ht="58.5" customHeight="1" x14ac:dyDescent="0.25">
      <c r="B77" s="22">
        <v>70</v>
      </c>
      <c r="C77" s="107">
        <v>300097</v>
      </c>
      <c r="D77" s="108" t="s">
        <v>303</v>
      </c>
      <c r="E77" s="109" t="s">
        <v>304</v>
      </c>
      <c r="F77" s="57" t="s">
        <v>305</v>
      </c>
      <c r="G77" s="46" t="s">
        <v>306</v>
      </c>
      <c r="H77" s="114">
        <v>12410</v>
      </c>
      <c r="I77" s="30">
        <f t="shared" si="11"/>
        <v>1862</v>
      </c>
      <c r="J77" s="89">
        <f t="shared" si="12"/>
        <v>7446</v>
      </c>
      <c r="K77" s="89">
        <v>1500</v>
      </c>
      <c r="L77" s="89">
        <v>300</v>
      </c>
      <c r="M77" s="96">
        <v>200</v>
      </c>
      <c r="N77" s="115"/>
      <c r="O77" s="115"/>
      <c r="P77" s="115"/>
      <c r="Q77" s="90">
        <f t="shared" si="10"/>
        <v>23718</v>
      </c>
      <c r="R77" s="78">
        <f t="shared" si="13"/>
        <v>1241</v>
      </c>
      <c r="S77" s="111">
        <v>2000</v>
      </c>
      <c r="T77" s="90">
        <f t="shared" si="14"/>
        <v>124</v>
      </c>
      <c r="U77" s="78"/>
      <c r="V77" s="111"/>
      <c r="W77" s="111"/>
      <c r="X77" s="111"/>
      <c r="Y77" s="111"/>
      <c r="Z77" s="111"/>
      <c r="AA77" s="111"/>
      <c r="AB77" s="111"/>
      <c r="AC77" s="111">
        <v>20</v>
      </c>
      <c r="AD77" s="78">
        <v>10</v>
      </c>
      <c r="AE77" s="38"/>
      <c r="AF77" s="33">
        <f t="shared" si="15"/>
        <v>3395</v>
      </c>
      <c r="AG77" s="39">
        <f t="shared" si="16"/>
        <v>20323</v>
      </c>
      <c r="AH77" s="116" t="s">
        <v>307</v>
      </c>
      <c r="AI77" s="116"/>
    </row>
    <row r="78" spans="2:35" s="95" customFormat="1" ht="62.25" customHeight="1" x14ac:dyDescent="0.25">
      <c r="B78" s="22">
        <v>71</v>
      </c>
      <c r="C78" s="107">
        <v>300098</v>
      </c>
      <c r="D78" s="108" t="s">
        <v>308</v>
      </c>
      <c r="E78" s="109" t="s">
        <v>309</v>
      </c>
      <c r="F78" s="57" t="s">
        <v>305</v>
      </c>
      <c r="G78" s="46" t="s">
        <v>310</v>
      </c>
      <c r="H78" s="114">
        <v>12410</v>
      </c>
      <c r="I78" s="30">
        <f t="shared" si="11"/>
        <v>1862</v>
      </c>
      <c r="J78" s="89">
        <f t="shared" si="12"/>
        <v>7446</v>
      </c>
      <c r="K78" s="89">
        <v>1500</v>
      </c>
      <c r="L78" s="89">
        <v>300</v>
      </c>
      <c r="M78" s="96">
        <v>200</v>
      </c>
      <c r="N78" s="115"/>
      <c r="O78" s="115"/>
      <c r="P78" s="115"/>
      <c r="Q78" s="90">
        <f t="shared" si="10"/>
        <v>23718</v>
      </c>
      <c r="R78" s="78">
        <f t="shared" si="13"/>
        <v>1241</v>
      </c>
      <c r="S78" s="111">
        <v>2000</v>
      </c>
      <c r="T78" s="90">
        <f t="shared" si="14"/>
        <v>124</v>
      </c>
      <c r="U78" s="78"/>
      <c r="V78" s="111"/>
      <c r="W78" s="111"/>
      <c r="X78" s="111"/>
      <c r="Y78" s="111"/>
      <c r="Z78" s="111"/>
      <c r="AA78" s="111"/>
      <c r="AB78" s="111"/>
      <c r="AC78" s="111">
        <v>20</v>
      </c>
      <c r="AD78" s="78">
        <v>10</v>
      </c>
      <c r="AE78" s="38"/>
      <c r="AF78" s="33">
        <f t="shared" si="15"/>
        <v>3395</v>
      </c>
      <c r="AG78" s="39">
        <f t="shared" si="16"/>
        <v>20323</v>
      </c>
      <c r="AH78" s="94" t="s">
        <v>96</v>
      </c>
      <c r="AI78" s="98"/>
    </row>
    <row r="79" spans="2:35" s="95" customFormat="1" ht="63.75" customHeight="1" x14ac:dyDescent="0.25">
      <c r="B79" s="22">
        <v>72</v>
      </c>
      <c r="C79" s="107">
        <v>300101</v>
      </c>
      <c r="D79" s="108" t="s">
        <v>311</v>
      </c>
      <c r="E79" s="109" t="s">
        <v>312</v>
      </c>
      <c r="F79" s="57" t="s">
        <v>313</v>
      </c>
      <c r="G79" s="46" t="s">
        <v>314</v>
      </c>
      <c r="H79" s="114">
        <v>12410</v>
      </c>
      <c r="I79" s="30">
        <f t="shared" si="11"/>
        <v>1862</v>
      </c>
      <c r="J79" s="89">
        <f t="shared" si="12"/>
        <v>7446</v>
      </c>
      <c r="K79" s="89">
        <v>1500</v>
      </c>
      <c r="L79" s="89">
        <v>300</v>
      </c>
      <c r="M79" s="96">
        <v>200</v>
      </c>
      <c r="N79" s="115"/>
      <c r="O79" s="115"/>
      <c r="P79" s="115"/>
      <c r="Q79" s="90">
        <f t="shared" si="10"/>
        <v>23718</v>
      </c>
      <c r="R79" s="78">
        <f t="shared" si="13"/>
        <v>1241</v>
      </c>
      <c r="S79" s="111"/>
      <c r="T79" s="90">
        <f t="shared" si="14"/>
        <v>124</v>
      </c>
      <c r="U79" s="78"/>
      <c r="V79" s="111"/>
      <c r="W79" s="111"/>
      <c r="X79" s="111"/>
      <c r="Y79" s="111"/>
      <c r="Z79" s="111"/>
      <c r="AA79" s="111"/>
      <c r="AB79" s="111"/>
      <c r="AC79" s="111">
        <v>20</v>
      </c>
      <c r="AD79" s="78">
        <v>10</v>
      </c>
      <c r="AE79" s="38"/>
      <c r="AF79" s="33">
        <f t="shared" si="15"/>
        <v>1395</v>
      </c>
      <c r="AG79" s="39">
        <f t="shared" si="16"/>
        <v>22323</v>
      </c>
      <c r="AH79" s="117">
        <v>0</v>
      </c>
      <c r="AI79" s="98"/>
    </row>
    <row r="80" spans="2:35" s="95" customFormat="1" ht="59.25" customHeight="1" x14ac:dyDescent="0.25">
      <c r="B80" s="22">
        <v>73</v>
      </c>
      <c r="C80" s="107">
        <v>300102</v>
      </c>
      <c r="D80" s="108" t="s">
        <v>315</v>
      </c>
      <c r="E80" s="109" t="s">
        <v>316</v>
      </c>
      <c r="F80" s="57" t="s">
        <v>313</v>
      </c>
      <c r="G80" s="46" t="s">
        <v>317</v>
      </c>
      <c r="H80" s="114">
        <v>12410</v>
      </c>
      <c r="I80" s="30">
        <f t="shared" si="11"/>
        <v>1862</v>
      </c>
      <c r="J80" s="89">
        <f t="shared" si="12"/>
        <v>7446</v>
      </c>
      <c r="K80" s="89">
        <v>1500</v>
      </c>
      <c r="L80" s="89">
        <v>300</v>
      </c>
      <c r="M80" s="96">
        <v>200</v>
      </c>
      <c r="N80" s="115">
        <v>500</v>
      </c>
      <c r="O80" s="115"/>
      <c r="P80" s="115"/>
      <c r="Q80" s="90">
        <f t="shared" si="10"/>
        <v>24218</v>
      </c>
      <c r="R80" s="78">
        <f t="shared" si="13"/>
        <v>1241</v>
      </c>
      <c r="S80" s="111">
        <v>2150</v>
      </c>
      <c r="T80" s="90">
        <f t="shared" si="14"/>
        <v>124</v>
      </c>
      <c r="U80" s="78"/>
      <c r="V80" s="111"/>
      <c r="W80" s="111"/>
      <c r="X80" s="111"/>
      <c r="Y80" s="111"/>
      <c r="Z80" s="111"/>
      <c r="AA80" s="111"/>
      <c r="AB80" s="111"/>
      <c r="AC80" s="111">
        <v>20</v>
      </c>
      <c r="AD80" s="78">
        <v>10</v>
      </c>
      <c r="AE80" s="38" t="s">
        <v>318</v>
      </c>
      <c r="AF80" s="33">
        <f t="shared" si="15"/>
        <v>3545</v>
      </c>
      <c r="AG80" s="39">
        <f t="shared" si="16"/>
        <v>20673</v>
      </c>
      <c r="AH80" s="94" t="s">
        <v>319</v>
      </c>
      <c r="AI80" s="98"/>
    </row>
    <row r="81" spans="2:50" s="95" customFormat="1" ht="63.75" customHeight="1" x14ac:dyDescent="0.25">
      <c r="B81" s="22">
        <v>74</v>
      </c>
      <c r="C81" s="51">
        <v>300063</v>
      </c>
      <c r="D81" s="75" t="s">
        <v>320</v>
      </c>
      <c r="E81" s="46" t="s">
        <v>321</v>
      </c>
      <c r="F81" s="57" t="s">
        <v>297</v>
      </c>
      <c r="G81" s="46" t="s">
        <v>322</v>
      </c>
      <c r="H81" s="58">
        <v>14390</v>
      </c>
      <c r="I81" s="58">
        <f t="shared" si="11"/>
        <v>2159</v>
      </c>
      <c r="J81" s="89">
        <f>ROUND((H81*60%),0)</f>
        <v>8634</v>
      </c>
      <c r="K81" s="89">
        <v>1500</v>
      </c>
      <c r="L81" s="89">
        <v>300</v>
      </c>
      <c r="M81" s="96">
        <v>200</v>
      </c>
      <c r="N81" s="96">
        <v>0</v>
      </c>
      <c r="O81" s="96">
        <v>100</v>
      </c>
      <c r="P81" s="96">
        <v>2000</v>
      </c>
      <c r="Q81" s="90">
        <f>SUM(H81:P81)</f>
        <v>29283</v>
      </c>
      <c r="R81" s="78">
        <f t="shared" si="13"/>
        <v>1439</v>
      </c>
      <c r="S81" s="78">
        <v>4000</v>
      </c>
      <c r="T81" s="90">
        <f t="shared" si="14"/>
        <v>144</v>
      </c>
      <c r="U81" s="78"/>
      <c r="V81" s="78">
        <v>1300</v>
      </c>
      <c r="W81" s="78">
        <v>990</v>
      </c>
      <c r="X81" s="78">
        <v>20</v>
      </c>
      <c r="Y81" s="78">
        <v>10</v>
      </c>
      <c r="Z81" s="78"/>
      <c r="AA81" s="78">
        <v>0</v>
      </c>
      <c r="AB81" s="78"/>
      <c r="AC81" s="78">
        <v>20</v>
      </c>
      <c r="AD81" s="78">
        <v>10</v>
      </c>
      <c r="AE81" s="38"/>
      <c r="AF81" s="33">
        <f t="shared" si="15"/>
        <v>7933</v>
      </c>
      <c r="AG81" s="39">
        <f t="shared" si="16"/>
        <v>21350</v>
      </c>
      <c r="AH81" s="94" t="s">
        <v>323</v>
      </c>
      <c r="AI81" s="98"/>
    </row>
    <row r="82" spans="2:50" s="95" customFormat="1" ht="58.5" x14ac:dyDescent="0.25">
      <c r="B82" s="22">
        <v>75</v>
      </c>
      <c r="C82" s="51">
        <v>300064</v>
      </c>
      <c r="D82" s="75" t="s">
        <v>324</v>
      </c>
      <c r="E82" s="46" t="s">
        <v>325</v>
      </c>
      <c r="F82" s="57" t="s">
        <v>297</v>
      </c>
      <c r="G82" s="46" t="s">
        <v>326</v>
      </c>
      <c r="H82" s="58">
        <v>14390</v>
      </c>
      <c r="I82" s="58">
        <f t="shared" si="11"/>
        <v>2159</v>
      </c>
      <c r="J82" s="89">
        <f>ROUND((H82*60%),0)</f>
        <v>8634</v>
      </c>
      <c r="K82" s="89">
        <v>1500</v>
      </c>
      <c r="L82" s="89">
        <v>300</v>
      </c>
      <c r="M82" s="96">
        <v>200</v>
      </c>
      <c r="N82" s="96">
        <v>500</v>
      </c>
      <c r="O82" s="96">
        <v>100</v>
      </c>
      <c r="P82" s="96"/>
      <c r="Q82" s="90">
        <f t="shared" ref="Q82:Q90" si="17">SUM(H82:O82)</f>
        <v>27783</v>
      </c>
      <c r="R82" s="78">
        <f t="shared" si="13"/>
        <v>1439</v>
      </c>
      <c r="S82" s="78"/>
      <c r="T82" s="90">
        <f t="shared" si="14"/>
        <v>144</v>
      </c>
      <c r="U82" s="78"/>
      <c r="V82" s="78">
        <v>0</v>
      </c>
      <c r="W82" s="78">
        <v>0</v>
      </c>
      <c r="X82" s="78">
        <v>0</v>
      </c>
      <c r="Y82" s="78">
        <v>0</v>
      </c>
      <c r="Z82" s="78"/>
      <c r="AA82" s="78">
        <v>0</v>
      </c>
      <c r="AB82" s="78"/>
      <c r="AC82" s="78">
        <v>20</v>
      </c>
      <c r="AD82" s="78">
        <v>10</v>
      </c>
      <c r="AE82" s="38"/>
      <c r="AF82" s="33">
        <f t="shared" si="15"/>
        <v>1613</v>
      </c>
      <c r="AG82" s="39">
        <f t="shared" si="16"/>
        <v>26170</v>
      </c>
      <c r="AH82" s="94"/>
      <c r="AI82" s="98"/>
    </row>
    <row r="83" spans="2:50" s="95" customFormat="1" ht="58.5" x14ac:dyDescent="0.25">
      <c r="B83" s="22">
        <v>76</v>
      </c>
      <c r="C83" s="51">
        <v>300065</v>
      </c>
      <c r="D83" s="75" t="s">
        <v>327</v>
      </c>
      <c r="E83" s="46" t="s">
        <v>328</v>
      </c>
      <c r="F83" s="57" t="s">
        <v>297</v>
      </c>
      <c r="G83" s="46" t="s">
        <v>329</v>
      </c>
      <c r="H83" s="58">
        <v>14390</v>
      </c>
      <c r="I83" s="58">
        <f t="shared" si="11"/>
        <v>2159</v>
      </c>
      <c r="J83" s="89"/>
      <c r="K83" s="89">
        <v>1500</v>
      </c>
      <c r="L83" s="89">
        <v>300</v>
      </c>
      <c r="M83" s="96">
        <v>200</v>
      </c>
      <c r="N83" s="96">
        <v>0</v>
      </c>
      <c r="O83" s="96">
        <v>100</v>
      </c>
      <c r="P83" s="96"/>
      <c r="Q83" s="90">
        <f t="shared" si="17"/>
        <v>18649</v>
      </c>
      <c r="R83" s="78">
        <f t="shared" si="13"/>
        <v>1439</v>
      </c>
      <c r="S83" s="78">
        <v>2500</v>
      </c>
      <c r="T83" s="90">
        <f t="shared" si="14"/>
        <v>144</v>
      </c>
      <c r="U83" s="78"/>
      <c r="V83" s="78"/>
      <c r="W83" s="78">
        <v>1080</v>
      </c>
      <c r="X83" s="78">
        <v>30</v>
      </c>
      <c r="Y83" s="78">
        <v>10</v>
      </c>
      <c r="Z83" s="78">
        <v>3034</v>
      </c>
      <c r="AA83" s="78">
        <v>0</v>
      </c>
      <c r="AB83" s="78"/>
      <c r="AC83" s="78">
        <v>20</v>
      </c>
      <c r="AD83" s="78">
        <v>10</v>
      </c>
      <c r="AE83" s="38"/>
      <c r="AF83" s="33">
        <f t="shared" si="15"/>
        <v>8267</v>
      </c>
      <c r="AG83" s="39">
        <f t="shared" si="16"/>
        <v>10382</v>
      </c>
      <c r="AH83" s="94" t="s">
        <v>330</v>
      </c>
      <c r="AI83" s="98"/>
    </row>
    <row r="84" spans="2:50" s="95" customFormat="1" ht="58.5" x14ac:dyDescent="0.25">
      <c r="B84" s="22">
        <v>77</v>
      </c>
      <c r="C84" s="51">
        <v>300067</v>
      </c>
      <c r="D84" s="75" t="s">
        <v>331</v>
      </c>
      <c r="E84" s="46" t="s">
        <v>332</v>
      </c>
      <c r="F84" s="57" t="s">
        <v>297</v>
      </c>
      <c r="G84" s="46" t="s">
        <v>333</v>
      </c>
      <c r="H84" s="58">
        <v>14390</v>
      </c>
      <c r="I84" s="58">
        <f t="shared" si="11"/>
        <v>2159</v>
      </c>
      <c r="J84" s="89"/>
      <c r="K84" s="89">
        <v>1500</v>
      </c>
      <c r="L84" s="89">
        <v>300</v>
      </c>
      <c r="M84" s="96">
        <v>200</v>
      </c>
      <c r="N84" s="96">
        <v>1000</v>
      </c>
      <c r="O84" s="96">
        <v>100</v>
      </c>
      <c r="P84" s="96"/>
      <c r="Q84" s="90">
        <f t="shared" si="17"/>
        <v>19649</v>
      </c>
      <c r="R84" s="78">
        <f t="shared" si="13"/>
        <v>1439</v>
      </c>
      <c r="S84" s="78">
        <v>3300</v>
      </c>
      <c r="T84" s="90">
        <f t="shared" si="14"/>
        <v>144</v>
      </c>
      <c r="U84" s="78"/>
      <c r="V84" s="78"/>
      <c r="W84" s="78">
        <v>1080</v>
      </c>
      <c r="X84" s="78">
        <v>20</v>
      </c>
      <c r="Y84" s="78">
        <v>10</v>
      </c>
      <c r="Z84" s="79">
        <v>2152</v>
      </c>
      <c r="AA84" s="78">
        <v>0</v>
      </c>
      <c r="AB84" s="78"/>
      <c r="AC84" s="78">
        <v>20</v>
      </c>
      <c r="AD84" s="78">
        <v>10</v>
      </c>
      <c r="AE84" s="38"/>
      <c r="AF84" s="33">
        <f t="shared" si="15"/>
        <v>8175</v>
      </c>
      <c r="AG84" s="39">
        <f t="shared" si="16"/>
        <v>11474</v>
      </c>
      <c r="AH84" s="94" t="s">
        <v>334</v>
      </c>
      <c r="AI84" s="98"/>
    </row>
    <row r="85" spans="2:50" s="95" customFormat="1" ht="56.25" customHeight="1" x14ac:dyDescent="0.25">
      <c r="B85" s="22">
        <v>78</v>
      </c>
      <c r="C85" s="51">
        <v>300068</v>
      </c>
      <c r="D85" s="75" t="s">
        <v>335</v>
      </c>
      <c r="E85" s="46" t="s">
        <v>336</v>
      </c>
      <c r="F85" s="57" t="s">
        <v>297</v>
      </c>
      <c r="G85" s="46" t="s">
        <v>337</v>
      </c>
      <c r="H85" s="58">
        <v>14390</v>
      </c>
      <c r="I85" s="58">
        <f t="shared" si="11"/>
        <v>2159</v>
      </c>
      <c r="J85" s="89"/>
      <c r="K85" s="89">
        <v>1500</v>
      </c>
      <c r="L85" s="89">
        <v>300</v>
      </c>
      <c r="M85" s="96">
        <v>200</v>
      </c>
      <c r="N85" s="96">
        <v>500</v>
      </c>
      <c r="O85" s="96">
        <v>100</v>
      </c>
      <c r="P85" s="96"/>
      <c r="Q85" s="90">
        <f t="shared" si="17"/>
        <v>19149</v>
      </c>
      <c r="R85" s="78">
        <f t="shared" si="13"/>
        <v>1439</v>
      </c>
      <c r="S85" s="78">
        <v>3125</v>
      </c>
      <c r="T85" s="90">
        <f t="shared" si="14"/>
        <v>144</v>
      </c>
      <c r="U85" s="78"/>
      <c r="V85" s="78">
        <v>0</v>
      </c>
      <c r="W85" s="78">
        <v>1080</v>
      </c>
      <c r="X85" s="78">
        <v>20</v>
      </c>
      <c r="Y85" s="78">
        <v>10</v>
      </c>
      <c r="Z85" s="78">
        <v>2136</v>
      </c>
      <c r="AA85" s="78">
        <v>0</v>
      </c>
      <c r="AB85" s="78"/>
      <c r="AC85" s="78">
        <v>20</v>
      </c>
      <c r="AD85" s="78">
        <v>10</v>
      </c>
      <c r="AE85" s="38"/>
      <c r="AF85" s="33">
        <f t="shared" si="15"/>
        <v>7984</v>
      </c>
      <c r="AG85" s="39">
        <f t="shared" si="16"/>
        <v>11165</v>
      </c>
      <c r="AH85" s="94" t="s">
        <v>338</v>
      </c>
      <c r="AI85" s="98"/>
    </row>
    <row r="86" spans="2:50" s="95" customFormat="1" ht="58.5" x14ac:dyDescent="0.25">
      <c r="B86" s="22">
        <v>79</v>
      </c>
      <c r="C86" s="51">
        <v>300070</v>
      </c>
      <c r="D86" s="75" t="s">
        <v>339</v>
      </c>
      <c r="E86" s="46" t="s">
        <v>340</v>
      </c>
      <c r="F86" s="57" t="s">
        <v>297</v>
      </c>
      <c r="G86" s="46" t="s">
        <v>341</v>
      </c>
      <c r="H86" s="58">
        <v>14390</v>
      </c>
      <c r="I86" s="58">
        <f t="shared" si="11"/>
        <v>2159</v>
      </c>
      <c r="J86" s="89">
        <f t="shared" ref="J86:J91" si="18">ROUND((H86*60%),0)</f>
        <v>8634</v>
      </c>
      <c r="K86" s="89">
        <v>1500</v>
      </c>
      <c r="L86" s="89">
        <v>300</v>
      </c>
      <c r="M86" s="96">
        <v>200</v>
      </c>
      <c r="N86" s="96">
        <v>1000</v>
      </c>
      <c r="O86" s="96">
        <v>100</v>
      </c>
      <c r="P86" s="96"/>
      <c r="Q86" s="90">
        <f t="shared" si="17"/>
        <v>28283</v>
      </c>
      <c r="R86" s="78">
        <f t="shared" si="13"/>
        <v>1439</v>
      </c>
      <c r="S86" s="78"/>
      <c r="T86" s="90">
        <f t="shared" si="14"/>
        <v>144</v>
      </c>
      <c r="U86" s="78"/>
      <c r="V86" s="78">
        <v>0</v>
      </c>
      <c r="W86" s="78">
        <v>0</v>
      </c>
      <c r="X86" s="78">
        <v>0</v>
      </c>
      <c r="Y86" s="78">
        <v>0</v>
      </c>
      <c r="Z86" s="78"/>
      <c r="AA86" s="78">
        <v>0</v>
      </c>
      <c r="AB86" s="78"/>
      <c r="AC86" s="78">
        <v>20</v>
      </c>
      <c r="AD86" s="78">
        <v>10</v>
      </c>
      <c r="AE86" s="38"/>
      <c r="AF86" s="33">
        <f t="shared" si="15"/>
        <v>1613</v>
      </c>
      <c r="AG86" s="39">
        <f t="shared" si="16"/>
        <v>26670</v>
      </c>
      <c r="AH86" s="117"/>
      <c r="AI86" s="98"/>
    </row>
    <row r="87" spans="2:50" s="118" customFormat="1" ht="58.5" x14ac:dyDescent="0.25">
      <c r="B87" s="22">
        <v>80</v>
      </c>
      <c r="C87" s="119">
        <v>300072</v>
      </c>
      <c r="D87" s="75" t="s">
        <v>342</v>
      </c>
      <c r="E87" s="120" t="s">
        <v>343</v>
      </c>
      <c r="F87" s="121" t="s">
        <v>297</v>
      </c>
      <c r="G87" s="120" t="s">
        <v>344</v>
      </c>
      <c r="H87" s="58">
        <v>14390</v>
      </c>
      <c r="I87" s="58">
        <f t="shared" si="11"/>
        <v>2159</v>
      </c>
      <c r="J87" s="122">
        <f t="shared" si="18"/>
        <v>8634</v>
      </c>
      <c r="K87" s="122">
        <v>1500</v>
      </c>
      <c r="L87" s="122">
        <v>300</v>
      </c>
      <c r="M87" s="64">
        <v>200</v>
      </c>
      <c r="N87" s="64">
        <v>1000</v>
      </c>
      <c r="O87" s="64">
        <v>100</v>
      </c>
      <c r="P87" s="64"/>
      <c r="Q87" s="123">
        <f t="shared" si="17"/>
        <v>28283</v>
      </c>
      <c r="R87" s="79">
        <f t="shared" si="13"/>
        <v>1439</v>
      </c>
      <c r="S87" s="79"/>
      <c r="T87" s="90">
        <f t="shared" si="14"/>
        <v>144</v>
      </c>
      <c r="U87" s="78"/>
      <c r="V87" s="78"/>
      <c r="W87" s="78"/>
      <c r="X87" s="78"/>
      <c r="Y87" s="78"/>
      <c r="Z87" s="78"/>
      <c r="AA87" s="78">
        <v>0</v>
      </c>
      <c r="AB87" s="78"/>
      <c r="AC87" s="78">
        <v>20</v>
      </c>
      <c r="AD87" s="78">
        <v>10</v>
      </c>
      <c r="AE87" s="38"/>
      <c r="AF87" s="33">
        <f t="shared" si="15"/>
        <v>1613</v>
      </c>
      <c r="AG87" s="39">
        <f t="shared" si="16"/>
        <v>26670</v>
      </c>
      <c r="AH87" s="94"/>
      <c r="AI87" s="98"/>
      <c r="AJ87" s="95"/>
    </row>
    <row r="88" spans="2:50" s="95" customFormat="1" ht="58.5" x14ac:dyDescent="0.25">
      <c r="B88" s="22">
        <v>81</v>
      </c>
      <c r="C88" s="51">
        <v>300082</v>
      </c>
      <c r="D88" s="75" t="s">
        <v>345</v>
      </c>
      <c r="E88" s="46" t="s">
        <v>346</v>
      </c>
      <c r="F88" s="57" t="s">
        <v>347</v>
      </c>
      <c r="G88" s="46" t="s">
        <v>348</v>
      </c>
      <c r="H88" s="89">
        <v>14390</v>
      </c>
      <c r="I88" s="58">
        <f t="shared" si="11"/>
        <v>2159</v>
      </c>
      <c r="J88" s="89">
        <f t="shared" si="18"/>
        <v>8634</v>
      </c>
      <c r="K88" s="89">
        <v>1500</v>
      </c>
      <c r="L88" s="89">
        <v>300</v>
      </c>
      <c r="M88" s="96">
        <v>200</v>
      </c>
      <c r="N88" s="96">
        <v>500</v>
      </c>
      <c r="O88" s="96">
        <v>100</v>
      </c>
      <c r="P88" s="96"/>
      <c r="Q88" s="90">
        <f t="shared" si="17"/>
        <v>27783</v>
      </c>
      <c r="R88" s="78">
        <f t="shared" si="13"/>
        <v>1439</v>
      </c>
      <c r="S88" s="78">
        <v>2000</v>
      </c>
      <c r="T88" s="90">
        <f t="shared" si="14"/>
        <v>144</v>
      </c>
      <c r="U88" s="78"/>
      <c r="V88" s="78">
        <v>1300</v>
      </c>
      <c r="W88" s="78">
        <v>990</v>
      </c>
      <c r="X88" s="78">
        <v>20</v>
      </c>
      <c r="Y88" s="78">
        <v>10</v>
      </c>
      <c r="Z88" s="78"/>
      <c r="AA88" s="78">
        <v>0</v>
      </c>
      <c r="AB88" s="78"/>
      <c r="AC88" s="78">
        <v>20</v>
      </c>
      <c r="AD88" s="78">
        <v>10</v>
      </c>
      <c r="AE88" s="38"/>
      <c r="AF88" s="33">
        <f t="shared" si="15"/>
        <v>5933</v>
      </c>
      <c r="AG88" s="39">
        <f t="shared" si="16"/>
        <v>21850</v>
      </c>
      <c r="AH88" s="94" t="s">
        <v>349</v>
      </c>
      <c r="AI88" s="98"/>
    </row>
    <row r="89" spans="2:50" s="95" customFormat="1" ht="58.5" x14ac:dyDescent="0.25">
      <c r="B89" s="22">
        <v>82</v>
      </c>
      <c r="C89" s="51">
        <v>300083</v>
      </c>
      <c r="D89" s="75" t="s">
        <v>350</v>
      </c>
      <c r="E89" s="46" t="s">
        <v>351</v>
      </c>
      <c r="F89" s="57" t="s">
        <v>347</v>
      </c>
      <c r="G89" s="46" t="s">
        <v>352</v>
      </c>
      <c r="H89" s="89">
        <v>14390</v>
      </c>
      <c r="I89" s="58">
        <f t="shared" si="11"/>
        <v>2159</v>
      </c>
      <c r="J89" s="89">
        <f t="shared" si="18"/>
        <v>8634</v>
      </c>
      <c r="K89" s="89">
        <v>1500</v>
      </c>
      <c r="L89" s="89">
        <v>300</v>
      </c>
      <c r="M89" s="96">
        <v>200</v>
      </c>
      <c r="N89" s="96">
        <v>1000</v>
      </c>
      <c r="O89" s="96">
        <v>100</v>
      </c>
      <c r="P89" s="96"/>
      <c r="Q89" s="90">
        <f t="shared" si="17"/>
        <v>28283</v>
      </c>
      <c r="R89" s="78">
        <f t="shared" si="13"/>
        <v>1439</v>
      </c>
      <c r="S89" s="78"/>
      <c r="T89" s="90">
        <f t="shared" si="14"/>
        <v>144</v>
      </c>
      <c r="U89" s="78"/>
      <c r="V89" s="78">
        <v>0</v>
      </c>
      <c r="W89" s="78">
        <v>0</v>
      </c>
      <c r="X89" s="78">
        <v>0</v>
      </c>
      <c r="Y89" s="78"/>
      <c r="Z89" s="78"/>
      <c r="AA89" s="78">
        <v>0</v>
      </c>
      <c r="AB89" s="78"/>
      <c r="AC89" s="78">
        <v>20</v>
      </c>
      <c r="AD89" s="78">
        <v>10</v>
      </c>
      <c r="AE89" s="38"/>
      <c r="AF89" s="33">
        <f t="shared" si="15"/>
        <v>1613</v>
      </c>
      <c r="AG89" s="39">
        <f t="shared" si="16"/>
        <v>26670</v>
      </c>
      <c r="AH89" s="117"/>
      <c r="AI89" s="98"/>
    </row>
    <row r="90" spans="2:50" s="95" customFormat="1" ht="58.5" customHeight="1" x14ac:dyDescent="0.25">
      <c r="B90" s="22">
        <v>83</v>
      </c>
      <c r="C90" s="107">
        <v>300087</v>
      </c>
      <c r="D90" s="108" t="s">
        <v>353</v>
      </c>
      <c r="E90" s="109" t="s">
        <v>354</v>
      </c>
      <c r="F90" s="57" t="s">
        <v>355</v>
      </c>
      <c r="G90" s="46" t="s">
        <v>356</v>
      </c>
      <c r="H90" s="114">
        <v>13700</v>
      </c>
      <c r="I90" s="58">
        <f t="shared" si="11"/>
        <v>2055</v>
      </c>
      <c r="J90" s="89">
        <f t="shared" si="18"/>
        <v>8220</v>
      </c>
      <c r="K90" s="89">
        <v>1500</v>
      </c>
      <c r="L90" s="89">
        <v>300</v>
      </c>
      <c r="M90" s="96">
        <v>200</v>
      </c>
      <c r="N90" s="115">
        <v>1000</v>
      </c>
      <c r="O90" s="115">
        <v>100</v>
      </c>
      <c r="P90" s="115"/>
      <c r="Q90" s="90">
        <f t="shared" si="17"/>
        <v>27075</v>
      </c>
      <c r="R90" s="78">
        <f t="shared" si="13"/>
        <v>1370</v>
      </c>
      <c r="S90" s="111"/>
      <c r="T90" s="90">
        <f t="shared" si="14"/>
        <v>137</v>
      </c>
      <c r="U90" s="78"/>
      <c r="V90" s="111"/>
      <c r="W90" s="111"/>
      <c r="X90" s="111"/>
      <c r="Y90" s="111"/>
      <c r="Z90" s="111"/>
      <c r="AA90" s="111"/>
      <c r="AB90" s="111"/>
      <c r="AC90" s="111">
        <v>20</v>
      </c>
      <c r="AD90" s="78">
        <v>10</v>
      </c>
      <c r="AE90" s="38"/>
      <c r="AF90" s="33">
        <f t="shared" si="15"/>
        <v>1537</v>
      </c>
      <c r="AG90" s="39">
        <f t="shared" si="16"/>
        <v>25538</v>
      </c>
      <c r="AH90" s="94"/>
      <c r="AI90" s="98"/>
    </row>
    <row r="91" spans="2:50" s="95" customFormat="1" ht="58.5" customHeight="1" x14ac:dyDescent="0.25">
      <c r="B91" s="22">
        <v>84</v>
      </c>
      <c r="C91" s="107">
        <v>300103</v>
      </c>
      <c r="D91" s="108" t="s">
        <v>357</v>
      </c>
      <c r="E91" s="109" t="s">
        <v>358</v>
      </c>
      <c r="F91" s="57" t="s">
        <v>313</v>
      </c>
      <c r="G91" s="46" t="s">
        <v>359</v>
      </c>
      <c r="H91" s="114">
        <v>12410</v>
      </c>
      <c r="I91" s="58">
        <f>ROUND((H91*15%),0)</f>
        <v>1862</v>
      </c>
      <c r="J91" s="89">
        <f t="shared" si="18"/>
        <v>7446</v>
      </c>
      <c r="K91" s="89">
        <v>1500</v>
      </c>
      <c r="L91" s="89">
        <v>300</v>
      </c>
      <c r="M91" s="96">
        <v>200</v>
      </c>
      <c r="N91" s="115"/>
      <c r="O91" s="115">
        <v>100</v>
      </c>
      <c r="P91" s="115"/>
      <c r="Q91" s="90">
        <f>SUM(H91:O91)</f>
        <v>23818</v>
      </c>
      <c r="R91" s="78">
        <f>ROUND((H91*10%),0)</f>
        <v>1241</v>
      </c>
      <c r="S91" s="111"/>
      <c r="T91" s="90">
        <f>ROUND((H91*1%),0)</f>
        <v>124</v>
      </c>
      <c r="U91" s="78"/>
      <c r="V91" s="111"/>
      <c r="W91" s="111"/>
      <c r="X91" s="111"/>
      <c r="Y91" s="111"/>
      <c r="Z91" s="111"/>
      <c r="AA91" s="111"/>
      <c r="AB91" s="111"/>
      <c r="AC91" s="111">
        <v>20</v>
      </c>
      <c r="AD91" s="78">
        <v>10</v>
      </c>
      <c r="AE91" s="38"/>
      <c r="AF91" s="33">
        <f>SUM(R91:AE91)</f>
        <v>1395</v>
      </c>
      <c r="AG91" s="39">
        <f>Q91-AF91</f>
        <v>22423</v>
      </c>
      <c r="AH91" s="94"/>
      <c r="AI91" s="98"/>
      <c r="AJ91" s="88"/>
      <c r="AK91" s="88"/>
      <c r="AL91" s="88"/>
      <c r="AM91" s="88"/>
      <c r="AN91" s="88"/>
      <c r="AO91" s="88"/>
      <c r="AP91" s="88"/>
      <c r="AQ91" s="88"/>
      <c r="AR91" s="88"/>
      <c r="AS91" s="88"/>
      <c r="AT91" s="88"/>
      <c r="AU91" s="88"/>
      <c r="AV91" s="88"/>
      <c r="AW91" s="88"/>
      <c r="AX91" s="88"/>
    </row>
    <row r="92" spans="2:50" ht="62.25" customHeight="1" x14ac:dyDescent="0.25">
      <c r="B92" s="22">
        <v>85</v>
      </c>
      <c r="C92" s="22">
        <v>300088</v>
      </c>
      <c r="D92" s="27" t="s">
        <v>360</v>
      </c>
      <c r="E92" s="46" t="s">
        <v>361</v>
      </c>
      <c r="F92" s="42" t="s">
        <v>362</v>
      </c>
      <c r="G92" s="46" t="s">
        <v>363</v>
      </c>
      <c r="H92" s="31">
        <v>13780</v>
      </c>
      <c r="I92" s="30">
        <f t="shared" si="11"/>
        <v>2067</v>
      </c>
      <c r="J92" s="31"/>
      <c r="K92" s="31">
        <v>1500</v>
      </c>
      <c r="L92" s="31">
        <v>300</v>
      </c>
      <c r="M92" s="34">
        <v>200</v>
      </c>
      <c r="N92" s="73">
        <v>1000</v>
      </c>
      <c r="O92" s="34"/>
      <c r="P92" s="34"/>
      <c r="Q92" s="33">
        <f t="shared" si="10"/>
        <v>18847</v>
      </c>
      <c r="R92" s="34">
        <f t="shared" si="13"/>
        <v>1378</v>
      </c>
      <c r="S92" s="34">
        <v>5000</v>
      </c>
      <c r="T92" s="33">
        <f t="shared" si="14"/>
        <v>138</v>
      </c>
      <c r="U92" s="34"/>
      <c r="V92" s="34"/>
      <c r="W92" s="34">
        <v>1080</v>
      </c>
      <c r="X92" s="34">
        <v>30</v>
      </c>
      <c r="Y92" s="34">
        <v>10</v>
      </c>
      <c r="Z92" s="34">
        <v>1817</v>
      </c>
      <c r="AA92" s="34"/>
      <c r="AB92" s="34"/>
      <c r="AC92" s="34">
        <v>20</v>
      </c>
      <c r="AD92" s="34">
        <v>10</v>
      </c>
      <c r="AE92" s="38"/>
      <c r="AF92" s="33">
        <f t="shared" si="15"/>
        <v>9483</v>
      </c>
      <c r="AG92" s="39">
        <f t="shared" si="16"/>
        <v>9364</v>
      </c>
      <c r="AH92" s="47" t="s">
        <v>364</v>
      </c>
      <c r="AI92" s="22"/>
    </row>
    <row r="93" spans="2:50" ht="23.25" customHeight="1" x14ac:dyDescent="0.25">
      <c r="B93" s="22"/>
      <c r="C93" s="124"/>
      <c r="D93" s="125" t="s">
        <v>365</v>
      </c>
      <c r="E93" s="126"/>
      <c r="F93" s="126"/>
      <c r="G93" s="126"/>
      <c r="H93" s="127"/>
      <c r="I93" s="126"/>
      <c r="J93" s="126"/>
      <c r="K93" s="126"/>
      <c r="L93" s="126"/>
      <c r="M93" s="128"/>
      <c r="N93" s="129"/>
      <c r="O93" s="25"/>
      <c r="P93" s="25"/>
      <c r="Q93" s="33"/>
      <c r="R93" s="34"/>
      <c r="S93" s="34"/>
      <c r="T93" s="33"/>
      <c r="U93" s="34"/>
      <c r="V93" s="34"/>
      <c r="W93" s="34"/>
      <c r="X93" s="34"/>
      <c r="Y93" s="34"/>
      <c r="Z93" s="34"/>
      <c r="AA93" s="34"/>
      <c r="AB93" s="34"/>
      <c r="AC93" s="34"/>
      <c r="AD93" s="34"/>
      <c r="AE93" s="38"/>
      <c r="AF93" s="33">
        <f t="shared" si="15"/>
        <v>0</v>
      </c>
      <c r="AG93" s="39">
        <f t="shared" si="16"/>
        <v>0</v>
      </c>
      <c r="AH93" s="47"/>
      <c r="AI93" s="22"/>
    </row>
    <row r="94" spans="2:50" ht="58.5" x14ac:dyDescent="0.25">
      <c r="B94" s="22">
        <v>86</v>
      </c>
      <c r="C94" s="22">
        <v>300074</v>
      </c>
      <c r="D94" s="27" t="s">
        <v>366</v>
      </c>
      <c r="E94" s="46" t="s">
        <v>367</v>
      </c>
      <c r="F94" s="57" t="s">
        <v>136</v>
      </c>
      <c r="G94" s="46" t="s">
        <v>368</v>
      </c>
      <c r="H94" s="58">
        <v>14010</v>
      </c>
      <c r="I94" s="58">
        <f>ROUND((H94*15%),0)</f>
        <v>2102</v>
      </c>
      <c r="J94" s="58">
        <f>ROUND((H94*60%),0)</f>
        <v>8406</v>
      </c>
      <c r="K94" s="58">
        <v>1500</v>
      </c>
      <c r="L94" s="58">
        <v>300</v>
      </c>
      <c r="M94" s="63">
        <v>200</v>
      </c>
      <c r="N94" s="63">
        <v>1000</v>
      </c>
      <c r="O94" s="63">
        <v>100</v>
      </c>
      <c r="P94" s="63"/>
      <c r="Q94" s="33">
        <f>SUM(H94:O94)</f>
        <v>27618</v>
      </c>
      <c r="R94" s="34">
        <f>ROUND((H94*10%),0)</f>
        <v>1401</v>
      </c>
      <c r="S94" s="34">
        <v>3100</v>
      </c>
      <c r="T94" s="33">
        <f>ROUND((H94*1%),0)</f>
        <v>140</v>
      </c>
      <c r="U94" s="34"/>
      <c r="V94" s="34">
        <v>1300</v>
      </c>
      <c r="W94" s="34">
        <v>990</v>
      </c>
      <c r="X94" s="34">
        <v>20</v>
      </c>
      <c r="Y94" s="34">
        <v>10</v>
      </c>
      <c r="Z94" s="34"/>
      <c r="AA94" s="34">
        <v>0</v>
      </c>
      <c r="AB94" s="34"/>
      <c r="AC94" s="34">
        <v>20</v>
      </c>
      <c r="AD94" s="34">
        <v>10</v>
      </c>
      <c r="AE94" s="38"/>
      <c r="AF94" s="33">
        <f t="shared" si="15"/>
        <v>6991</v>
      </c>
      <c r="AG94" s="39">
        <f t="shared" si="16"/>
        <v>20627</v>
      </c>
      <c r="AH94" s="65" t="s">
        <v>369</v>
      </c>
      <c r="AI94" s="66"/>
    </row>
    <row r="95" spans="2:50" s="95" customFormat="1" ht="57" customHeight="1" x14ac:dyDescent="0.25">
      <c r="B95" s="22">
        <v>87</v>
      </c>
      <c r="C95" s="51">
        <v>300073</v>
      </c>
      <c r="D95" s="75" t="s">
        <v>370</v>
      </c>
      <c r="E95" s="46" t="s">
        <v>371</v>
      </c>
      <c r="F95" s="57" t="s">
        <v>372</v>
      </c>
      <c r="G95" s="46" t="s">
        <v>373</v>
      </c>
      <c r="H95" s="89">
        <f>ROUND((13340/2),0)</f>
        <v>6670</v>
      </c>
      <c r="I95" s="58">
        <v>1001</v>
      </c>
      <c r="J95" s="122">
        <v>8004</v>
      </c>
      <c r="K95" s="89">
        <v>1500</v>
      </c>
      <c r="L95" s="89"/>
      <c r="M95" s="96"/>
      <c r="N95" s="96">
        <v>1000</v>
      </c>
      <c r="O95" s="96">
        <v>100</v>
      </c>
      <c r="P95" s="96"/>
      <c r="Q95" s="90">
        <f t="shared" ref="Q95:Q104" si="19">SUM(H95:O95)</f>
        <v>18275</v>
      </c>
      <c r="R95" s="78">
        <v>2900</v>
      </c>
      <c r="S95" s="79"/>
      <c r="T95" s="90"/>
      <c r="U95" s="78"/>
      <c r="V95" s="78">
        <v>0</v>
      </c>
      <c r="W95" s="78">
        <v>0</v>
      </c>
      <c r="X95" s="78">
        <v>0</v>
      </c>
      <c r="Y95" s="78">
        <v>0</v>
      </c>
      <c r="Z95" s="78"/>
      <c r="AA95" s="78">
        <v>0</v>
      </c>
      <c r="AB95" s="78"/>
      <c r="AC95" s="78">
        <v>20</v>
      </c>
      <c r="AD95" s="78">
        <v>10</v>
      </c>
      <c r="AE95" s="38"/>
      <c r="AF95" s="33">
        <f t="shared" si="15"/>
        <v>2930</v>
      </c>
      <c r="AG95" s="39">
        <f t="shared" si="16"/>
        <v>15345</v>
      </c>
      <c r="AH95" s="94" t="s">
        <v>374</v>
      </c>
      <c r="AI95" s="113" t="s">
        <v>375</v>
      </c>
    </row>
    <row r="96" spans="2:50" s="95" customFormat="1" ht="58.5" x14ac:dyDescent="0.25">
      <c r="B96" s="22">
        <v>88</v>
      </c>
      <c r="C96" s="107">
        <v>300104</v>
      </c>
      <c r="D96" s="108" t="s">
        <v>376</v>
      </c>
      <c r="E96" s="109" t="s">
        <v>377</v>
      </c>
      <c r="F96" s="57" t="s">
        <v>313</v>
      </c>
      <c r="G96" s="46" t="s">
        <v>378</v>
      </c>
      <c r="H96" s="114">
        <v>12090</v>
      </c>
      <c r="I96" s="58">
        <f t="shared" ref="I96:I116" si="20">ROUND((H96*15%),0)</f>
        <v>1814</v>
      </c>
      <c r="J96" s="89">
        <f>ROUND((H96*60%),0)</f>
        <v>7254</v>
      </c>
      <c r="K96" s="89">
        <v>1500</v>
      </c>
      <c r="L96" s="89">
        <v>300</v>
      </c>
      <c r="M96" s="96">
        <v>200</v>
      </c>
      <c r="N96" s="115">
        <v>1000</v>
      </c>
      <c r="O96" s="115">
        <v>100</v>
      </c>
      <c r="P96" s="115"/>
      <c r="Q96" s="90">
        <f t="shared" si="19"/>
        <v>24258</v>
      </c>
      <c r="R96" s="78">
        <f t="shared" ref="R96:R129" si="21">ROUND((H96*10%),0)</f>
        <v>1209</v>
      </c>
      <c r="S96" s="111"/>
      <c r="T96" s="90">
        <f t="shared" ref="T96:T129" si="22">ROUND((H96*1%),0)</f>
        <v>121</v>
      </c>
      <c r="U96" s="78"/>
      <c r="V96" s="111"/>
      <c r="W96" s="111"/>
      <c r="X96" s="111"/>
      <c r="Y96" s="111"/>
      <c r="Z96" s="111"/>
      <c r="AA96" s="111"/>
      <c r="AB96" s="111"/>
      <c r="AC96" s="111">
        <v>20</v>
      </c>
      <c r="AD96" s="78">
        <v>10</v>
      </c>
      <c r="AE96" s="38"/>
      <c r="AF96" s="33">
        <f t="shared" si="15"/>
        <v>1360</v>
      </c>
      <c r="AG96" s="39">
        <f t="shared" si="16"/>
        <v>22898</v>
      </c>
      <c r="AH96" s="117"/>
      <c r="AI96" s="98"/>
      <c r="AJ96" s="88"/>
      <c r="AK96" s="88"/>
      <c r="AL96" s="88"/>
      <c r="AM96" s="88"/>
      <c r="AN96" s="88"/>
      <c r="AO96" s="88"/>
      <c r="AP96" s="88"/>
      <c r="AQ96" s="88"/>
      <c r="AR96" s="88"/>
      <c r="AS96" s="88"/>
      <c r="AT96" s="88"/>
      <c r="AU96" s="88"/>
      <c r="AV96" s="88"/>
      <c r="AW96" s="88"/>
      <c r="AX96" s="88"/>
    </row>
    <row r="97" spans="2:35" s="95" customFormat="1" ht="58.5" customHeight="1" x14ac:dyDescent="0.25">
      <c r="B97" s="22">
        <v>89</v>
      </c>
      <c r="C97" s="107">
        <v>300106</v>
      </c>
      <c r="D97" s="108" t="s">
        <v>379</v>
      </c>
      <c r="E97" s="83" t="s">
        <v>380</v>
      </c>
      <c r="F97" s="57" t="s">
        <v>313</v>
      </c>
      <c r="G97" s="46" t="s">
        <v>381</v>
      </c>
      <c r="H97" s="114">
        <v>12090</v>
      </c>
      <c r="I97" s="58">
        <f t="shared" si="20"/>
        <v>1814</v>
      </c>
      <c r="J97" s="89"/>
      <c r="K97" s="89">
        <v>1500</v>
      </c>
      <c r="L97" s="89">
        <v>300</v>
      </c>
      <c r="M97" s="96">
        <v>200</v>
      </c>
      <c r="N97" s="115">
        <v>1000</v>
      </c>
      <c r="O97" s="115">
        <v>100</v>
      </c>
      <c r="P97" s="115"/>
      <c r="Q97" s="90">
        <f t="shared" si="19"/>
        <v>17004</v>
      </c>
      <c r="R97" s="78">
        <f t="shared" si="21"/>
        <v>1209</v>
      </c>
      <c r="S97" s="111"/>
      <c r="T97" s="90">
        <f t="shared" si="22"/>
        <v>121</v>
      </c>
      <c r="U97" s="78"/>
      <c r="V97" s="111"/>
      <c r="W97" s="111">
        <v>1080</v>
      </c>
      <c r="X97" s="111">
        <v>30</v>
      </c>
      <c r="Y97" s="111">
        <v>10</v>
      </c>
      <c r="Z97" s="111">
        <v>1921</v>
      </c>
      <c r="AA97" s="111"/>
      <c r="AB97" s="111"/>
      <c r="AC97" s="111">
        <v>20</v>
      </c>
      <c r="AD97" s="78">
        <v>10</v>
      </c>
      <c r="AE97" s="38"/>
      <c r="AF97" s="33">
        <f t="shared" si="15"/>
        <v>4401</v>
      </c>
      <c r="AG97" s="39">
        <f t="shared" si="16"/>
        <v>12603</v>
      </c>
      <c r="AH97" s="117"/>
      <c r="AI97" s="98"/>
    </row>
    <row r="98" spans="2:35" s="95" customFormat="1" ht="58.5" customHeight="1" x14ac:dyDescent="0.25">
      <c r="B98" s="22">
        <v>90</v>
      </c>
      <c r="C98" s="107">
        <v>300107</v>
      </c>
      <c r="D98" s="108" t="s">
        <v>382</v>
      </c>
      <c r="E98" s="75" t="s">
        <v>383</v>
      </c>
      <c r="F98" s="57" t="s">
        <v>313</v>
      </c>
      <c r="G98" s="46" t="s">
        <v>384</v>
      </c>
      <c r="H98" s="114">
        <v>12090</v>
      </c>
      <c r="I98" s="58">
        <f t="shared" si="20"/>
        <v>1814</v>
      </c>
      <c r="J98" s="89">
        <f t="shared" ref="J98:J116" si="23">ROUND((H98*60%),0)</f>
        <v>7254</v>
      </c>
      <c r="K98" s="89">
        <v>1500</v>
      </c>
      <c r="L98" s="89">
        <v>300</v>
      </c>
      <c r="M98" s="96">
        <v>200</v>
      </c>
      <c r="N98" s="115">
        <v>1000</v>
      </c>
      <c r="O98" s="115">
        <v>100</v>
      </c>
      <c r="P98" s="115"/>
      <c r="Q98" s="90">
        <f t="shared" si="19"/>
        <v>24258</v>
      </c>
      <c r="R98" s="78">
        <f t="shared" si="21"/>
        <v>1209</v>
      </c>
      <c r="S98" s="111"/>
      <c r="T98" s="90">
        <f t="shared" si="22"/>
        <v>121</v>
      </c>
      <c r="U98" s="78"/>
      <c r="V98" s="111"/>
      <c r="W98" s="111"/>
      <c r="X98" s="111"/>
      <c r="Y98" s="111"/>
      <c r="Z98" s="111"/>
      <c r="AA98" s="111"/>
      <c r="AB98" s="111"/>
      <c r="AC98" s="111">
        <v>20</v>
      </c>
      <c r="AD98" s="78">
        <v>10</v>
      </c>
      <c r="AE98" s="38"/>
      <c r="AF98" s="33">
        <f t="shared" si="15"/>
        <v>1360</v>
      </c>
      <c r="AG98" s="39">
        <f t="shared" si="16"/>
        <v>22898</v>
      </c>
      <c r="AH98" s="117"/>
      <c r="AI98" s="98"/>
    </row>
    <row r="99" spans="2:35" s="95" customFormat="1" ht="58.5" x14ac:dyDescent="0.25">
      <c r="B99" s="22">
        <v>91</v>
      </c>
      <c r="C99" s="51">
        <v>300076</v>
      </c>
      <c r="D99" s="75" t="s">
        <v>385</v>
      </c>
      <c r="E99" s="46" t="s">
        <v>386</v>
      </c>
      <c r="F99" s="57" t="s">
        <v>387</v>
      </c>
      <c r="G99" s="46" t="s">
        <v>388</v>
      </c>
      <c r="H99" s="89">
        <v>14010</v>
      </c>
      <c r="I99" s="58">
        <f t="shared" si="20"/>
        <v>2102</v>
      </c>
      <c r="J99" s="89">
        <f t="shared" si="23"/>
        <v>8406</v>
      </c>
      <c r="K99" s="89">
        <v>1500</v>
      </c>
      <c r="L99" s="89">
        <v>300</v>
      </c>
      <c r="M99" s="96">
        <v>200</v>
      </c>
      <c r="N99" s="96">
        <v>500</v>
      </c>
      <c r="O99" s="96">
        <v>100</v>
      </c>
      <c r="P99" s="96"/>
      <c r="Q99" s="90">
        <f t="shared" si="19"/>
        <v>27118</v>
      </c>
      <c r="R99" s="78">
        <f t="shared" si="21"/>
        <v>1401</v>
      </c>
      <c r="S99" s="78"/>
      <c r="T99" s="90">
        <f t="shared" si="22"/>
        <v>140</v>
      </c>
      <c r="U99" s="78"/>
      <c r="V99" s="78"/>
      <c r="W99" s="78"/>
      <c r="X99" s="78"/>
      <c r="Y99" s="78"/>
      <c r="Z99" s="105"/>
      <c r="AA99" s="78">
        <v>0</v>
      </c>
      <c r="AB99" s="78"/>
      <c r="AC99" s="78">
        <v>20</v>
      </c>
      <c r="AD99" s="78">
        <v>10</v>
      </c>
      <c r="AE99" s="38"/>
      <c r="AF99" s="33">
        <f t="shared" si="15"/>
        <v>1571</v>
      </c>
      <c r="AG99" s="39">
        <f t="shared" si="16"/>
        <v>25547</v>
      </c>
      <c r="AH99" s="117"/>
      <c r="AI99" s="98"/>
    </row>
    <row r="100" spans="2:35" s="95" customFormat="1" ht="58.5" x14ac:dyDescent="0.25">
      <c r="B100" s="22">
        <v>92</v>
      </c>
      <c r="C100" s="107">
        <v>300084</v>
      </c>
      <c r="D100" s="108" t="s">
        <v>389</v>
      </c>
      <c r="E100" s="109" t="s">
        <v>149</v>
      </c>
      <c r="F100" s="57" t="s">
        <v>390</v>
      </c>
      <c r="G100" s="46" t="s">
        <v>391</v>
      </c>
      <c r="H100" s="114">
        <v>13340</v>
      </c>
      <c r="I100" s="58">
        <f t="shared" si="20"/>
        <v>2001</v>
      </c>
      <c r="J100" s="89">
        <f t="shared" si="23"/>
        <v>8004</v>
      </c>
      <c r="K100" s="89">
        <v>1500</v>
      </c>
      <c r="L100" s="89">
        <v>300</v>
      </c>
      <c r="M100" s="96">
        <v>200</v>
      </c>
      <c r="N100" s="115">
        <v>1000</v>
      </c>
      <c r="O100" s="115">
        <v>100</v>
      </c>
      <c r="P100" s="115"/>
      <c r="Q100" s="90">
        <f t="shared" si="19"/>
        <v>26445</v>
      </c>
      <c r="R100" s="78">
        <f t="shared" si="21"/>
        <v>1334</v>
      </c>
      <c r="S100" s="111"/>
      <c r="T100" s="90">
        <f t="shared" si="22"/>
        <v>133</v>
      </c>
      <c r="U100" s="78"/>
      <c r="V100" s="111"/>
      <c r="W100" s="111"/>
      <c r="X100" s="111"/>
      <c r="Y100" s="111"/>
      <c r="Z100" s="130"/>
      <c r="AA100" s="111"/>
      <c r="AB100" s="111"/>
      <c r="AC100" s="111">
        <v>20</v>
      </c>
      <c r="AD100" s="78">
        <v>10</v>
      </c>
      <c r="AE100" s="38"/>
      <c r="AF100" s="33">
        <f t="shared" si="15"/>
        <v>1497</v>
      </c>
      <c r="AG100" s="39">
        <f t="shared" si="16"/>
        <v>24948</v>
      </c>
      <c r="AH100" s="94"/>
      <c r="AI100" s="116"/>
    </row>
    <row r="101" spans="2:35" s="95" customFormat="1" ht="59.25" customHeight="1" x14ac:dyDescent="0.25">
      <c r="B101" s="22">
        <v>93</v>
      </c>
      <c r="C101" s="107">
        <v>300086</v>
      </c>
      <c r="D101" s="108" t="s">
        <v>392</v>
      </c>
      <c r="E101" s="109" t="s">
        <v>393</v>
      </c>
      <c r="F101" s="57" t="s">
        <v>394</v>
      </c>
      <c r="G101" s="46" t="s">
        <v>395</v>
      </c>
      <c r="H101" s="114">
        <v>13340</v>
      </c>
      <c r="I101" s="58">
        <f t="shared" si="20"/>
        <v>2001</v>
      </c>
      <c r="J101" s="89">
        <f t="shared" si="23"/>
        <v>8004</v>
      </c>
      <c r="K101" s="89">
        <v>1500</v>
      </c>
      <c r="L101" s="89">
        <v>300</v>
      </c>
      <c r="M101" s="96">
        <v>200</v>
      </c>
      <c r="N101" s="115"/>
      <c r="O101" s="115">
        <v>100</v>
      </c>
      <c r="P101" s="115"/>
      <c r="Q101" s="90">
        <f t="shared" si="19"/>
        <v>25445</v>
      </c>
      <c r="R101" s="78">
        <f t="shared" si="21"/>
        <v>1334</v>
      </c>
      <c r="S101" s="111"/>
      <c r="T101" s="90">
        <f t="shared" si="22"/>
        <v>133</v>
      </c>
      <c r="U101" s="78"/>
      <c r="V101" s="111"/>
      <c r="W101" s="111"/>
      <c r="X101" s="111"/>
      <c r="Y101" s="111"/>
      <c r="Z101" s="111"/>
      <c r="AA101" s="111"/>
      <c r="AB101" s="111"/>
      <c r="AC101" s="111">
        <v>20</v>
      </c>
      <c r="AD101" s="78">
        <v>10</v>
      </c>
      <c r="AE101" s="38"/>
      <c r="AF101" s="33">
        <f t="shared" si="15"/>
        <v>1497</v>
      </c>
      <c r="AG101" s="39">
        <f t="shared" si="16"/>
        <v>23948</v>
      </c>
      <c r="AH101" s="117"/>
      <c r="AI101" s="98"/>
    </row>
    <row r="102" spans="2:35" s="95" customFormat="1" ht="61.5" customHeight="1" x14ac:dyDescent="0.25">
      <c r="B102" s="22">
        <v>94</v>
      </c>
      <c r="C102" s="107">
        <v>300122</v>
      </c>
      <c r="D102" s="108" t="s">
        <v>396</v>
      </c>
      <c r="E102" s="109" t="s">
        <v>397</v>
      </c>
      <c r="F102" s="57" t="s">
        <v>394</v>
      </c>
      <c r="G102" s="46" t="s">
        <v>398</v>
      </c>
      <c r="H102" s="114">
        <v>11510</v>
      </c>
      <c r="I102" s="58">
        <f t="shared" si="20"/>
        <v>1727</v>
      </c>
      <c r="J102" s="89">
        <f t="shared" si="23"/>
        <v>6906</v>
      </c>
      <c r="K102" s="89">
        <v>1500</v>
      </c>
      <c r="L102" s="89">
        <v>300</v>
      </c>
      <c r="M102" s="96">
        <v>200</v>
      </c>
      <c r="N102" s="115"/>
      <c r="O102" s="115">
        <v>100</v>
      </c>
      <c r="P102" s="115"/>
      <c r="Q102" s="90">
        <f t="shared" si="19"/>
        <v>22243</v>
      </c>
      <c r="R102" s="78">
        <f t="shared" si="21"/>
        <v>1151</v>
      </c>
      <c r="S102" s="111"/>
      <c r="T102" s="90">
        <f t="shared" si="22"/>
        <v>115</v>
      </c>
      <c r="U102" s="78"/>
      <c r="V102" s="111"/>
      <c r="W102" s="111"/>
      <c r="X102" s="111"/>
      <c r="Y102" s="111"/>
      <c r="Z102" s="111"/>
      <c r="AA102" s="111"/>
      <c r="AB102" s="111"/>
      <c r="AC102" s="111">
        <v>20</v>
      </c>
      <c r="AD102" s="78">
        <v>10</v>
      </c>
      <c r="AE102" s="38"/>
      <c r="AF102" s="33">
        <f t="shared" si="15"/>
        <v>1296</v>
      </c>
      <c r="AG102" s="39">
        <f t="shared" si="16"/>
        <v>20947</v>
      </c>
      <c r="AH102" s="117"/>
      <c r="AI102" s="98"/>
    </row>
    <row r="103" spans="2:35" s="95" customFormat="1" ht="57.75" customHeight="1" x14ac:dyDescent="0.25">
      <c r="B103" s="22">
        <v>95</v>
      </c>
      <c r="C103" s="107">
        <v>300119</v>
      </c>
      <c r="D103" s="108" t="s">
        <v>399</v>
      </c>
      <c r="E103" s="109" t="s">
        <v>400</v>
      </c>
      <c r="F103" s="57" t="s">
        <v>401</v>
      </c>
      <c r="G103" s="46" t="s">
        <v>402</v>
      </c>
      <c r="H103" s="114">
        <v>11510</v>
      </c>
      <c r="I103" s="58">
        <f t="shared" si="20"/>
        <v>1727</v>
      </c>
      <c r="J103" s="89">
        <f t="shared" si="23"/>
        <v>6906</v>
      </c>
      <c r="K103" s="89">
        <v>1500</v>
      </c>
      <c r="L103" s="89">
        <v>300</v>
      </c>
      <c r="M103" s="96">
        <v>200</v>
      </c>
      <c r="N103" s="115"/>
      <c r="O103" s="115">
        <v>100</v>
      </c>
      <c r="P103" s="115"/>
      <c r="Q103" s="90">
        <f t="shared" si="19"/>
        <v>22243</v>
      </c>
      <c r="R103" s="78">
        <f t="shared" si="21"/>
        <v>1151</v>
      </c>
      <c r="S103" s="111"/>
      <c r="T103" s="90">
        <f t="shared" si="22"/>
        <v>115</v>
      </c>
      <c r="U103" s="78"/>
      <c r="V103" s="111"/>
      <c r="W103" s="111"/>
      <c r="X103" s="111"/>
      <c r="Y103" s="111"/>
      <c r="Z103" s="111"/>
      <c r="AA103" s="111"/>
      <c r="AB103" s="111"/>
      <c r="AC103" s="111">
        <v>20</v>
      </c>
      <c r="AD103" s="78">
        <v>10</v>
      </c>
      <c r="AE103" s="38"/>
      <c r="AF103" s="33">
        <f t="shared" si="15"/>
        <v>1296</v>
      </c>
      <c r="AG103" s="39">
        <f t="shared" si="16"/>
        <v>20947</v>
      </c>
      <c r="AH103" s="117"/>
      <c r="AI103" s="98"/>
    </row>
    <row r="104" spans="2:35" s="95" customFormat="1" ht="60" customHeight="1" x14ac:dyDescent="0.25">
      <c r="B104" s="22">
        <v>96</v>
      </c>
      <c r="C104" s="107">
        <v>300120</v>
      </c>
      <c r="D104" s="108" t="s">
        <v>403</v>
      </c>
      <c r="E104" s="109" t="s">
        <v>404</v>
      </c>
      <c r="F104" s="57" t="s">
        <v>405</v>
      </c>
      <c r="G104" s="46" t="s">
        <v>406</v>
      </c>
      <c r="H104" s="114">
        <v>11510</v>
      </c>
      <c r="I104" s="58">
        <f t="shared" si="20"/>
        <v>1727</v>
      </c>
      <c r="J104" s="89">
        <f t="shared" si="23"/>
        <v>6906</v>
      </c>
      <c r="K104" s="89">
        <v>1500</v>
      </c>
      <c r="L104" s="89">
        <v>300</v>
      </c>
      <c r="M104" s="96">
        <v>200</v>
      </c>
      <c r="N104" s="115">
        <v>1000</v>
      </c>
      <c r="O104" s="115">
        <v>100</v>
      </c>
      <c r="P104" s="115"/>
      <c r="Q104" s="90">
        <f t="shared" si="19"/>
        <v>23243</v>
      </c>
      <c r="R104" s="78">
        <f t="shared" si="21"/>
        <v>1151</v>
      </c>
      <c r="S104" s="111"/>
      <c r="T104" s="90">
        <f t="shared" si="22"/>
        <v>115</v>
      </c>
      <c r="U104" s="78"/>
      <c r="V104" s="111"/>
      <c r="W104" s="111"/>
      <c r="X104" s="111"/>
      <c r="Y104" s="111"/>
      <c r="Z104" s="111"/>
      <c r="AA104" s="111"/>
      <c r="AB104" s="111"/>
      <c r="AC104" s="111">
        <v>20</v>
      </c>
      <c r="AD104" s="78">
        <v>10</v>
      </c>
      <c r="AE104" s="38"/>
      <c r="AF104" s="33">
        <f t="shared" si="15"/>
        <v>1296</v>
      </c>
      <c r="AG104" s="39">
        <f t="shared" si="16"/>
        <v>21947</v>
      </c>
      <c r="AH104" s="117"/>
      <c r="AI104" s="98"/>
    </row>
    <row r="105" spans="2:35" s="95" customFormat="1" ht="59.25" customHeight="1" x14ac:dyDescent="0.25">
      <c r="B105" s="22">
        <v>97</v>
      </c>
      <c r="C105" s="107">
        <v>300100</v>
      </c>
      <c r="D105" s="108" t="s">
        <v>407</v>
      </c>
      <c r="E105" s="109" t="s">
        <v>408</v>
      </c>
      <c r="F105" s="57" t="s">
        <v>409</v>
      </c>
      <c r="G105" s="46" t="s">
        <v>410</v>
      </c>
      <c r="H105" s="114">
        <v>12090</v>
      </c>
      <c r="I105" s="58">
        <f t="shared" si="20"/>
        <v>1814</v>
      </c>
      <c r="J105" s="89">
        <f t="shared" si="23"/>
        <v>7254</v>
      </c>
      <c r="K105" s="89">
        <v>1500</v>
      </c>
      <c r="L105" s="89">
        <v>300</v>
      </c>
      <c r="M105" s="96">
        <v>200</v>
      </c>
      <c r="N105" s="115"/>
      <c r="O105" s="115">
        <v>100</v>
      </c>
      <c r="P105" s="115">
        <v>2000</v>
      </c>
      <c r="Q105" s="90">
        <f>SUM(H105:P105)</f>
        <v>25258</v>
      </c>
      <c r="R105" s="78">
        <f t="shared" si="21"/>
        <v>1209</v>
      </c>
      <c r="S105" s="111"/>
      <c r="T105" s="90">
        <f t="shared" si="22"/>
        <v>121</v>
      </c>
      <c r="U105" s="78"/>
      <c r="V105" s="111"/>
      <c r="W105" s="111"/>
      <c r="X105" s="111"/>
      <c r="Y105" s="111"/>
      <c r="Z105" s="111"/>
      <c r="AA105" s="111"/>
      <c r="AB105" s="111"/>
      <c r="AC105" s="111">
        <v>20</v>
      </c>
      <c r="AD105" s="78">
        <v>10</v>
      </c>
      <c r="AE105" s="38"/>
      <c r="AF105" s="33">
        <f t="shared" si="15"/>
        <v>1360</v>
      </c>
      <c r="AG105" s="39">
        <f t="shared" si="16"/>
        <v>23898</v>
      </c>
      <c r="AH105" s="117"/>
      <c r="AI105" s="98"/>
    </row>
    <row r="106" spans="2:35" s="95" customFormat="1" ht="79.5" customHeight="1" x14ac:dyDescent="0.25">
      <c r="B106" s="22">
        <v>98</v>
      </c>
      <c r="C106" s="107">
        <v>300105</v>
      </c>
      <c r="D106" s="108" t="s">
        <v>411</v>
      </c>
      <c r="E106" s="109" t="s">
        <v>412</v>
      </c>
      <c r="F106" s="57" t="s">
        <v>409</v>
      </c>
      <c r="G106" s="46" t="s">
        <v>413</v>
      </c>
      <c r="H106" s="114">
        <v>12090</v>
      </c>
      <c r="I106" s="58">
        <f t="shared" si="20"/>
        <v>1814</v>
      </c>
      <c r="J106" s="89">
        <f t="shared" si="23"/>
        <v>7254</v>
      </c>
      <c r="K106" s="89">
        <v>1500</v>
      </c>
      <c r="L106" s="89">
        <v>300</v>
      </c>
      <c r="M106" s="96">
        <v>200</v>
      </c>
      <c r="N106" s="115">
        <v>1000</v>
      </c>
      <c r="O106" s="115">
        <v>100</v>
      </c>
      <c r="P106" s="115"/>
      <c r="Q106" s="90">
        <f t="shared" ref="Q106:Q129" si="24">SUM(H106:O106)</f>
        <v>24258</v>
      </c>
      <c r="R106" s="78">
        <f t="shared" si="21"/>
        <v>1209</v>
      </c>
      <c r="S106" s="111">
        <v>1400</v>
      </c>
      <c r="T106" s="90">
        <f t="shared" si="22"/>
        <v>121</v>
      </c>
      <c r="U106" s="78"/>
      <c r="V106" s="111"/>
      <c r="W106" s="111"/>
      <c r="X106" s="111"/>
      <c r="Y106" s="111"/>
      <c r="Z106" s="111"/>
      <c r="AA106" s="111"/>
      <c r="AB106" s="111"/>
      <c r="AC106" s="111">
        <v>20</v>
      </c>
      <c r="AD106" s="78">
        <v>10</v>
      </c>
      <c r="AE106" s="38"/>
      <c r="AF106" s="33">
        <f t="shared" si="15"/>
        <v>2760</v>
      </c>
      <c r="AG106" s="39">
        <f t="shared" si="16"/>
        <v>21498</v>
      </c>
      <c r="AH106" s="131" t="s">
        <v>414</v>
      </c>
      <c r="AI106" s="98"/>
    </row>
    <row r="107" spans="2:35" s="95" customFormat="1" ht="64.5" customHeight="1" x14ac:dyDescent="0.25">
      <c r="B107" s="22">
        <v>99</v>
      </c>
      <c r="C107" s="107">
        <v>300124</v>
      </c>
      <c r="D107" s="108" t="s">
        <v>415</v>
      </c>
      <c r="E107" s="109" t="s">
        <v>416</v>
      </c>
      <c r="F107" s="57" t="s">
        <v>401</v>
      </c>
      <c r="G107" s="46" t="s">
        <v>417</v>
      </c>
      <c r="H107" s="114">
        <v>10960</v>
      </c>
      <c r="I107" s="58">
        <f t="shared" si="20"/>
        <v>1644</v>
      </c>
      <c r="J107" s="89">
        <f t="shared" si="23"/>
        <v>6576</v>
      </c>
      <c r="K107" s="89">
        <v>1500</v>
      </c>
      <c r="L107" s="89">
        <v>300</v>
      </c>
      <c r="M107" s="96">
        <v>200</v>
      </c>
      <c r="N107" s="115">
        <v>1000</v>
      </c>
      <c r="O107" s="115">
        <v>100</v>
      </c>
      <c r="P107" s="115"/>
      <c r="Q107" s="90">
        <f t="shared" si="24"/>
        <v>22280</v>
      </c>
      <c r="R107" s="79">
        <f t="shared" si="21"/>
        <v>1096</v>
      </c>
      <c r="S107" s="110"/>
      <c r="T107" s="90">
        <f t="shared" si="22"/>
        <v>110</v>
      </c>
      <c r="U107" s="78"/>
      <c r="V107" s="111"/>
      <c r="W107" s="111"/>
      <c r="X107" s="111"/>
      <c r="Y107" s="111"/>
      <c r="Z107" s="111"/>
      <c r="AA107" s="111"/>
      <c r="AB107" s="111"/>
      <c r="AC107" s="111">
        <v>20</v>
      </c>
      <c r="AD107" s="78">
        <v>10</v>
      </c>
      <c r="AE107" s="38"/>
      <c r="AF107" s="33">
        <f t="shared" si="15"/>
        <v>1236</v>
      </c>
      <c r="AG107" s="39">
        <f t="shared" si="16"/>
        <v>21044</v>
      </c>
      <c r="AH107" s="117"/>
      <c r="AI107" s="98"/>
    </row>
    <row r="108" spans="2:35" s="95" customFormat="1" ht="59.25" customHeight="1" x14ac:dyDescent="0.25">
      <c r="B108" s="22">
        <v>100</v>
      </c>
      <c r="C108" s="51">
        <v>300096</v>
      </c>
      <c r="D108" s="75" t="s">
        <v>418</v>
      </c>
      <c r="E108" s="46" t="s">
        <v>419</v>
      </c>
      <c r="F108" s="57" t="s">
        <v>387</v>
      </c>
      <c r="G108" s="46" t="s">
        <v>420</v>
      </c>
      <c r="H108" s="89">
        <v>12000</v>
      </c>
      <c r="I108" s="58">
        <f t="shared" si="20"/>
        <v>1800</v>
      </c>
      <c r="J108" s="89">
        <f t="shared" si="23"/>
        <v>7200</v>
      </c>
      <c r="K108" s="89">
        <v>1500</v>
      </c>
      <c r="L108" s="89">
        <v>300</v>
      </c>
      <c r="M108" s="96">
        <v>200</v>
      </c>
      <c r="N108" s="96"/>
      <c r="O108" s="96">
        <v>100</v>
      </c>
      <c r="P108" s="96"/>
      <c r="Q108" s="90">
        <f t="shared" si="24"/>
        <v>23100</v>
      </c>
      <c r="R108" s="78">
        <f t="shared" si="21"/>
        <v>1200</v>
      </c>
      <c r="S108" s="78"/>
      <c r="T108" s="90">
        <f t="shared" si="22"/>
        <v>120</v>
      </c>
      <c r="U108" s="78"/>
      <c r="V108" s="78"/>
      <c r="W108" s="78"/>
      <c r="X108" s="78"/>
      <c r="Y108" s="78"/>
      <c r="Z108" s="78"/>
      <c r="AA108" s="78"/>
      <c r="AB108" s="78"/>
      <c r="AC108" s="78">
        <v>20</v>
      </c>
      <c r="AD108" s="78">
        <v>10</v>
      </c>
      <c r="AE108" s="38"/>
      <c r="AF108" s="33">
        <f t="shared" si="15"/>
        <v>1350</v>
      </c>
      <c r="AG108" s="39">
        <f t="shared" si="16"/>
        <v>21750</v>
      </c>
      <c r="AH108" s="117"/>
      <c r="AI108" s="98"/>
    </row>
    <row r="109" spans="2:35" s="95" customFormat="1" ht="55.5" customHeight="1" x14ac:dyDescent="0.25">
      <c r="B109" s="22">
        <v>101</v>
      </c>
      <c r="C109" s="107">
        <v>300146</v>
      </c>
      <c r="D109" s="108" t="s">
        <v>421</v>
      </c>
      <c r="E109" s="75" t="s">
        <v>422</v>
      </c>
      <c r="F109" s="57" t="s">
        <v>409</v>
      </c>
      <c r="G109" s="45" t="s">
        <v>423</v>
      </c>
      <c r="H109" s="114">
        <v>8930</v>
      </c>
      <c r="I109" s="58">
        <v>1500</v>
      </c>
      <c r="J109" s="89">
        <f>ROUND((H109*65%),0)</f>
        <v>5805</v>
      </c>
      <c r="K109" s="89">
        <v>1500</v>
      </c>
      <c r="L109" s="89">
        <v>300</v>
      </c>
      <c r="M109" s="96">
        <v>200</v>
      </c>
      <c r="N109" s="115">
        <v>1000</v>
      </c>
      <c r="O109" s="115"/>
      <c r="P109" s="115"/>
      <c r="Q109" s="90">
        <f t="shared" si="24"/>
        <v>19235</v>
      </c>
      <c r="R109" s="78">
        <f t="shared" si="21"/>
        <v>893</v>
      </c>
      <c r="S109" s="111"/>
      <c r="T109" s="90">
        <f t="shared" si="22"/>
        <v>89</v>
      </c>
      <c r="U109" s="78"/>
      <c r="V109" s="111"/>
      <c r="W109" s="111"/>
      <c r="X109" s="111"/>
      <c r="Y109" s="111"/>
      <c r="Z109" s="111"/>
      <c r="AA109" s="111"/>
      <c r="AB109" s="111"/>
      <c r="AC109" s="111">
        <v>20</v>
      </c>
      <c r="AD109" s="78">
        <v>10</v>
      </c>
      <c r="AE109" s="38"/>
      <c r="AF109" s="33">
        <f t="shared" si="15"/>
        <v>1012</v>
      </c>
      <c r="AG109" s="39">
        <f t="shared" si="16"/>
        <v>18223</v>
      </c>
      <c r="AH109" s="117"/>
      <c r="AI109" s="98"/>
    </row>
    <row r="110" spans="2:35" s="95" customFormat="1" ht="59.25" customHeight="1" x14ac:dyDescent="0.25">
      <c r="B110" s="22">
        <v>102</v>
      </c>
      <c r="C110" s="51">
        <v>300154</v>
      </c>
      <c r="D110" s="75" t="s">
        <v>424</v>
      </c>
      <c r="E110" s="46" t="s">
        <v>425</v>
      </c>
      <c r="F110" s="57" t="s">
        <v>426</v>
      </c>
      <c r="G110" s="132" t="s">
        <v>427</v>
      </c>
      <c r="H110" s="89">
        <v>8500</v>
      </c>
      <c r="I110" s="58">
        <v>1500</v>
      </c>
      <c r="J110" s="89">
        <v>5600</v>
      </c>
      <c r="K110" s="89">
        <v>1500</v>
      </c>
      <c r="L110" s="89">
        <v>300</v>
      </c>
      <c r="M110" s="96">
        <v>200</v>
      </c>
      <c r="N110" s="96">
        <v>500</v>
      </c>
      <c r="O110" s="96"/>
      <c r="P110" s="96"/>
      <c r="Q110" s="90">
        <f t="shared" si="24"/>
        <v>18100</v>
      </c>
      <c r="R110" s="78">
        <f t="shared" si="21"/>
        <v>850</v>
      </c>
      <c r="S110" s="78"/>
      <c r="T110" s="90">
        <f t="shared" si="22"/>
        <v>85</v>
      </c>
      <c r="U110" s="78"/>
      <c r="V110" s="78"/>
      <c r="W110" s="78"/>
      <c r="X110" s="78"/>
      <c r="Y110" s="78"/>
      <c r="Z110" s="78"/>
      <c r="AA110" s="78"/>
      <c r="AB110" s="78"/>
      <c r="AC110" s="78"/>
      <c r="AD110" s="78">
        <v>10</v>
      </c>
      <c r="AE110" s="38"/>
      <c r="AF110" s="33">
        <f t="shared" si="15"/>
        <v>945</v>
      </c>
      <c r="AG110" s="39">
        <f t="shared" si="16"/>
        <v>17155</v>
      </c>
      <c r="AH110" s="117"/>
      <c r="AI110" s="98"/>
    </row>
    <row r="111" spans="2:35" s="95" customFormat="1" ht="59.25" customHeight="1" x14ac:dyDescent="0.25">
      <c r="B111" s="22">
        <v>103</v>
      </c>
      <c r="C111" s="51">
        <v>300153</v>
      </c>
      <c r="D111" s="75" t="s">
        <v>428</v>
      </c>
      <c r="E111" s="46" t="s">
        <v>429</v>
      </c>
      <c r="F111" s="57" t="s">
        <v>426</v>
      </c>
      <c r="G111" s="45" t="s">
        <v>430</v>
      </c>
      <c r="H111" s="89">
        <v>8500</v>
      </c>
      <c r="I111" s="58">
        <v>1500</v>
      </c>
      <c r="J111" s="89">
        <v>5600</v>
      </c>
      <c r="K111" s="89">
        <v>1500</v>
      </c>
      <c r="L111" s="89">
        <v>300</v>
      </c>
      <c r="M111" s="96">
        <v>200</v>
      </c>
      <c r="N111" s="96"/>
      <c r="O111" s="96"/>
      <c r="P111" s="96"/>
      <c r="Q111" s="90">
        <f t="shared" si="24"/>
        <v>17600</v>
      </c>
      <c r="R111" s="78">
        <f t="shared" si="21"/>
        <v>850</v>
      </c>
      <c r="S111" s="78"/>
      <c r="T111" s="90">
        <f t="shared" si="22"/>
        <v>85</v>
      </c>
      <c r="U111" s="78"/>
      <c r="V111" s="78"/>
      <c r="W111" s="78"/>
      <c r="X111" s="78"/>
      <c r="Y111" s="78"/>
      <c r="Z111" s="78"/>
      <c r="AA111" s="78"/>
      <c r="AB111" s="78"/>
      <c r="AC111" s="78"/>
      <c r="AD111" s="78">
        <v>10</v>
      </c>
      <c r="AE111" s="38"/>
      <c r="AF111" s="33">
        <f t="shared" si="15"/>
        <v>945</v>
      </c>
      <c r="AG111" s="39">
        <f t="shared" si="16"/>
        <v>16655</v>
      </c>
      <c r="AH111" s="117"/>
      <c r="AI111" s="98"/>
    </row>
    <row r="112" spans="2:35" s="95" customFormat="1" ht="59.25" customHeight="1" x14ac:dyDescent="0.25">
      <c r="B112" s="22">
        <v>104</v>
      </c>
      <c r="C112" s="51">
        <v>300156</v>
      </c>
      <c r="D112" s="75" t="s">
        <v>431</v>
      </c>
      <c r="E112" s="46" t="s">
        <v>432</v>
      </c>
      <c r="F112" s="57" t="s">
        <v>433</v>
      </c>
      <c r="G112" s="45" t="s">
        <v>434</v>
      </c>
      <c r="H112" s="89">
        <v>8500</v>
      </c>
      <c r="I112" s="58">
        <v>1500</v>
      </c>
      <c r="J112" s="89">
        <v>5600</v>
      </c>
      <c r="K112" s="89">
        <v>1500</v>
      </c>
      <c r="L112" s="89">
        <v>300</v>
      </c>
      <c r="M112" s="96">
        <v>200</v>
      </c>
      <c r="N112" s="96"/>
      <c r="O112" s="96"/>
      <c r="P112" s="96"/>
      <c r="Q112" s="90">
        <f t="shared" si="24"/>
        <v>17600</v>
      </c>
      <c r="R112" s="78">
        <f t="shared" si="21"/>
        <v>850</v>
      </c>
      <c r="S112" s="78"/>
      <c r="T112" s="90">
        <f t="shared" si="22"/>
        <v>85</v>
      </c>
      <c r="U112" s="78"/>
      <c r="V112" s="78"/>
      <c r="W112" s="78"/>
      <c r="X112" s="78"/>
      <c r="Y112" s="78"/>
      <c r="Z112" s="78"/>
      <c r="AA112" s="78"/>
      <c r="AB112" s="78"/>
      <c r="AC112" s="78"/>
      <c r="AD112" s="78">
        <v>10</v>
      </c>
      <c r="AE112" s="38"/>
      <c r="AF112" s="33">
        <f t="shared" si="15"/>
        <v>945</v>
      </c>
      <c r="AG112" s="39">
        <f t="shared" si="16"/>
        <v>16655</v>
      </c>
      <c r="AH112" s="117"/>
      <c r="AI112" s="98"/>
    </row>
    <row r="113" spans="2:35" s="95" customFormat="1" ht="59.25" customHeight="1" x14ac:dyDescent="0.25">
      <c r="B113" s="22">
        <v>105</v>
      </c>
      <c r="C113" s="51">
        <v>300160</v>
      </c>
      <c r="D113" s="75" t="s">
        <v>435</v>
      </c>
      <c r="E113" s="46" t="s">
        <v>436</v>
      </c>
      <c r="F113" s="57" t="s">
        <v>437</v>
      </c>
      <c r="G113" s="45" t="s">
        <v>438</v>
      </c>
      <c r="H113" s="89">
        <v>8500</v>
      </c>
      <c r="I113" s="58">
        <v>1500</v>
      </c>
      <c r="J113" s="89">
        <v>5600</v>
      </c>
      <c r="K113" s="89">
        <v>1500</v>
      </c>
      <c r="L113" s="89">
        <v>300</v>
      </c>
      <c r="M113" s="96">
        <v>200</v>
      </c>
      <c r="N113" s="96"/>
      <c r="O113" s="96"/>
      <c r="P113" s="96"/>
      <c r="Q113" s="90">
        <f t="shared" si="24"/>
        <v>17600</v>
      </c>
      <c r="R113" s="78">
        <f t="shared" si="21"/>
        <v>850</v>
      </c>
      <c r="S113" s="78"/>
      <c r="T113" s="90">
        <f t="shared" si="22"/>
        <v>85</v>
      </c>
      <c r="U113" s="78"/>
      <c r="V113" s="78"/>
      <c r="W113" s="78"/>
      <c r="X113" s="78"/>
      <c r="Y113" s="78"/>
      <c r="Z113" s="78"/>
      <c r="AA113" s="78"/>
      <c r="AB113" s="78"/>
      <c r="AC113" s="78"/>
      <c r="AD113" s="78">
        <v>10</v>
      </c>
      <c r="AE113" s="38"/>
      <c r="AF113" s="33">
        <f t="shared" si="15"/>
        <v>945</v>
      </c>
      <c r="AG113" s="39">
        <f t="shared" si="16"/>
        <v>16655</v>
      </c>
      <c r="AH113" s="117"/>
      <c r="AI113" s="98"/>
    </row>
    <row r="114" spans="2:35" s="95" customFormat="1" ht="59.25" customHeight="1" x14ac:dyDescent="0.25">
      <c r="B114" s="22">
        <v>106</v>
      </c>
      <c r="C114" s="51">
        <v>300158</v>
      </c>
      <c r="D114" s="75" t="s">
        <v>439</v>
      </c>
      <c r="E114" s="46" t="s">
        <v>440</v>
      </c>
      <c r="F114" s="57" t="s">
        <v>441</v>
      </c>
      <c r="G114" s="45" t="s">
        <v>442</v>
      </c>
      <c r="H114" s="89">
        <v>8500</v>
      </c>
      <c r="I114" s="58">
        <v>1500</v>
      </c>
      <c r="J114" s="89">
        <v>5600</v>
      </c>
      <c r="K114" s="89">
        <v>1500</v>
      </c>
      <c r="L114" s="89">
        <v>300</v>
      </c>
      <c r="M114" s="96">
        <v>200</v>
      </c>
      <c r="N114" s="96"/>
      <c r="O114" s="96"/>
      <c r="P114" s="96"/>
      <c r="Q114" s="90">
        <f t="shared" si="24"/>
        <v>17600</v>
      </c>
      <c r="R114" s="78">
        <f t="shared" si="21"/>
        <v>850</v>
      </c>
      <c r="S114" s="78"/>
      <c r="T114" s="90">
        <f t="shared" si="22"/>
        <v>85</v>
      </c>
      <c r="U114" s="78"/>
      <c r="V114" s="78"/>
      <c r="W114" s="78"/>
      <c r="X114" s="78"/>
      <c r="Y114" s="78"/>
      <c r="Z114" s="78"/>
      <c r="AA114" s="78"/>
      <c r="AB114" s="78"/>
      <c r="AC114" s="78"/>
      <c r="AD114" s="78">
        <v>10</v>
      </c>
      <c r="AE114" s="38"/>
      <c r="AF114" s="33">
        <f t="shared" si="15"/>
        <v>945</v>
      </c>
      <c r="AG114" s="39">
        <f t="shared" si="16"/>
        <v>16655</v>
      </c>
      <c r="AH114" s="117"/>
      <c r="AI114" s="98"/>
    </row>
    <row r="115" spans="2:35" s="95" customFormat="1" ht="84.75" customHeight="1" x14ac:dyDescent="0.25">
      <c r="B115" s="22">
        <v>107</v>
      </c>
      <c r="C115" s="51"/>
      <c r="D115" s="75" t="s">
        <v>443</v>
      </c>
      <c r="E115" s="75" t="s">
        <v>444</v>
      </c>
      <c r="F115" s="57" t="s">
        <v>445</v>
      </c>
      <c r="G115" s="45" t="s">
        <v>446</v>
      </c>
      <c r="H115" s="89">
        <v>8500</v>
      </c>
      <c r="I115" s="58">
        <v>1500</v>
      </c>
      <c r="J115" s="89">
        <v>5600</v>
      </c>
      <c r="K115" s="89">
        <v>1500</v>
      </c>
      <c r="L115" s="89">
        <v>300</v>
      </c>
      <c r="M115" s="96">
        <v>200</v>
      </c>
      <c r="N115" s="96"/>
      <c r="O115" s="96"/>
      <c r="P115" s="96"/>
      <c r="Q115" s="90">
        <f t="shared" si="24"/>
        <v>17600</v>
      </c>
      <c r="R115" s="78">
        <f t="shared" si="21"/>
        <v>850</v>
      </c>
      <c r="S115" s="78"/>
      <c r="T115" s="90">
        <f t="shared" si="22"/>
        <v>85</v>
      </c>
      <c r="U115" s="78"/>
      <c r="V115" s="78"/>
      <c r="W115" s="78"/>
      <c r="X115" s="78"/>
      <c r="Y115" s="78"/>
      <c r="Z115" s="78"/>
      <c r="AA115" s="78"/>
      <c r="AB115" s="78"/>
      <c r="AC115" s="78"/>
      <c r="AD115" s="78">
        <v>10</v>
      </c>
      <c r="AE115" s="38"/>
      <c r="AF115" s="33">
        <f t="shared" si="15"/>
        <v>945</v>
      </c>
      <c r="AG115" s="39">
        <f t="shared" si="16"/>
        <v>16655</v>
      </c>
      <c r="AH115" s="117"/>
      <c r="AI115" s="98"/>
    </row>
    <row r="116" spans="2:35" s="95" customFormat="1" ht="60" customHeight="1" x14ac:dyDescent="0.25">
      <c r="B116" s="22">
        <v>108</v>
      </c>
      <c r="C116" s="51">
        <v>300077</v>
      </c>
      <c r="D116" s="75" t="s">
        <v>447</v>
      </c>
      <c r="E116" s="46" t="s">
        <v>448</v>
      </c>
      <c r="F116" s="57" t="s">
        <v>387</v>
      </c>
      <c r="G116" s="46" t="s">
        <v>449</v>
      </c>
      <c r="H116" s="89">
        <v>13510</v>
      </c>
      <c r="I116" s="58">
        <f t="shared" si="20"/>
        <v>2027</v>
      </c>
      <c r="J116" s="89">
        <f t="shared" si="23"/>
        <v>8106</v>
      </c>
      <c r="K116" s="89">
        <v>1500</v>
      </c>
      <c r="L116" s="89">
        <v>300</v>
      </c>
      <c r="M116" s="96">
        <v>200</v>
      </c>
      <c r="N116" s="96">
        <v>0</v>
      </c>
      <c r="O116" s="96">
        <v>100</v>
      </c>
      <c r="P116" s="96"/>
      <c r="Q116" s="90">
        <f t="shared" si="24"/>
        <v>25743</v>
      </c>
      <c r="R116" s="78">
        <f t="shared" si="21"/>
        <v>1351</v>
      </c>
      <c r="S116" s="78"/>
      <c r="T116" s="90">
        <f t="shared" si="22"/>
        <v>135</v>
      </c>
      <c r="U116" s="78"/>
      <c r="V116" s="78"/>
      <c r="W116" s="78"/>
      <c r="X116" s="78"/>
      <c r="Y116" s="78"/>
      <c r="Z116" s="105"/>
      <c r="AA116" s="78">
        <v>0</v>
      </c>
      <c r="AB116" s="78"/>
      <c r="AC116" s="78">
        <v>20</v>
      </c>
      <c r="AD116" s="78">
        <v>10</v>
      </c>
      <c r="AE116" s="38"/>
      <c r="AF116" s="33">
        <f t="shared" si="15"/>
        <v>1516</v>
      </c>
      <c r="AG116" s="39">
        <f t="shared" si="16"/>
        <v>24227</v>
      </c>
      <c r="AH116" s="117"/>
      <c r="AI116" s="98"/>
    </row>
    <row r="117" spans="2:35" s="95" customFormat="1" ht="79.5" customHeight="1" x14ac:dyDescent="0.25">
      <c r="B117" s="22">
        <v>109</v>
      </c>
      <c r="C117" s="107">
        <v>300141</v>
      </c>
      <c r="D117" s="108" t="s">
        <v>450</v>
      </c>
      <c r="E117" s="75" t="s">
        <v>451</v>
      </c>
      <c r="F117" s="57" t="s">
        <v>401</v>
      </c>
      <c r="G117" s="45" t="s">
        <v>452</v>
      </c>
      <c r="H117" s="114">
        <v>8670</v>
      </c>
      <c r="I117" s="58">
        <v>1500</v>
      </c>
      <c r="J117" s="89">
        <f t="shared" ref="J117:J124" si="25">ROUND((H117*65%),0)</f>
        <v>5636</v>
      </c>
      <c r="K117" s="89">
        <v>1500</v>
      </c>
      <c r="L117" s="89">
        <v>300</v>
      </c>
      <c r="M117" s="96">
        <v>200</v>
      </c>
      <c r="N117" s="115">
        <v>1000</v>
      </c>
      <c r="O117" s="115"/>
      <c r="P117" s="115"/>
      <c r="Q117" s="90">
        <f t="shared" si="24"/>
        <v>18806</v>
      </c>
      <c r="R117" s="78">
        <f t="shared" si="21"/>
        <v>867</v>
      </c>
      <c r="S117" s="111"/>
      <c r="T117" s="90">
        <f t="shared" si="22"/>
        <v>87</v>
      </c>
      <c r="U117" s="78"/>
      <c r="V117" s="111"/>
      <c r="W117" s="111"/>
      <c r="X117" s="111"/>
      <c r="Y117" s="111"/>
      <c r="Z117" s="111"/>
      <c r="AA117" s="111"/>
      <c r="AB117" s="111"/>
      <c r="AC117" s="111">
        <v>20</v>
      </c>
      <c r="AD117" s="78">
        <v>10</v>
      </c>
      <c r="AE117" s="38"/>
      <c r="AF117" s="33">
        <f t="shared" si="15"/>
        <v>984</v>
      </c>
      <c r="AG117" s="39">
        <f t="shared" si="16"/>
        <v>17822</v>
      </c>
      <c r="AH117" s="117"/>
      <c r="AI117" s="98"/>
    </row>
    <row r="118" spans="2:35" s="95" customFormat="1" ht="58.5" customHeight="1" x14ac:dyDescent="0.25">
      <c r="B118" s="22">
        <v>110</v>
      </c>
      <c r="C118" s="107">
        <v>300142</v>
      </c>
      <c r="D118" s="108" t="s">
        <v>453</v>
      </c>
      <c r="E118" s="75" t="s">
        <v>454</v>
      </c>
      <c r="F118" s="57" t="s">
        <v>401</v>
      </c>
      <c r="G118" s="45" t="s">
        <v>455</v>
      </c>
      <c r="H118" s="114">
        <v>8670</v>
      </c>
      <c r="I118" s="58">
        <v>1500</v>
      </c>
      <c r="J118" s="89">
        <f t="shared" si="25"/>
        <v>5636</v>
      </c>
      <c r="K118" s="89">
        <v>1500</v>
      </c>
      <c r="L118" s="89">
        <v>300</v>
      </c>
      <c r="M118" s="96">
        <v>200</v>
      </c>
      <c r="N118" s="115"/>
      <c r="O118" s="115"/>
      <c r="P118" s="115"/>
      <c r="Q118" s="90">
        <f t="shared" si="24"/>
        <v>17806</v>
      </c>
      <c r="R118" s="78">
        <f t="shared" si="21"/>
        <v>867</v>
      </c>
      <c r="S118" s="111"/>
      <c r="T118" s="90">
        <f t="shared" si="22"/>
        <v>87</v>
      </c>
      <c r="U118" s="78"/>
      <c r="V118" s="111"/>
      <c r="W118" s="111"/>
      <c r="X118" s="111"/>
      <c r="Y118" s="111"/>
      <c r="Z118" s="111"/>
      <c r="AA118" s="111"/>
      <c r="AB118" s="111"/>
      <c r="AC118" s="111">
        <v>20</v>
      </c>
      <c r="AD118" s="78">
        <v>10</v>
      </c>
      <c r="AE118" s="38"/>
      <c r="AF118" s="33">
        <f t="shared" si="15"/>
        <v>984</v>
      </c>
      <c r="AG118" s="39">
        <f t="shared" si="16"/>
        <v>16822</v>
      </c>
      <c r="AH118" s="117"/>
      <c r="AI118" s="98"/>
    </row>
    <row r="119" spans="2:35" s="95" customFormat="1" ht="74.25" customHeight="1" x14ac:dyDescent="0.25">
      <c r="B119" s="22">
        <v>111</v>
      </c>
      <c r="C119" s="107">
        <v>300143</v>
      </c>
      <c r="D119" s="108" t="s">
        <v>456</v>
      </c>
      <c r="E119" s="75" t="s">
        <v>457</v>
      </c>
      <c r="F119" s="57" t="s">
        <v>401</v>
      </c>
      <c r="G119" s="45" t="s">
        <v>458</v>
      </c>
      <c r="H119" s="114">
        <v>8670</v>
      </c>
      <c r="I119" s="58">
        <v>1500</v>
      </c>
      <c r="J119" s="89">
        <f t="shared" si="25"/>
        <v>5636</v>
      </c>
      <c r="K119" s="89">
        <v>1500</v>
      </c>
      <c r="L119" s="89">
        <v>300</v>
      </c>
      <c r="M119" s="96">
        <v>200</v>
      </c>
      <c r="N119" s="115"/>
      <c r="O119" s="115"/>
      <c r="P119" s="115"/>
      <c r="Q119" s="90">
        <f t="shared" si="24"/>
        <v>17806</v>
      </c>
      <c r="R119" s="78">
        <f t="shared" si="21"/>
        <v>867</v>
      </c>
      <c r="S119" s="111"/>
      <c r="T119" s="90">
        <f t="shared" si="22"/>
        <v>87</v>
      </c>
      <c r="U119" s="78"/>
      <c r="V119" s="111"/>
      <c r="W119" s="111"/>
      <c r="X119" s="111"/>
      <c r="Y119" s="111"/>
      <c r="Z119" s="111"/>
      <c r="AA119" s="111"/>
      <c r="AB119" s="111"/>
      <c r="AC119" s="111">
        <v>20</v>
      </c>
      <c r="AD119" s="78">
        <v>10</v>
      </c>
      <c r="AE119" s="38"/>
      <c r="AF119" s="33">
        <f t="shared" si="15"/>
        <v>984</v>
      </c>
      <c r="AG119" s="39">
        <f t="shared" si="16"/>
        <v>16822</v>
      </c>
      <c r="AH119" s="117"/>
      <c r="AI119" s="98"/>
    </row>
    <row r="120" spans="2:35" s="95" customFormat="1" ht="57" customHeight="1" x14ac:dyDescent="0.25">
      <c r="B120" s="22">
        <v>112</v>
      </c>
      <c r="C120" s="107">
        <v>300144</v>
      </c>
      <c r="D120" s="108" t="s">
        <v>459</v>
      </c>
      <c r="E120" s="75" t="s">
        <v>460</v>
      </c>
      <c r="F120" s="57" t="s">
        <v>401</v>
      </c>
      <c r="G120" s="45" t="s">
        <v>461</v>
      </c>
      <c r="H120" s="114">
        <v>8670</v>
      </c>
      <c r="I120" s="58">
        <v>1500</v>
      </c>
      <c r="J120" s="89">
        <f t="shared" si="25"/>
        <v>5636</v>
      </c>
      <c r="K120" s="89">
        <v>1500</v>
      </c>
      <c r="L120" s="89">
        <v>300</v>
      </c>
      <c r="M120" s="96">
        <v>200</v>
      </c>
      <c r="N120" s="115">
        <v>1000</v>
      </c>
      <c r="O120" s="115"/>
      <c r="P120" s="115"/>
      <c r="Q120" s="90">
        <f t="shared" si="24"/>
        <v>18806</v>
      </c>
      <c r="R120" s="78">
        <f t="shared" si="21"/>
        <v>867</v>
      </c>
      <c r="S120" s="111"/>
      <c r="T120" s="90">
        <f t="shared" si="22"/>
        <v>87</v>
      </c>
      <c r="U120" s="78"/>
      <c r="V120" s="111"/>
      <c r="W120" s="111"/>
      <c r="X120" s="111"/>
      <c r="Y120" s="111"/>
      <c r="Z120" s="111"/>
      <c r="AA120" s="111"/>
      <c r="AB120" s="111"/>
      <c r="AC120" s="111">
        <v>20</v>
      </c>
      <c r="AD120" s="78">
        <v>10</v>
      </c>
      <c r="AE120" s="38"/>
      <c r="AF120" s="33">
        <f t="shared" si="15"/>
        <v>984</v>
      </c>
      <c r="AG120" s="39">
        <f t="shared" si="16"/>
        <v>17822</v>
      </c>
      <c r="AH120" s="117"/>
      <c r="AI120" s="98"/>
    </row>
    <row r="121" spans="2:35" s="95" customFormat="1" ht="87" customHeight="1" x14ac:dyDescent="0.25">
      <c r="B121" s="22">
        <v>113</v>
      </c>
      <c r="C121" s="107"/>
      <c r="D121" s="108" t="s">
        <v>462</v>
      </c>
      <c r="E121" s="75" t="s">
        <v>463</v>
      </c>
      <c r="F121" s="57" t="s">
        <v>401</v>
      </c>
      <c r="G121" s="45" t="s">
        <v>464</v>
      </c>
      <c r="H121" s="114">
        <v>8250</v>
      </c>
      <c r="I121" s="58">
        <v>1500</v>
      </c>
      <c r="J121" s="89">
        <v>5600</v>
      </c>
      <c r="K121" s="89">
        <v>1500</v>
      </c>
      <c r="L121" s="89">
        <v>300</v>
      </c>
      <c r="M121" s="96">
        <v>200</v>
      </c>
      <c r="N121" s="115"/>
      <c r="O121" s="115"/>
      <c r="P121" s="115"/>
      <c r="Q121" s="90">
        <f t="shared" si="24"/>
        <v>17350</v>
      </c>
      <c r="R121" s="78">
        <f t="shared" si="21"/>
        <v>825</v>
      </c>
      <c r="S121" s="111"/>
      <c r="T121" s="90">
        <f t="shared" si="22"/>
        <v>83</v>
      </c>
      <c r="U121" s="78"/>
      <c r="V121" s="111"/>
      <c r="W121" s="111"/>
      <c r="X121" s="111"/>
      <c r="Y121" s="111"/>
      <c r="Z121" s="111"/>
      <c r="AA121" s="111"/>
      <c r="AB121" s="111"/>
      <c r="AC121" s="111"/>
      <c r="AD121" s="78">
        <v>10</v>
      </c>
      <c r="AE121" s="38"/>
      <c r="AF121" s="33">
        <f t="shared" si="15"/>
        <v>918</v>
      </c>
      <c r="AG121" s="39">
        <f t="shared" si="16"/>
        <v>16432</v>
      </c>
      <c r="AH121" s="117"/>
      <c r="AI121" s="98"/>
    </row>
    <row r="122" spans="2:35" s="95" customFormat="1" ht="81.75" customHeight="1" x14ac:dyDescent="0.25">
      <c r="B122" s="22">
        <v>114</v>
      </c>
      <c r="C122" s="107"/>
      <c r="D122" s="108" t="s">
        <v>465</v>
      </c>
      <c r="E122" s="75" t="s">
        <v>466</v>
      </c>
      <c r="F122" s="57" t="s">
        <v>401</v>
      </c>
      <c r="G122" s="45" t="s">
        <v>467</v>
      </c>
      <c r="H122" s="114">
        <v>8250</v>
      </c>
      <c r="I122" s="58">
        <v>1500</v>
      </c>
      <c r="J122" s="89">
        <v>5600</v>
      </c>
      <c r="K122" s="89">
        <v>1500</v>
      </c>
      <c r="L122" s="89">
        <v>300</v>
      </c>
      <c r="M122" s="96">
        <v>200</v>
      </c>
      <c r="N122" s="115"/>
      <c r="O122" s="115"/>
      <c r="P122" s="115"/>
      <c r="Q122" s="90">
        <f t="shared" si="24"/>
        <v>17350</v>
      </c>
      <c r="R122" s="78">
        <f t="shared" si="21"/>
        <v>825</v>
      </c>
      <c r="S122" s="111"/>
      <c r="T122" s="90">
        <f t="shared" si="22"/>
        <v>83</v>
      </c>
      <c r="U122" s="78"/>
      <c r="V122" s="111"/>
      <c r="W122" s="111"/>
      <c r="X122" s="111"/>
      <c r="Y122" s="111"/>
      <c r="Z122" s="111"/>
      <c r="AA122" s="111"/>
      <c r="AB122" s="111"/>
      <c r="AC122" s="111"/>
      <c r="AD122" s="78">
        <v>10</v>
      </c>
      <c r="AE122" s="38"/>
      <c r="AF122" s="33">
        <f t="shared" si="15"/>
        <v>918</v>
      </c>
      <c r="AG122" s="39">
        <f t="shared" si="16"/>
        <v>16432</v>
      </c>
      <c r="AH122" s="117"/>
      <c r="AI122" s="98"/>
    </row>
    <row r="123" spans="2:35" s="95" customFormat="1" ht="81" customHeight="1" x14ac:dyDescent="0.25">
      <c r="B123" s="22">
        <v>115</v>
      </c>
      <c r="C123" s="107">
        <v>300147</v>
      </c>
      <c r="D123" s="108" t="s">
        <v>468</v>
      </c>
      <c r="E123" s="75" t="s">
        <v>469</v>
      </c>
      <c r="F123" s="57" t="s">
        <v>409</v>
      </c>
      <c r="G123" s="45" t="s">
        <v>470</v>
      </c>
      <c r="H123" s="114">
        <v>8670</v>
      </c>
      <c r="I123" s="58">
        <v>1500</v>
      </c>
      <c r="J123" s="89">
        <f t="shared" si="25"/>
        <v>5636</v>
      </c>
      <c r="K123" s="89">
        <v>1500</v>
      </c>
      <c r="L123" s="89">
        <v>300</v>
      </c>
      <c r="M123" s="96">
        <v>200</v>
      </c>
      <c r="N123" s="115"/>
      <c r="O123" s="115"/>
      <c r="P123" s="115"/>
      <c r="Q123" s="90">
        <f t="shared" si="24"/>
        <v>17806</v>
      </c>
      <c r="R123" s="78">
        <f t="shared" si="21"/>
        <v>867</v>
      </c>
      <c r="S123" s="111"/>
      <c r="T123" s="90">
        <f t="shared" si="22"/>
        <v>87</v>
      </c>
      <c r="U123" s="78"/>
      <c r="V123" s="111"/>
      <c r="W123" s="111"/>
      <c r="X123" s="111"/>
      <c r="Y123" s="111"/>
      <c r="Z123" s="111"/>
      <c r="AA123" s="111"/>
      <c r="AB123" s="111"/>
      <c r="AC123" s="111">
        <v>20</v>
      </c>
      <c r="AD123" s="78">
        <v>10</v>
      </c>
      <c r="AE123" s="38"/>
      <c r="AF123" s="33">
        <f t="shared" si="15"/>
        <v>984</v>
      </c>
      <c r="AG123" s="39">
        <f t="shared" si="16"/>
        <v>16822</v>
      </c>
      <c r="AH123" s="117"/>
      <c r="AI123" s="98"/>
    </row>
    <row r="124" spans="2:35" s="95" customFormat="1" ht="78" customHeight="1" x14ac:dyDescent="0.25">
      <c r="B124" s="22">
        <v>116</v>
      </c>
      <c r="C124" s="107">
        <v>300148</v>
      </c>
      <c r="D124" s="108" t="s">
        <v>471</v>
      </c>
      <c r="E124" s="75" t="s">
        <v>472</v>
      </c>
      <c r="F124" s="57" t="s">
        <v>409</v>
      </c>
      <c r="G124" s="45" t="s">
        <v>473</v>
      </c>
      <c r="H124" s="114">
        <v>8670</v>
      </c>
      <c r="I124" s="58">
        <v>1500</v>
      </c>
      <c r="J124" s="89">
        <f t="shared" si="25"/>
        <v>5636</v>
      </c>
      <c r="K124" s="89">
        <v>1500</v>
      </c>
      <c r="L124" s="89">
        <v>300</v>
      </c>
      <c r="M124" s="96">
        <v>200</v>
      </c>
      <c r="N124" s="115">
        <v>500</v>
      </c>
      <c r="O124" s="115"/>
      <c r="P124" s="115"/>
      <c r="Q124" s="90">
        <f t="shared" si="24"/>
        <v>18306</v>
      </c>
      <c r="R124" s="78">
        <f t="shared" si="21"/>
        <v>867</v>
      </c>
      <c r="S124" s="111"/>
      <c r="T124" s="90">
        <f t="shared" si="22"/>
        <v>87</v>
      </c>
      <c r="U124" s="78"/>
      <c r="V124" s="111"/>
      <c r="W124" s="111"/>
      <c r="X124" s="111"/>
      <c r="Y124" s="111"/>
      <c r="Z124" s="111"/>
      <c r="AA124" s="111"/>
      <c r="AB124" s="111"/>
      <c r="AC124" s="111">
        <v>20</v>
      </c>
      <c r="AD124" s="78">
        <v>10</v>
      </c>
      <c r="AE124" s="38"/>
      <c r="AF124" s="33">
        <f t="shared" si="15"/>
        <v>984</v>
      </c>
      <c r="AG124" s="39">
        <f t="shared" si="16"/>
        <v>17322</v>
      </c>
      <c r="AH124" s="117"/>
      <c r="AI124" s="98"/>
    </row>
    <row r="125" spans="2:35" s="95" customFormat="1" ht="78" customHeight="1" x14ac:dyDescent="0.25">
      <c r="B125" s="22">
        <v>117</v>
      </c>
      <c r="C125" s="107">
        <v>300151</v>
      </c>
      <c r="D125" s="108" t="s">
        <v>474</v>
      </c>
      <c r="E125" s="75" t="s">
        <v>475</v>
      </c>
      <c r="F125" s="57" t="s">
        <v>409</v>
      </c>
      <c r="G125" s="45" t="s">
        <v>476</v>
      </c>
      <c r="H125" s="114">
        <v>8250</v>
      </c>
      <c r="I125" s="58">
        <v>1500</v>
      </c>
      <c r="J125" s="89">
        <v>5600</v>
      </c>
      <c r="K125" s="89">
        <v>1500</v>
      </c>
      <c r="L125" s="89">
        <v>300</v>
      </c>
      <c r="M125" s="96">
        <v>200</v>
      </c>
      <c r="N125" s="115"/>
      <c r="O125" s="115"/>
      <c r="P125" s="115"/>
      <c r="Q125" s="90">
        <f t="shared" si="24"/>
        <v>17350</v>
      </c>
      <c r="R125" s="78">
        <f t="shared" si="21"/>
        <v>825</v>
      </c>
      <c r="S125" s="111"/>
      <c r="T125" s="90">
        <f t="shared" si="22"/>
        <v>83</v>
      </c>
      <c r="U125" s="78"/>
      <c r="V125" s="111"/>
      <c r="W125" s="111"/>
      <c r="X125" s="111"/>
      <c r="Y125" s="111"/>
      <c r="Z125" s="111"/>
      <c r="AA125" s="111"/>
      <c r="AB125" s="111"/>
      <c r="AC125" s="111"/>
      <c r="AD125" s="78">
        <v>10</v>
      </c>
      <c r="AE125" s="38"/>
      <c r="AF125" s="33">
        <f t="shared" si="15"/>
        <v>918</v>
      </c>
      <c r="AG125" s="39">
        <f t="shared" si="16"/>
        <v>16432</v>
      </c>
      <c r="AH125" s="117"/>
      <c r="AI125" s="98"/>
    </row>
    <row r="126" spans="2:35" s="95" customFormat="1" ht="81" customHeight="1" x14ac:dyDescent="0.25">
      <c r="B126" s="22">
        <v>118</v>
      </c>
      <c r="C126" s="107">
        <v>300149</v>
      </c>
      <c r="D126" s="108" t="s">
        <v>477</v>
      </c>
      <c r="E126" s="75" t="s">
        <v>478</v>
      </c>
      <c r="F126" s="57" t="s">
        <v>409</v>
      </c>
      <c r="G126" s="45" t="s">
        <v>479</v>
      </c>
      <c r="H126" s="114">
        <v>8250</v>
      </c>
      <c r="I126" s="58">
        <v>1500</v>
      </c>
      <c r="J126" s="89">
        <v>5600</v>
      </c>
      <c r="K126" s="89">
        <v>1500</v>
      </c>
      <c r="L126" s="89">
        <v>300</v>
      </c>
      <c r="M126" s="96">
        <v>200</v>
      </c>
      <c r="N126" s="115"/>
      <c r="O126" s="115"/>
      <c r="P126" s="115"/>
      <c r="Q126" s="90">
        <f t="shared" si="24"/>
        <v>17350</v>
      </c>
      <c r="R126" s="78">
        <f t="shared" si="21"/>
        <v>825</v>
      </c>
      <c r="S126" s="111"/>
      <c r="T126" s="90">
        <f t="shared" si="22"/>
        <v>83</v>
      </c>
      <c r="U126" s="78"/>
      <c r="V126" s="111"/>
      <c r="W126" s="111"/>
      <c r="X126" s="111"/>
      <c r="Y126" s="111"/>
      <c r="Z126" s="111"/>
      <c r="AA126" s="111"/>
      <c r="AB126" s="111"/>
      <c r="AC126" s="111"/>
      <c r="AD126" s="78">
        <v>10</v>
      </c>
      <c r="AE126" s="38"/>
      <c r="AF126" s="33">
        <f t="shared" si="15"/>
        <v>918</v>
      </c>
      <c r="AG126" s="39">
        <f t="shared" si="16"/>
        <v>16432</v>
      </c>
      <c r="AH126" s="117"/>
      <c r="AI126" s="98"/>
    </row>
    <row r="127" spans="2:35" s="95" customFormat="1" ht="80.25" customHeight="1" x14ac:dyDescent="0.25">
      <c r="B127" s="22">
        <v>119</v>
      </c>
      <c r="C127" s="107">
        <v>300150</v>
      </c>
      <c r="D127" s="108" t="s">
        <v>480</v>
      </c>
      <c r="E127" s="75" t="s">
        <v>481</v>
      </c>
      <c r="G127" s="45" t="s">
        <v>482</v>
      </c>
      <c r="H127" s="114">
        <v>8250</v>
      </c>
      <c r="I127" s="58">
        <v>1500</v>
      </c>
      <c r="J127" s="89">
        <v>5600</v>
      </c>
      <c r="K127" s="89">
        <v>1500</v>
      </c>
      <c r="L127" s="89">
        <v>300</v>
      </c>
      <c r="M127" s="96">
        <v>200</v>
      </c>
      <c r="N127" s="115"/>
      <c r="O127" s="115"/>
      <c r="P127" s="115"/>
      <c r="Q127" s="90">
        <f t="shared" si="24"/>
        <v>17350</v>
      </c>
      <c r="R127" s="78">
        <f t="shared" si="21"/>
        <v>825</v>
      </c>
      <c r="S127" s="111"/>
      <c r="T127" s="90">
        <f t="shared" si="22"/>
        <v>83</v>
      </c>
      <c r="U127" s="78"/>
      <c r="V127" s="111"/>
      <c r="W127" s="111"/>
      <c r="X127" s="111"/>
      <c r="Y127" s="111"/>
      <c r="Z127" s="111"/>
      <c r="AA127" s="111"/>
      <c r="AB127" s="111"/>
      <c r="AC127" s="111"/>
      <c r="AD127" s="78">
        <v>10</v>
      </c>
      <c r="AE127" s="38"/>
      <c r="AF127" s="33">
        <f t="shared" si="15"/>
        <v>918</v>
      </c>
      <c r="AG127" s="39">
        <f t="shared" si="16"/>
        <v>16432</v>
      </c>
      <c r="AH127" s="117"/>
      <c r="AI127" s="98"/>
    </row>
    <row r="128" spans="2:35" s="95" customFormat="1" ht="80.25" customHeight="1" x14ac:dyDescent="0.25">
      <c r="B128" s="22">
        <v>120</v>
      </c>
      <c r="C128" s="107"/>
      <c r="D128" s="108" t="s">
        <v>483</v>
      </c>
      <c r="E128" s="75" t="s">
        <v>484</v>
      </c>
      <c r="F128" s="57" t="s">
        <v>409</v>
      </c>
      <c r="G128" s="45" t="s">
        <v>485</v>
      </c>
      <c r="H128" s="114">
        <v>8250</v>
      </c>
      <c r="I128" s="58">
        <v>1500</v>
      </c>
      <c r="J128" s="89">
        <v>5600</v>
      </c>
      <c r="K128" s="89">
        <v>1500</v>
      </c>
      <c r="L128" s="89">
        <v>300</v>
      </c>
      <c r="M128" s="96">
        <v>200</v>
      </c>
      <c r="N128" s="115">
        <v>1000</v>
      </c>
      <c r="O128" s="115"/>
      <c r="P128" s="115"/>
      <c r="Q128" s="90">
        <f>SUM(H128:O128)</f>
        <v>18350</v>
      </c>
      <c r="R128" s="78">
        <f t="shared" si="21"/>
        <v>825</v>
      </c>
      <c r="S128" s="111"/>
      <c r="T128" s="90">
        <f t="shared" si="22"/>
        <v>83</v>
      </c>
      <c r="U128" s="78"/>
      <c r="V128" s="111"/>
      <c r="W128" s="111"/>
      <c r="X128" s="111"/>
      <c r="Y128" s="111"/>
      <c r="Z128" s="111"/>
      <c r="AA128" s="111"/>
      <c r="AB128" s="111"/>
      <c r="AC128" s="111"/>
      <c r="AD128" s="78">
        <v>10</v>
      </c>
      <c r="AE128" s="38"/>
      <c r="AF128" s="33">
        <f t="shared" si="15"/>
        <v>918</v>
      </c>
      <c r="AG128" s="39">
        <f t="shared" si="16"/>
        <v>17432</v>
      </c>
      <c r="AH128" s="117"/>
      <c r="AI128" s="98"/>
    </row>
    <row r="129" spans="2:35" ht="18.75" customHeight="1" x14ac:dyDescent="0.25">
      <c r="B129" s="22"/>
      <c r="C129" s="133"/>
      <c r="D129" s="134"/>
      <c r="E129" s="135"/>
      <c r="F129" s="135"/>
      <c r="G129" s="135"/>
      <c r="H129" s="136"/>
      <c r="I129" s="136"/>
      <c r="J129" s="63">
        <f>ROUND((H129*60%),0)</f>
        <v>0</v>
      </c>
      <c r="K129" s="63"/>
      <c r="L129" s="63"/>
      <c r="M129" s="96"/>
      <c r="N129" s="136"/>
      <c r="O129" s="136"/>
      <c r="P129" s="136"/>
      <c r="Q129" s="33">
        <f t="shared" si="24"/>
        <v>0</v>
      </c>
      <c r="R129" s="34">
        <f t="shared" si="21"/>
        <v>0</v>
      </c>
      <c r="S129" s="137"/>
      <c r="T129" s="33">
        <f t="shared" si="22"/>
        <v>0</v>
      </c>
      <c r="U129" s="34"/>
      <c r="V129" s="137"/>
      <c r="W129" s="137"/>
      <c r="X129" s="137"/>
      <c r="Y129" s="137"/>
      <c r="Z129" s="137"/>
      <c r="AA129" s="137"/>
      <c r="AB129" s="137"/>
      <c r="AC129" s="137"/>
      <c r="AD129" s="34"/>
      <c r="AE129" s="38"/>
      <c r="AF129" s="33">
        <f t="shared" si="15"/>
        <v>0</v>
      </c>
      <c r="AG129" s="39">
        <f t="shared" si="16"/>
        <v>0</v>
      </c>
      <c r="AH129" s="74"/>
      <c r="AI129" s="66"/>
    </row>
    <row r="130" spans="2:35" ht="26.25" customHeight="1" x14ac:dyDescent="0.25">
      <c r="B130" s="504" t="s">
        <v>27</v>
      </c>
      <c r="C130" s="505"/>
      <c r="D130" s="506"/>
      <c r="E130" s="22"/>
      <c r="F130" s="22"/>
      <c r="G130" s="22"/>
      <c r="H130" s="74">
        <f>SUM(H8:H129)</f>
        <v>1621700</v>
      </c>
      <c r="I130" s="74">
        <f t="shared" ref="I130:AI130" si="26">SUM(I8:I129)</f>
        <v>247567</v>
      </c>
      <c r="J130" s="74">
        <f t="shared" si="26"/>
        <v>686507</v>
      </c>
      <c r="K130" s="74">
        <f t="shared" si="26"/>
        <v>180000</v>
      </c>
      <c r="L130" s="74">
        <f t="shared" si="26"/>
        <v>35700</v>
      </c>
      <c r="M130" s="74">
        <f t="shared" si="26"/>
        <v>23800</v>
      </c>
      <c r="N130" s="74">
        <f t="shared" si="26"/>
        <v>49000</v>
      </c>
      <c r="O130" s="74">
        <f t="shared" si="26"/>
        <v>3500</v>
      </c>
      <c r="P130" s="74">
        <f t="shared" si="26"/>
        <v>4000</v>
      </c>
      <c r="Q130" s="74">
        <f t="shared" si="26"/>
        <v>2851774</v>
      </c>
      <c r="R130" s="74">
        <f t="shared" si="26"/>
        <v>164403</v>
      </c>
      <c r="S130" s="74">
        <f t="shared" si="26"/>
        <v>108235</v>
      </c>
      <c r="T130" s="74">
        <f t="shared" si="26"/>
        <v>16157</v>
      </c>
      <c r="U130" s="74">
        <f t="shared" si="26"/>
        <v>0</v>
      </c>
      <c r="V130" s="74">
        <f t="shared" si="26"/>
        <v>7800</v>
      </c>
      <c r="W130" s="74">
        <f t="shared" si="26"/>
        <v>37260</v>
      </c>
      <c r="X130" s="74">
        <f t="shared" si="26"/>
        <v>970</v>
      </c>
      <c r="Y130" s="74">
        <f t="shared" si="26"/>
        <v>350</v>
      </c>
      <c r="Z130" s="74">
        <f t="shared" si="26"/>
        <v>48666</v>
      </c>
      <c r="AA130" s="74">
        <f t="shared" si="26"/>
        <v>250</v>
      </c>
      <c r="AB130" s="74">
        <f t="shared" si="26"/>
        <v>417</v>
      </c>
      <c r="AC130" s="74">
        <f t="shared" si="26"/>
        <v>2120</v>
      </c>
      <c r="AD130" s="74">
        <f t="shared" si="26"/>
        <v>1200</v>
      </c>
      <c r="AE130" s="74">
        <f t="shared" si="26"/>
        <v>0</v>
      </c>
      <c r="AF130" s="74">
        <f t="shared" si="26"/>
        <v>387828</v>
      </c>
      <c r="AG130" s="74">
        <f t="shared" si="26"/>
        <v>2463946</v>
      </c>
      <c r="AH130" s="74">
        <f t="shared" si="26"/>
        <v>0</v>
      </c>
      <c r="AI130" s="74">
        <f t="shared" si="26"/>
        <v>0</v>
      </c>
    </row>
    <row r="132" spans="2:35" x14ac:dyDescent="0.25">
      <c r="N132" s="19"/>
      <c r="R132" s="139"/>
      <c r="S132" s="15"/>
      <c r="X132" s="19"/>
      <c r="Y132" s="19"/>
      <c r="AE132" s="15"/>
    </row>
    <row r="133" spans="2:35" x14ac:dyDescent="0.25">
      <c r="AE133" s="15"/>
    </row>
    <row r="134" spans="2:35" x14ac:dyDescent="0.25">
      <c r="AE134" s="15"/>
    </row>
    <row r="136" spans="2:35" x14ac:dyDescent="0.25">
      <c r="AC136" s="513"/>
      <c r="AD136" s="513"/>
      <c r="AE136" s="513"/>
      <c r="AF136" s="513"/>
      <c r="AG136" s="513"/>
      <c r="AH136" s="513"/>
    </row>
    <row r="142" spans="2:35" x14ac:dyDescent="0.25">
      <c r="Z142" s="140"/>
    </row>
  </sheetData>
  <mergeCells count="38">
    <mergeCell ref="B1:AI1"/>
    <mergeCell ref="B2:AI2"/>
    <mergeCell ref="B3:AH3"/>
    <mergeCell ref="B4:D4"/>
    <mergeCell ref="AH4:AI4"/>
    <mergeCell ref="AI5:AI7"/>
    <mergeCell ref="H6:H7"/>
    <mergeCell ref="I6:I7"/>
    <mergeCell ref="J6:J7"/>
    <mergeCell ref="K6:K7"/>
    <mergeCell ref="L6:L7"/>
    <mergeCell ref="M6:M7"/>
    <mergeCell ref="N6:N7"/>
    <mergeCell ref="O6:O7"/>
    <mergeCell ref="H5:Q5"/>
    <mergeCell ref="R5:AF5"/>
    <mergeCell ref="AG5:AG7"/>
    <mergeCell ref="U6:U7"/>
    <mergeCell ref="V6:V7"/>
    <mergeCell ref="AC136:AH136"/>
    <mergeCell ref="W6:W7"/>
    <mergeCell ref="X6:X7"/>
    <mergeCell ref="Y6:Y7"/>
    <mergeCell ref="Z6:Z7"/>
    <mergeCell ref="AA6:AA7"/>
    <mergeCell ref="AB6:AB7"/>
    <mergeCell ref="AH5:AH7"/>
    <mergeCell ref="AC6:AC7"/>
    <mergeCell ref="AD6:AD7"/>
    <mergeCell ref="AE6:AE7"/>
    <mergeCell ref="AF6:AF7"/>
    <mergeCell ref="B130:D130"/>
    <mergeCell ref="P6:P7"/>
    <mergeCell ref="Q6:Q7"/>
    <mergeCell ref="R6:S6"/>
    <mergeCell ref="T6:T7"/>
    <mergeCell ref="B5:B7"/>
    <mergeCell ref="D5:D7"/>
  </mergeCells>
  <dataValidations count="1">
    <dataValidation operator="greaterThanOrEqual" allowBlank="1" showInputMessage="1" showErrorMessage="1" sqref="Z131:Z65665 JV131:JV65665 TR131:TR65665 ADN131:ADN65665 ANJ131:ANJ65665 AXF131:AXF65665 BHB131:BHB65665 BQX131:BQX65665 CAT131:CAT65665 CKP131:CKP65665 CUL131:CUL65665 DEH131:DEH65665 DOD131:DOD65665 DXZ131:DXZ65665 EHV131:EHV65665 ERR131:ERR65665 FBN131:FBN65665 FLJ131:FLJ65665 FVF131:FVF65665 GFB131:GFB65665 GOX131:GOX65665 GYT131:GYT65665 HIP131:HIP65665 HSL131:HSL65665 ICH131:ICH65665 IMD131:IMD65665 IVZ131:IVZ65665 JFV131:JFV65665 JPR131:JPR65665 JZN131:JZN65665 KJJ131:KJJ65665 KTF131:KTF65665 LDB131:LDB65665 LMX131:LMX65665 LWT131:LWT65665 MGP131:MGP65665 MQL131:MQL65665 NAH131:NAH65665 NKD131:NKD65665 NTZ131:NTZ65665 ODV131:ODV65665 ONR131:ONR65665 OXN131:OXN65665 PHJ131:PHJ65665 PRF131:PRF65665 QBB131:QBB65665 QKX131:QKX65665 QUT131:QUT65665 REP131:REP65665 ROL131:ROL65665 RYH131:RYH65665 SID131:SID65665 SRZ131:SRZ65665 TBV131:TBV65665 TLR131:TLR65665 TVN131:TVN65665 UFJ131:UFJ65665 UPF131:UPF65665 UZB131:UZB65665 VIX131:VIX65665 VST131:VST65665 WCP131:WCP65665 WML131:WML65665 WWH131:WWH65665 Z65667:Z131201 JV65667:JV131201 TR65667:TR131201 ADN65667:ADN131201 ANJ65667:ANJ131201 AXF65667:AXF131201 BHB65667:BHB131201 BQX65667:BQX131201 CAT65667:CAT131201 CKP65667:CKP131201 CUL65667:CUL131201 DEH65667:DEH131201 DOD65667:DOD131201 DXZ65667:DXZ131201 EHV65667:EHV131201 ERR65667:ERR131201 FBN65667:FBN131201 FLJ65667:FLJ131201 FVF65667:FVF131201 GFB65667:GFB131201 GOX65667:GOX131201 GYT65667:GYT131201 HIP65667:HIP131201 HSL65667:HSL131201 ICH65667:ICH131201 IMD65667:IMD131201 IVZ65667:IVZ131201 JFV65667:JFV131201 JPR65667:JPR131201 JZN65667:JZN131201 KJJ65667:KJJ131201 KTF65667:KTF131201 LDB65667:LDB131201 LMX65667:LMX131201 LWT65667:LWT131201 MGP65667:MGP131201 MQL65667:MQL131201 NAH65667:NAH131201 NKD65667:NKD131201 NTZ65667:NTZ131201 ODV65667:ODV131201 ONR65667:ONR131201 OXN65667:OXN131201 PHJ65667:PHJ131201 PRF65667:PRF131201 QBB65667:QBB131201 QKX65667:QKX131201 QUT65667:QUT131201 REP65667:REP131201 ROL65667:ROL131201 RYH65667:RYH131201 SID65667:SID131201 SRZ65667:SRZ131201 TBV65667:TBV131201 TLR65667:TLR131201 TVN65667:TVN131201 UFJ65667:UFJ131201 UPF65667:UPF131201 UZB65667:UZB131201 VIX65667:VIX131201 VST65667:VST131201 WCP65667:WCP131201 WML65667:WML131201 WWH65667:WWH131201 Z131203:Z196737 JV131203:JV196737 TR131203:TR196737 ADN131203:ADN196737 ANJ131203:ANJ196737 AXF131203:AXF196737 BHB131203:BHB196737 BQX131203:BQX196737 CAT131203:CAT196737 CKP131203:CKP196737 CUL131203:CUL196737 DEH131203:DEH196737 DOD131203:DOD196737 DXZ131203:DXZ196737 EHV131203:EHV196737 ERR131203:ERR196737 FBN131203:FBN196737 FLJ131203:FLJ196737 FVF131203:FVF196737 GFB131203:GFB196737 GOX131203:GOX196737 GYT131203:GYT196737 HIP131203:HIP196737 HSL131203:HSL196737 ICH131203:ICH196737 IMD131203:IMD196737 IVZ131203:IVZ196737 JFV131203:JFV196737 JPR131203:JPR196737 JZN131203:JZN196737 KJJ131203:KJJ196737 KTF131203:KTF196737 LDB131203:LDB196737 LMX131203:LMX196737 LWT131203:LWT196737 MGP131203:MGP196737 MQL131203:MQL196737 NAH131203:NAH196737 NKD131203:NKD196737 NTZ131203:NTZ196737 ODV131203:ODV196737 ONR131203:ONR196737 OXN131203:OXN196737 PHJ131203:PHJ196737 PRF131203:PRF196737 QBB131203:QBB196737 QKX131203:QKX196737 QUT131203:QUT196737 REP131203:REP196737 ROL131203:ROL196737 RYH131203:RYH196737 SID131203:SID196737 SRZ131203:SRZ196737 TBV131203:TBV196737 TLR131203:TLR196737 TVN131203:TVN196737 UFJ131203:UFJ196737 UPF131203:UPF196737 UZB131203:UZB196737 VIX131203:VIX196737 VST131203:VST196737 WCP131203:WCP196737 WML131203:WML196737 WWH131203:WWH196737 Z196739:Z262273 JV196739:JV262273 TR196739:TR262273 ADN196739:ADN262273 ANJ196739:ANJ262273 AXF196739:AXF262273 BHB196739:BHB262273 BQX196739:BQX262273 CAT196739:CAT262273 CKP196739:CKP262273 CUL196739:CUL262273 DEH196739:DEH262273 DOD196739:DOD262273 DXZ196739:DXZ262273 EHV196739:EHV262273 ERR196739:ERR262273 FBN196739:FBN262273 FLJ196739:FLJ262273 FVF196739:FVF262273 GFB196739:GFB262273 GOX196739:GOX262273 GYT196739:GYT262273 HIP196739:HIP262273 HSL196739:HSL262273 ICH196739:ICH262273 IMD196739:IMD262273 IVZ196739:IVZ262273 JFV196739:JFV262273 JPR196739:JPR262273 JZN196739:JZN262273 KJJ196739:KJJ262273 KTF196739:KTF262273 LDB196739:LDB262273 LMX196739:LMX262273 LWT196739:LWT262273 MGP196739:MGP262273 MQL196739:MQL262273 NAH196739:NAH262273 NKD196739:NKD262273 NTZ196739:NTZ262273 ODV196739:ODV262273 ONR196739:ONR262273 OXN196739:OXN262273 PHJ196739:PHJ262273 PRF196739:PRF262273 QBB196739:QBB262273 QKX196739:QKX262273 QUT196739:QUT262273 REP196739:REP262273 ROL196739:ROL262273 RYH196739:RYH262273 SID196739:SID262273 SRZ196739:SRZ262273 TBV196739:TBV262273 TLR196739:TLR262273 TVN196739:TVN262273 UFJ196739:UFJ262273 UPF196739:UPF262273 UZB196739:UZB262273 VIX196739:VIX262273 VST196739:VST262273 WCP196739:WCP262273 WML196739:WML262273 WWH196739:WWH262273 Z262275:Z327809 JV262275:JV327809 TR262275:TR327809 ADN262275:ADN327809 ANJ262275:ANJ327809 AXF262275:AXF327809 BHB262275:BHB327809 BQX262275:BQX327809 CAT262275:CAT327809 CKP262275:CKP327809 CUL262275:CUL327809 DEH262275:DEH327809 DOD262275:DOD327809 DXZ262275:DXZ327809 EHV262275:EHV327809 ERR262275:ERR327809 FBN262275:FBN327809 FLJ262275:FLJ327809 FVF262275:FVF327809 GFB262275:GFB327809 GOX262275:GOX327809 GYT262275:GYT327809 HIP262275:HIP327809 HSL262275:HSL327809 ICH262275:ICH327809 IMD262275:IMD327809 IVZ262275:IVZ327809 JFV262275:JFV327809 JPR262275:JPR327809 JZN262275:JZN327809 KJJ262275:KJJ327809 KTF262275:KTF327809 LDB262275:LDB327809 LMX262275:LMX327809 LWT262275:LWT327809 MGP262275:MGP327809 MQL262275:MQL327809 NAH262275:NAH327809 NKD262275:NKD327809 NTZ262275:NTZ327809 ODV262275:ODV327809 ONR262275:ONR327809 OXN262275:OXN327809 PHJ262275:PHJ327809 PRF262275:PRF327809 QBB262275:QBB327809 QKX262275:QKX327809 QUT262275:QUT327809 REP262275:REP327809 ROL262275:ROL327809 RYH262275:RYH327809 SID262275:SID327809 SRZ262275:SRZ327809 TBV262275:TBV327809 TLR262275:TLR327809 TVN262275:TVN327809 UFJ262275:UFJ327809 UPF262275:UPF327809 UZB262275:UZB327809 VIX262275:VIX327809 VST262275:VST327809 WCP262275:WCP327809 WML262275:WML327809 WWH262275:WWH327809 Z327811:Z393345 JV327811:JV393345 TR327811:TR393345 ADN327811:ADN393345 ANJ327811:ANJ393345 AXF327811:AXF393345 BHB327811:BHB393345 BQX327811:BQX393345 CAT327811:CAT393345 CKP327811:CKP393345 CUL327811:CUL393345 DEH327811:DEH393345 DOD327811:DOD393345 DXZ327811:DXZ393345 EHV327811:EHV393345 ERR327811:ERR393345 FBN327811:FBN393345 FLJ327811:FLJ393345 FVF327811:FVF393345 GFB327811:GFB393345 GOX327811:GOX393345 GYT327811:GYT393345 HIP327811:HIP393345 HSL327811:HSL393345 ICH327811:ICH393345 IMD327811:IMD393345 IVZ327811:IVZ393345 JFV327811:JFV393345 JPR327811:JPR393345 JZN327811:JZN393345 KJJ327811:KJJ393345 KTF327811:KTF393345 LDB327811:LDB393345 LMX327811:LMX393345 LWT327811:LWT393345 MGP327811:MGP393345 MQL327811:MQL393345 NAH327811:NAH393345 NKD327811:NKD393345 NTZ327811:NTZ393345 ODV327811:ODV393345 ONR327811:ONR393345 OXN327811:OXN393345 PHJ327811:PHJ393345 PRF327811:PRF393345 QBB327811:QBB393345 QKX327811:QKX393345 QUT327811:QUT393345 REP327811:REP393345 ROL327811:ROL393345 RYH327811:RYH393345 SID327811:SID393345 SRZ327811:SRZ393345 TBV327811:TBV393345 TLR327811:TLR393345 TVN327811:TVN393345 UFJ327811:UFJ393345 UPF327811:UPF393345 UZB327811:UZB393345 VIX327811:VIX393345 VST327811:VST393345 WCP327811:WCP393345 WML327811:WML393345 WWH327811:WWH393345 Z393347:Z458881 JV393347:JV458881 TR393347:TR458881 ADN393347:ADN458881 ANJ393347:ANJ458881 AXF393347:AXF458881 BHB393347:BHB458881 BQX393347:BQX458881 CAT393347:CAT458881 CKP393347:CKP458881 CUL393347:CUL458881 DEH393347:DEH458881 DOD393347:DOD458881 DXZ393347:DXZ458881 EHV393347:EHV458881 ERR393347:ERR458881 FBN393347:FBN458881 FLJ393347:FLJ458881 FVF393347:FVF458881 GFB393347:GFB458881 GOX393347:GOX458881 GYT393347:GYT458881 HIP393347:HIP458881 HSL393347:HSL458881 ICH393347:ICH458881 IMD393347:IMD458881 IVZ393347:IVZ458881 JFV393347:JFV458881 JPR393347:JPR458881 JZN393347:JZN458881 KJJ393347:KJJ458881 KTF393347:KTF458881 LDB393347:LDB458881 LMX393347:LMX458881 LWT393347:LWT458881 MGP393347:MGP458881 MQL393347:MQL458881 NAH393347:NAH458881 NKD393347:NKD458881 NTZ393347:NTZ458881 ODV393347:ODV458881 ONR393347:ONR458881 OXN393347:OXN458881 PHJ393347:PHJ458881 PRF393347:PRF458881 QBB393347:QBB458881 QKX393347:QKX458881 QUT393347:QUT458881 REP393347:REP458881 ROL393347:ROL458881 RYH393347:RYH458881 SID393347:SID458881 SRZ393347:SRZ458881 TBV393347:TBV458881 TLR393347:TLR458881 TVN393347:TVN458881 UFJ393347:UFJ458881 UPF393347:UPF458881 UZB393347:UZB458881 VIX393347:VIX458881 VST393347:VST458881 WCP393347:WCP458881 WML393347:WML458881 WWH393347:WWH458881 Z458883:Z524417 JV458883:JV524417 TR458883:TR524417 ADN458883:ADN524417 ANJ458883:ANJ524417 AXF458883:AXF524417 BHB458883:BHB524417 BQX458883:BQX524417 CAT458883:CAT524417 CKP458883:CKP524417 CUL458883:CUL524417 DEH458883:DEH524417 DOD458883:DOD524417 DXZ458883:DXZ524417 EHV458883:EHV524417 ERR458883:ERR524417 FBN458883:FBN524417 FLJ458883:FLJ524417 FVF458883:FVF524417 GFB458883:GFB524417 GOX458883:GOX524417 GYT458883:GYT524417 HIP458883:HIP524417 HSL458883:HSL524417 ICH458883:ICH524417 IMD458883:IMD524417 IVZ458883:IVZ524417 JFV458883:JFV524417 JPR458883:JPR524417 JZN458883:JZN524417 KJJ458883:KJJ524417 KTF458883:KTF524417 LDB458883:LDB524417 LMX458883:LMX524417 LWT458883:LWT524417 MGP458883:MGP524417 MQL458883:MQL524417 NAH458883:NAH524417 NKD458883:NKD524417 NTZ458883:NTZ524417 ODV458883:ODV524417 ONR458883:ONR524417 OXN458883:OXN524417 PHJ458883:PHJ524417 PRF458883:PRF524417 QBB458883:QBB524417 QKX458883:QKX524417 QUT458883:QUT524417 REP458883:REP524417 ROL458883:ROL524417 RYH458883:RYH524417 SID458883:SID524417 SRZ458883:SRZ524417 TBV458883:TBV524417 TLR458883:TLR524417 TVN458883:TVN524417 UFJ458883:UFJ524417 UPF458883:UPF524417 UZB458883:UZB524417 VIX458883:VIX524417 VST458883:VST524417 WCP458883:WCP524417 WML458883:WML524417 WWH458883:WWH524417 Z524419:Z589953 JV524419:JV589953 TR524419:TR589953 ADN524419:ADN589953 ANJ524419:ANJ589953 AXF524419:AXF589953 BHB524419:BHB589953 BQX524419:BQX589953 CAT524419:CAT589953 CKP524419:CKP589953 CUL524419:CUL589953 DEH524419:DEH589953 DOD524419:DOD589953 DXZ524419:DXZ589953 EHV524419:EHV589953 ERR524419:ERR589953 FBN524419:FBN589953 FLJ524419:FLJ589953 FVF524419:FVF589953 GFB524419:GFB589953 GOX524419:GOX589953 GYT524419:GYT589953 HIP524419:HIP589953 HSL524419:HSL589953 ICH524419:ICH589953 IMD524419:IMD589953 IVZ524419:IVZ589953 JFV524419:JFV589953 JPR524419:JPR589953 JZN524419:JZN589953 KJJ524419:KJJ589953 KTF524419:KTF589953 LDB524419:LDB589953 LMX524419:LMX589953 LWT524419:LWT589953 MGP524419:MGP589953 MQL524419:MQL589953 NAH524419:NAH589953 NKD524419:NKD589953 NTZ524419:NTZ589953 ODV524419:ODV589953 ONR524419:ONR589953 OXN524419:OXN589953 PHJ524419:PHJ589953 PRF524419:PRF589953 QBB524419:QBB589953 QKX524419:QKX589953 QUT524419:QUT589953 REP524419:REP589953 ROL524419:ROL589953 RYH524419:RYH589953 SID524419:SID589953 SRZ524419:SRZ589953 TBV524419:TBV589953 TLR524419:TLR589953 TVN524419:TVN589953 UFJ524419:UFJ589953 UPF524419:UPF589953 UZB524419:UZB589953 VIX524419:VIX589953 VST524419:VST589953 WCP524419:WCP589953 WML524419:WML589953 WWH524419:WWH589953 Z589955:Z655489 JV589955:JV655489 TR589955:TR655489 ADN589955:ADN655489 ANJ589955:ANJ655489 AXF589955:AXF655489 BHB589955:BHB655489 BQX589955:BQX655489 CAT589955:CAT655489 CKP589955:CKP655489 CUL589955:CUL655489 DEH589955:DEH655489 DOD589955:DOD655489 DXZ589955:DXZ655489 EHV589955:EHV655489 ERR589955:ERR655489 FBN589955:FBN655489 FLJ589955:FLJ655489 FVF589955:FVF655489 GFB589955:GFB655489 GOX589955:GOX655489 GYT589955:GYT655489 HIP589955:HIP655489 HSL589955:HSL655489 ICH589955:ICH655489 IMD589955:IMD655489 IVZ589955:IVZ655489 JFV589955:JFV655489 JPR589955:JPR655489 JZN589955:JZN655489 KJJ589955:KJJ655489 KTF589955:KTF655489 LDB589955:LDB655489 LMX589955:LMX655489 LWT589955:LWT655489 MGP589955:MGP655489 MQL589955:MQL655489 NAH589955:NAH655489 NKD589955:NKD655489 NTZ589955:NTZ655489 ODV589955:ODV655489 ONR589955:ONR655489 OXN589955:OXN655489 PHJ589955:PHJ655489 PRF589955:PRF655489 QBB589955:QBB655489 QKX589955:QKX655489 QUT589955:QUT655489 REP589955:REP655489 ROL589955:ROL655489 RYH589955:RYH655489 SID589955:SID655489 SRZ589955:SRZ655489 TBV589955:TBV655489 TLR589955:TLR655489 TVN589955:TVN655489 UFJ589955:UFJ655489 UPF589955:UPF655489 UZB589955:UZB655489 VIX589955:VIX655489 VST589955:VST655489 WCP589955:WCP655489 WML589955:WML655489 WWH589955:WWH655489 Z655491:Z721025 JV655491:JV721025 TR655491:TR721025 ADN655491:ADN721025 ANJ655491:ANJ721025 AXF655491:AXF721025 BHB655491:BHB721025 BQX655491:BQX721025 CAT655491:CAT721025 CKP655491:CKP721025 CUL655491:CUL721025 DEH655491:DEH721025 DOD655491:DOD721025 DXZ655491:DXZ721025 EHV655491:EHV721025 ERR655491:ERR721025 FBN655491:FBN721025 FLJ655491:FLJ721025 FVF655491:FVF721025 GFB655491:GFB721025 GOX655491:GOX721025 GYT655491:GYT721025 HIP655491:HIP721025 HSL655491:HSL721025 ICH655491:ICH721025 IMD655491:IMD721025 IVZ655491:IVZ721025 JFV655491:JFV721025 JPR655491:JPR721025 JZN655491:JZN721025 KJJ655491:KJJ721025 KTF655491:KTF721025 LDB655491:LDB721025 LMX655491:LMX721025 LWT655491:LWT721025 MGP655491:MGP721025 MQL655491:MQL721025 NAH655491:NAH721025 NKD655491:NKD721025 NTZ655491:NTZ721025 ODV655491:ODV721025 ONR655491:ONR721025 OXN655491:OXN721025 PHJ655491:PHJ721025 PRF655491:PRF721025 QBB655491:QBB721025 QKX655491:QKX721025 QUT655491:QUT721025 REP655491:REP721025 ROL655491:ROL721025 RYH655491:RYH721025 SID655491:SID721025 SRZ655491:SRZ721025 TBV655491:TBV721025 TLR655491:TLR721025 TVN655491:TVN721025 UFJ655491:UFJ721025 UPF655491:UPF721025 UZB655491:UZB721025 VIX655491:VIX721025 VST655491:VST721025 WCP655491:WCP721025 WML655491:WML721025 WWH655491:WWH721025 Z721027:Z786561 JV721027:JV786561 TR721027:TR786561 ADN721027:ADN786561 ANJ721027:ANJ786561 AXF721027:AXF786561 BHB721027:BHB786561 BQX721027:BQX786561 CAT721027:CAT786561 CKP721027:CKP786561 CUL721027:CUL786561 DEH721027:DEH786561 DOD721027:DOD786561 DXZ721027:DXZ786561 EHV721027:EHV786561 ERR721027:ERR786561 FBN721027:FBN786561 FLJ721027:FLJ786561 FVF721027:FVF786561 GFB721027:GFB786561 GOX721027:GOX786561 GYT721027:GYT786561 HIP721027:HIP786561 HSL721027:HSL786561 ICH721027:ICH786561 IMD721027:IMD786561 IVZ721027:IVZ786561 JFV721027:JFV786561 JPR721027:JPR786561 JZN721027:JZN786561 KJJ721027:KJJ786561 KTF721027:KTF786561 LDB721027:LDB786561 LMX721027:LMX786561 LWT721027:LWT786561 MGP721027:MGP786561 MQL721027:MQL786561 NAH721027:NAH786561 NKD721027:NKD786561 NTZ721027:NTZ786561 ODV721027:ODV786561 ONR721027:ONR786561 OXN721027:OXN786561 PHJ721027:PHJ786561 PRF721027:PRF786561 QBB721027:QBB786561 QKX721027:QKX786561 QUT721027:QUT786561 REP721027:REP786561 ROL721027:ROL786561 RYH721027:RYH786561 SID721027:SID786561 SRZ721027:SRZ786561 TBV721027:TBV786561 TLR721027:TLR786561 TVN721027:TVN786561 UFJ721027:UFJ786561 UPF721027:UPF786561 UZB721027:UZB786561 VIX721027:VIX786561 VST721027:VST786561 WCP721027:WCP786561 WML721027:WML786561 WWH721027:WWH786561 Z786563:Z852097 JV786563:JV852097 TR786563:TR852097 ADN786563:ADN852097 ANJ786563:ANJ852097 AXF786563:AXF852097 BHB786563:BHB852097 BQX786563:BQX852097 CAT786563:CAT852097 CKP786563:CKP852097 CUL786563:CUL852097 DEH786563:DEH852097 DOD786563:DOD852097 DXZ786563:DXZ852097 EHV786563:EHV852097 ERR786563:ERR852097 FBN786563:FBN852097 FLJ786563:FLJ852097 FVF786563:FVF852097 GFB786563:GFB852097 GOX786563:GOX852097 GYT786563:GYT852097 HIP786563:HIP852097 HSL786563:HSL852097 ICH786563:ICH852097 IMD786563:IMD852097 IVZ786563:IVZ852097 JFV786563:JFV852097 JPR786563:JPR852097 JZN786563:JZN852097 KJJ786563:KJJ852097 KTF786563:KTF852097 LDB786563:LDB852097 LMX786563:LMX852097 LWT786563:LWT852097 MGP786563:MGP852097 MQL786563:MQL852097 NAH786563:NAH852097 NKD786563:NKD852097 NTZ786563:NTZ852097 ODV786563:ODV852097 ONR786563:ONR852097 OXN786563:OXN852097 PHJ786563:PHJ852097 PRF786563:PRF852097 QBB786563:QBB852097 QKX786563:QKX852097 QUT786563:QUT852097 REP786563:REP852097 ROL786563:ROL852097 RYH786563:RYH852097 SID786563:SID852097 SRZ786563:SRZ852097 TBV786563:TBV852097 TLR786563:TLR852097 TVN786563:TVN852097 UFJ786563:UFJ852097 UPF786563:UPF852097 UZB786563:UZB852097 VIX786563:VIX852097 VST786563:VST852097 WCP786563:WCP852097 WML786563:WML852097 WWH786563:WWH852097 Z852099:Z917633 JV852099:JV917633 TR852099:TR917633 ADN852099:ADN917633 ANJ852099:ANJ917633 AXF852099:AXF917633 BHB852099:BHB917633 BQX852099:BQX917633 CAT852099:CAT917633 CKP852099:CKP917633 CUL852099:CUL917633 DEH852099:DEH917633 DOD852099:DOD917633 DXZ852099:DXZ917633 EHV852099:EHV917633 ERR852099:ERR917633 FBN852099:FBN917633 FLJ852099:FLJ917633 FVF852099:FVF917633 GFB852099:GFB917633 GOX852099:GOX917633 GYT852099:GYT917633 HIP852099:HIP917633 HSL852099:HSL917633 ICH852099:ICH917633 IMD852099:IMD917633 IVZ852099:IVZ917633 JFV852099:JFV917633 JPR852099:JPR917633 JZN852099:JZN917633 KJJ852099:KJJ917633 KTF852099:KTF917633 LDB852099:LDB917633 LMX852099:LMX917633 LWT852099:LWT917633 MGP852099:MGP917633 MQL852099:MQL917633 NAH852099:NAH917633 NKD852099:NKD917633 NTZ852099:NTZ917633 ODV852099:ODV917633 ONR852099:ONR917633 OXN852099:OXN917633 PHJ852099:PHJ917633 PRF852099:PRF917633 QBB852099:QBB917633 QKX852099:QKX917633 QUT852099:QUT917633 REP852099:REP917633 ROL852099:ROL917633 RYH852099:RYH917633 SID852099:SID917633 SRZ852099:SRZ917633 TBV852099:TBV917633 TLR852099:TLR917633 TVN852099:TVN917633 UFJ852099:UFJ917633 UPF852099:UPF917633 UZB852099:UZB917633 VIX852099:VIX917633 VST852099:VST917633 WCP852099:WCP917633 WML852099:WML917633 WWH852099:WWH917633 Z917635:Z983169 JV917635:JV983169 TR917635:TR983169 ADN917635:ADN983169 ANJ917635:ANJ983169 AXF917635:AXF983169 BHB917635:BHB983169 BQX917635:BQX983169 CAT917635:CAT983169 CKP917635:CKP983169 CUL917635:CUL983169 DEH917635:DEH983169 DOD917635:DOD983169 DXZ917635:DXZ983169 EHV917635:EHV983169 ERR917635:ERR983169 FBN917635:FBN983169 FLJ917635:FLJ983169 FVF917635:FVF983169 GFB917635:GFB983169 GOX917635:GOX983169 GYT917635:GYT983169 HIP917635:HIP983169 HSL917635:HSL983169 ICH917635:ICH983169 IMD917635:IMD983169 IVZ917635:IVZ983169 JFV917635:JFV983169 JPR917635:JPR983169 JZN917635:JZN983169 KJJ917635:KJJ983169 KTF917635:KTF983169 LDB917635:LDB983169 LMX917635:LMX983169 LWT917635:LWT983169 MGP917635:MGP983169 MQL917635:MQL983169 NAH917635:NAH983169 NKD917635:NKD983169 NTZ917635:NTZ983169 ODV917635:ODV983169 ONR917635:ONR983169 OXN917635:OXN983169 PHJ917635:PHJ983169 PRF917635:PRF983169 QBB917635:QBB983169 QKX917635:QKX983169 QUT917635:QUT983169 REP917635:REP983169 ROL917635:ROL983169 RYH917635:RYH983169 SID917635:SID983169 SRZ917635:SRZ983169 TBV917635:TBV983169 TLR917635:TLR983169 TVN917635:TVN983169 UFJ917635:UFJ983169 UPF917635:UPF983169 UZB917635:UZB983169 VIX917635:VIX983169 VST917635:VST983169 WCP917635:WCP983169 WML917635:WML983169 WWH917635:WWH983169 Z983171:Z1048576 JV983171:JV1048576 TR983171:TR1048576 ADN983171:ADN1048576 ANJ983171:ANJ1048576 AXF983171:AXF1048576 BHB983171:BHB1048576 BQX983171:BQX1048576 CAT983171:CAT1048576 CKP983171:CKP1048576 CUL983171:CUL1048576 DEH983171:DEH1048576 DOD983171:DOD1048576 DXZ983171:DXZ1048576 EHV983171:EHV1048576 ERR983171:ERR1048576 FBN983171:FBN1048576 FLJ983171:FLJ1048576 FVF983171:FVF1048576 GFB983171:GFB1048576 GOX983171:GOX1048576 GYT983171:GYT1048576 HIP983171:HIP1048576 HSL983171:HSL1048576 ICH983171:ICH1048576 IMD983171:IMD1048576 IVZ983171:IVZ1048576 JFV983171:JFV1048576 JPR983171:JPR1048576 JZN983171:JZN1048576 KJJ983171:KJJ1048576 KTF983171:KTF1048576 LDB983171:LDB1048576 LMX983171:LMX1048576 LWT983171:LWT1048576 MGP983171:MGP1048576 MQL983171:MQL1048576 NAH983171:NAH1048576 NKD983171:NKD1048576 NTZ983171:NTZ1048576 ODV983171:ODV1048576 ONR983171:ONR1048576 OXN983171:OXN1048576 PHJ983171:PHJ1048576 PRF983171:PRF1048576 QBB983171:QBB1048576 QKX983171:QKX1048576 QUT983171:QUT1048576 REP983171:REP1048576 ROL983171:ROL1048576 RYH983171:RYH1048576 SID983171:SID1048576 SRZ983171:SRZ1048576 TBV983171:TBV1048576 TLR983171:TLR1048576 TVN983171:TVN1048576 UFJ983171:UFJ1048576 UPF983171:UPF1048576 UZB983171:UZB1048576 VIX983171:VIX1048576 VST983171:VST1048576 WCP983171:WCP1048576 WML983171:WML1048576 WWH983171:WWH1048576 Z1:Z129 JV1:JV129 TR1:TR129 ADN1:ADN129 ANJ1:ANJ129 AXF1:AXF129 BHB1:BHB129 BQX1:BQX129 CAT1:CAT129 CKP1:CKP129 CUL1:CUL129 DEH1:DEH129 DOD1:DOD129 DXZ1:DXZ129 EHV1:EHV129 ERR1:ERR129 FBN1:FBN129 FLJ1:FLJ129 FVF1:FVF129 GFB1:GFB129 GOX1:GOX129 GYT1:GYT129 HIP1:HIP129 HSL1:HSL129 ICH1:ICH129 IMD1:IMD129 IVZ1:IVZ129 JFV1:JFV129 JPR1:JPR129 JZN1:JZN129 KJJ1:KJJ129 KTF1:KTF129 LDB1:LDB129 LMX1:LMX129 LWT1:LWT129 MGP1:MGP129 MQL1:MQL129 NAH1:NAH129 NKD1:NKD129 NTZ1:NTZ129 ODV1:ODV129 ONR1:ONR129 OXN1:OXN129 PHJ1:PHJ129 PRF1:PRF129 QBB1:QBB129 QKX1:QKX129 QUT1:QUT129 REP1:REP129 ROL1:ROL129 RYH1:RYH129 SID1:SID129 SRZ1:SRZ129 TBV1:TBV129 TLR1:TLR129 TVN1:TVN129 UFJ1:UFJ129 UPF1:UPF129 UZB1:UZB129 VIX1:VIX129 VST1:VST129 WCP1:WCP129 WML1:WML129 WWH1:WWH129"/>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whole" operator="greaterThanOrEqual" allowBlank="1" showInputMessage="1" showErrorMessage="1">
          <x14:formula1>
            <xm:f>1</xm:f>
          </x14:formula1>
          <xm:sqref>K68:N70 JG68:JJ70 TC68:TF70 ACY68:ADB70 AMU68:AMX70 AWQ68:AWT70 BGM68:BGP70 BQI68:BQL70 CAE68:CAH70 CKA68:CKD70 CTW68:CTZ70 DDS68:DDV70 DNO68:DNR70 DXK68:DXN70 EHG68:EHJ70 ERC68:ERF70 FAY68:FBB70 FKU68:FKX70 FUQ68:FUT70 GEM68:GEP70 GOI68:GOL70 GYE68:GYH70 HIA68:HID70 HRW68:HRZ70 IBS68:IBV70 ILO68:ILR70 IVK68:IVN70 JFG68:JFJ70 JPC68:JPF70 JYY68:JZB70 KIU68:KIX70 KSQ68:KST70 LCM68:LCP70 LMI68:LML70 LWE68:LWH70 MGA68:MGD70 MPW68:MPZ70 MZS68:MZV70 NJO68:NJR70 NTK68:NTN70 ODG68:ODJ70 ONC68:ONF70 OWY68:OXB70 PGU68:PGX70 PQQ68:PQT70 QAM68:QAP70 QKI68:QKL70 QUE68:QUH70 REA68:RED70 RNW68:RNZ70 RXS68:RXV70 SHO68:SHR70 SRK68:SRN70 TBG68:TBJ70 TLC68:TLF70 TUY68:TVB70 UEU68:UEX70 UOQ68:UOT70 UYM68:UYP70 VII68:VIL70 VSE68:VSH70 WCA68:WCD70 WLW68:WLZ70 WVS68:WVV70 K65604:N65606 JG65604:JJ65606 TC65604:TF65606 ACY65604:ADB65606 AMU65604:AMX65606 AWQ65604:AWT65606 BGM65604:BGP65606 BQI65604:BQL65606 CAE65604:CAH65606 CKA65604:CKD65606 CTW65604:CTZ65606 DDS65604:DDV65606 DNO65604:DNR65606 DXK65604:DXN65606 EHG65604:EHJ65606 ERC65604:ERF65606 FAY65604:FBB65606 FKU65604:FKX65606 FUQ65604:FUT65606 GEM65604:GEP65606 GOI65604:GOL65606 GYE65604:GYH65606 HIA65604:HID65606 HRW65604:HRZ65606 IBS65604:IBV65606 ILO65604:ILR65606 IVK65604:IVN65606 JFG65604:JFJ65606 JPC65604:JPF65606 JYY65604:JZB65606 KIU65604:KIX65606 KSQ65604:KST65606 LCM65604:LCP65606 LMI65604:LML65606 LWE65604:LWH65606 MGA65604:MGD65606 MPW65604:MPZ65606 MZS65604:MZV65606 NJO65604:NJR65606 NTK65604:NTN65606 ODG65604:ODJ65606 ONC65604:ONF65606 OWY65604:OXB65606 PGU65604:PGX65606 PQQ65604:PQT65606 QAM65604:QAP65606 QKI65604:QKL65606 QUE65604:QUH65606 REA65604:RED65606 RNW65604:RNZ65606 RXS65604:RXV65606 SHO65604:SHR65606 SRK65604:SRN65606 TBG65604:TBJ65606 TLC65604:TLF65606 TUY65604:TVB65606 UEU65604:UEX65606 UOQ65604:UOT65606 UYM65604:UYP65606 VII65604:VIL65606 VSE65604:VSH65606 WCA65604:WCD65606 WLW65604:WLZ65606 WVS65604:WVV65606 K131140:N131142 JG131140:JJ131142 TC131140:TF131142 ACY131140:ADB131142 AMU131140:AMX131142 AWQ131140:AWT131142 BGM131140:BGP131142 BQI131140:BQL131142 CAE131140:CAH131142 CKA131140:CKD131142 CTW131140:CTZ131142 DDS131140:DDV131142 DNO131140:DNR131142 DXK131140:DXN131142 EHG131140:EHJ131142 ERC131140:ERF131142 FAY131140:FBB131142 FKU131140:FKX131142 FUQ131140:FUT131142 GEM131140:GEP131142 GOI131140:GOL131142 GYE131140:GYH131142 HIA131140:HID131142 HRW131140:HRZ131142 IBS131140:IBV131142 ILO131140:ILR131142 IVK131140:IVN131142 JFG131140:JFJ131142 JPC131140:JPF131142 JYY131140:JZB131142 KIU131140:KIX131142 KSQ131140:KST131142 LCM131140:LCP131142 LMI131140:LML131142 LWE131140:LWH131142 MGA131140:MGD131142 MPW131140:MPZ131142 MZS131140:MZV131142 NJO131140:NJR131142 NTK131140:NTN131142 ODG131140:ODJ131142 ONC131140:ONF131142 OWY131140:OXB131142 PGU131140:PGX131142 PQQ131140:PQT131142 QAM131140:QAP131142 QKI131140:QKL131142 QUE131140:QUH131142 REA131140:RED131142 RNW131140:RNZ131142 RXS131140:RXV131142 SHO131140:SHR131142 SRK131140:SRN131142 TBG131140:TBJ131142 TLC131140:TLF131142 TUY131140:TVB131142 UEU131140:UEX131142 UOQ131140:UOT131142 UYM131140:UYP131142 VII131140:VIL131142 VSE131140:VSH131142 WCA131140:WCD131142 WLW131140:WLZ131142 WVS131140:WVV131142 K196676:N196678 JG196676:JJ196678 TC196676:TF196678 ACY196676:ADB196678 AMU196676:AMX196678 AWQ196676:AWT196678 BGM196676:BGP196678 BQI196676:BQL196678 CAE196676:CAH196678 CKA196676:CKD196678 CTW196676:CTZ196678 DDS196676:DDV196678 DNO196676:DNR196678 DXK196676:DXN196678 EHG196676:EHJ196678 ERC196676:ERF196678 FAY196676:FBB196678 FKU196676:FKX196678 FUQ196676:FUT196678 GEM196676:GEP196678 GOI196676:GOL196678 GYE196676:GYH196678 HIA196676:HID196678 HRW196676:HRZ196678 IBS196676:IBV196678 ILO196676:ILR196678 IVK196676:IVN196678 JFG196676:JFJ196678 JPC196676:JPF196678 JYY196676:JZB196678 KIU196676:KIX196678 KSQ196676:KST196678 LCM196676:LCP196678 LMI196676:LML196678 LWE196676:LWH196678 MGA196676:MGD196678 MPW196676:MPZ196678 MZS196676:MZV196678 NJO196676:NJR196678 NTK196676:NTN196678 ODG196676:ODJ196678 ONC196676:ONF196678 OWY196676:OXB196678 PGU196676:PGX196678 PQQ196676:PQT196678 QAM196676:QAP196678 QKI196676:QKL196678 QUE196676:QUH196678 REA196676:RED196678 RNW196676:RNZ196678 RXS196676:RXV196678 SHO196676:SHR196678 SRK196676:SRN196678 TBG196676:TBJ196678 TLC196676:TLF196678 TUY196676:TVB196678 UEU196676:UEX196678 UOQ196676:UOT196678 UYM196676:UYP196678 VII196676:VIL196678 VSE196676:VSH196678 WCA196676:WCD196678 WLW196676:WLZ196678 WVS196676:WVV196678 K262212:N262214 JG262212:JJ262214 TC262212:TF262214 ACY262212:ADB262214 AMU262212:AMX262214 AWQ262212:AWT262214 BGM262212:BGP262214 BQI262212:BQL262214 CAE262212:CAH262214 CKA262212:CKD262214 CTW262212:CTZ262214 DDS262212:DDV262214 DNO262212:DNR262214 DXK262212:DXN262214 EHG262212:EHJ262214 ERC262212:ERF262214 FAY262212:FBB262214 FKU262212:FKX262214 FUQ262212:FUT262214 GEM262212:GEP262214 GOI262212:GOL262214 GYE262212:GYH262214 HIA262212:HID262214 HRW262212:HRZ262214 IBS262212:IBV262214 ILO262212:ILR262214 IVK262212:IVN262214 JFG262212:JFJ262214 JPC262212:JPF262214 JYY262212:JZB262214 KIU262212:KIX262214 KSQ262212:KST262214 LCM262212:LCP262214 LMI262212:LML262214 LWE262212:LWH262214 MGA262212:MGD262214 MPW262212:MPZ262214 MZS262212:MZV262214 NJO262212:NJR262214 NTK262212:NTN262214 ODG262212:ODJ262214 ONC262212:ONF262214 OWY262212:OXB262214 PGU262212:PGX262214 PQQ262212:PQT262214 QAM262212:QAP262214 QKI262212:QKL262214 QUE262212:QUH262214 REA262212:RED262214 RNW262212:RNZ262214 RXS262212:RXV262214 SHO262212:SHR262214 SRK262212:SRN262214 TBG262212:TBJ262214 TLC262212:TLF262214 TUY262212:TVB262214 UEU262212:UEX262214 UOQ262212:UOT262214 UYM262212:UYP262214 VII262212:VIL262214 VSE262212:VSH262214 WCA262212:WCD262214 WLW262212:WLZ262214 WVS262212:WVV262214 K327748:N327750 JG327748:JJ327750 TC327748:TF327750 ACY327748:ADB327750 AMU327748:AMX327750 AWQ327748:AWT327750 BGM327748:BGP327750 BQI327748:BQL327750 CAE327748:CAH327750 CKA327748:CKD327750 CTW327748:CTZ327750 DDS327748:DDV327750 DNO327748:DNR327750 DXK327748:DXN327750 EHG327748:EHJ327750 ERC327748:ERF327750 FAY327748:FBB327750 FKU327748:FKX327750 FUQ327748:FUT327750 GEM327748:GEP327750 GOI327748:GOL327750 GYE327748:GYH327750 HIA327748:HID327750 HRW327748:HRZ327750 IBS327748:IBV327750 ILO327748:ILR327750 IVK327748:IVN327750 JFG327748:JFJ327750 JPC327748:JPF327750 JYY327748:JZB327750 KIU327748:KIX327750 KSQ327748:KST327750 LCM327748:LCP327750 LMI327748:LML327750 LWE327748:LWH327750 MGA327748:MGD327750 MPW327748:MPZ327750 MZS327748:MZV327750 NJO327748:NJR327750 NTK327748:NTN327750 ODG327748:ODJ327750 ONC327748:ONF327750 OWY327748:OXB327750 PGU327748:PGX327750 PQQ327748:PQT327750 QAM327748:QAP327750 QKI327748:QKL327750 QUE327748:QUH327750 REA327748:RED327750 RNW327748:RNZ327750 RXS327748:RXV327750 SHO327748:SHR327750 SRK327748:SRN327750 TBG327748:TBJ327750 TLC327748:TLF327750 TUY327748:TVB327750 UEU327748:UEX327750 UOQ327748:UOT327750 UYM327748:UYP327750 VII327748:VIL327750 VSE327748:VSH327750 WCA327748:WCD327750 WLW327748:WLZ327750 WVS327748:WVV327750 K393284:N393286 JG393284:JJ393286 TC393284:TF393286 ACY393284:ADB393286 AMU393284:AMX393286 AWQ393284:AWT393286 BGM393284:BGP393286 BQI393284:BQL393286 CAE393284:CAH393286 CKA393284:CKD393286 CTW393284:CTZ393286 DDS393284:DDV393286 DNO393284:DNR393286 DXK393284:DXN393286 EHG393284:EHJ393286 ERC393284:ERF393286 FAY393284:FBB393286 FKU393284:FKX393286 FUQ393284:FUT393286 GEM393284:GEP393286 GOI393284:GOL393286 GYE393284:GYH393286 HIA393284:HID393286 HRW393284:HRZ393286 IBS393284:IBV393286 ILO393284:ILR393286 IVK393284:IVN393286 JFG393284:JFJ393286 JPC393284:JPF393286 JYY393284:JZB393286 KIU393284:KIX393286 KSQ393284:KST393286 LCM393284:LCP393286 LMI393284:LML393286 LWE393284:LWH393286 MGA393284:MGD393286 MPW393284:MPZ393286 MZS393284:MZV393286 NJO393284:NJR393286 NTK393284:NTN393286 ODG393284:ODJ393286 ONC393284:ONF393286 OWY393284:OXB393286 PGU393284:PGX393286 PQQ393284:PQT393286 QAM393284:QAP393286 QKI393284:QKL393286 QUE393284:QUH393286 REA393284:RED393286 RNW393284:RNZ393286 RXS393284:RXV393286 SHO393284:SHR393286 SRK393284:SRN393286 TBG393284:TBJ393286 TLC393284:TLF393286 TUY393284:TVB393286 UEU393284:UEX393286 UOQ393284:UOT393286 UYM393284:UYP393286 VII393284:VIL393286 VSE393284:VSH393286 WCA393284:WCD393286 WLW393284:WLZ393286 WVS393284:WVV393286 K458820:N458822 JG458820:JJ458822 TC458820:TF458822 ACY458820:ADB458822 AMU458820:AMX458822 AWQ458820:AWT458822 BGM458820:BGP458822 BQI458820:BQL458822 CAE458820:CAH458822 CKA458820:CKD458822 CTW458820:CTZ458822 DDS458820:DDV458822 DNO458820:DNR458822 DXK458820:DXN458822 EHG458820:EHJ458822 ERC458820:ERF458822 FAY458820:FBB458822 FKU458820:FKX458822 FUQ458820:FUT458822 GEM458820:GEP458822 GOI458820:GOL458822 GYE458820:GYH458822 HIA458820:HID458822 HRW458820:HRZ458822 IBS458820:IBV458822 ILO458820:ILR458822 IVK458820:IVN458822 JFG458820:JFJ458822 JPC458820:JPF458822 JYY458820:JZB458822 KIU458820:KIX458822 KSQ458820:KST458822 LCM458820:LCP458822 LMI458820:LML458822 LWE458820:LWH458822 MGA458820:MGD458822 MPW458820:MPZ458822 MZS458820:MZV458822 NJO458820:NJR458822 NTK458820:NTN458822 ODG458820:ODJ458822 ONC458820:ONF458822 OWY458820:OXB458822 PGU458820:PGX458822 PQQ458820:PQT458822 QAM458820:QAP458822 QKI458820:QKL458822 QUE458820:QUH458822 REA458820:RED458822 RNW458820:RNZ458822 RXS458820:RXV458822 SHO458820:SHR458822 SRK458820:SRN458822 TBG458820:TBJ458822 TLC458820:TLF458822 TUY458820:TVB458822 UEU458820:UEX458822 UOQ458820:UOT458822 UYM458820:UYP458822 VII458820:VIL458822 VSE458820:VSH458822 WCA458820:WCD458822 WLW458820:WLZ458822 WVS458820:WVV458822 K524356:N524358 JG524356:JJ524358 TC524356:TF524358 ACY524356:ADB524358 AMU524356:AMX524358 AWQ524356:AWT524358 BGM524356:BGP524358 BQI524356:BQL524358 CAE524356:CAH524358 CKA524356:CKD524358 CTW524356:CTZ524358 DDS524356:DDV524358 DNO524356:DNR524358 DXK524356:DXN524358 EHG524356:EHJ524358 ERC524356:ERF524358 FAY524356:FBB524358 FKU524356:FKX524358 FUQ524356:FUT524358 GEM524356:GEP524358 GOI524356:GOL524358 GYE524356:GYH524358 HIA524356:HID524358 HRW524356:HRZ524358 IBS524356:IBV524358 ILO524356:ILR524358 IVK524356:IVN524358 JFG524356:JFJ524358 JPC524356:JPF524358 JYY524356:JZB524358 KIU524356:KIX524358 KSQ524356:KST524358 LCM524356:LCP524358 LMI524356:LML524358 LWE524356:LWH524358 MGA524356:MGD524358 MPW524356:MPZ524358 MZS524356:MZV524358 NJO524356:NJR524358 NTK524356:NTN524358 ODG524356:ODJ524358 ONC524356:ONF524358 OWY524356:OXB524358 PGU524356:PGX524358 PQQ524356:PQT524358 QAM524356:QAP524358 QKI524356:QKL524358 QUE524356:QUH524358 REA524356:RED524358 RNW524356:RNZ524358 RXS524356:RXV524358 SHO524356:SHR524358 SRK524356:SRN524358 TBG524356:TBJ524358 TLC524356:TLF524358 TUY524356:TVB524358 UEU524356:UEX524358 UOQ524356:UOT524358 UYM524356:UYP524358 VII524356:VIL524358 VSE524356:VSH524358 WCA524356:WCD524358 WLW524356:WLZ524358 WVS524356:WVV524358 K589892:N589894 JG589892:JJ589894 TC589892:TF589894 ACY589892:ADB589894 AMU589892:AMX589894 AWQ589892:AWT589894 BGM589892:BGP589894 BQI589892:BQL589894 CAE589892:CAH589894 CKA589892:CKD589894 CTW589892:CTZ589894 DDS589892:DDV589894 DNO589892:DNR589894 DXK589892:DXN589894 EHG589892:EHJ589894 ERC589892:ERF589894 FAY589892:FBB589894 FKU589892:FKX589894 FUQ589892:FUT589894 GEM589892:GEP589894 GOI589892:GOL589894 GYE589892:GYH589894 HIA589892:HID589894 HRW589892:HRZ589894 IBS589892:IBV589894 ILO589892:ILR589894 IVK589892:IVN589894 JFG589892:JFJ589894 JPC589892:JPF589894 JYY589892:JZB589894 KIU589892:KIX589894 KSQ589892:KST589894 LCM589892:LCP589894 LMI589892:LML589894 LWE589892:LWH589894 MGA589892:MGD589894 MPW589892:MPZ589894 MZS589892:MZV589894 NJO589892:NJR589894 NTK589892:NTN589894 ODG589892:ODJ589894 ONC589892:ONF589894 OWY589892:OXB589894 PGU589892:PGX589894 PQQ589892:PQT589894 QAM589892:QAP589894 QKI589892:QKL589894 QUE589892:QUH589894 REA589892:RED589894 RNW589892:RNZ589894 RXS589892:RXV589894 SHO589892:SHR589894 SRK589892:SRN589894 TBG589892:TBJ589894 TLC589892:TLF589894 TUY589892:TVB589894 UEU589892:UEX589894 UOQ589892:UOT589894 UYM589892:UYP589894 VII589892:VIL589894 VSE589892:VSH589894 WCA589892:WCD589894 WLW589892:WLZ589894 WVS589892:WVV589894 K655428:N655430 JG655428:JJ655430 TC655428:TF655430 ACY655428:ADB655430 AMU655428:AMX655430 AWQ655428:AWT655430 BGM655428:BGP655430 BQI655428:BQL655430 CAE655428:CAH655430 CKA655428:CKD655430 CTW655428:CTZ655430 DDS655428:DDV655430 DNO655428:DNR655430 DXK655428:DXN655430 EHG655428:EHJ655430 ERC655428:ERF655430 FAY655428:FBB655430 FKU655428:FKX655430 FUQ655428:FUT655430 GEM655428:GEP655430 GOI655428:GOL655430 GYE655428:GYH655430 HIA655428:HID655430 HRW655428:HRZ655430 IBS655428:IBV655430 ILO655428:ILR655430 IVK655428:IVN655430 JFG655428:JFJ655430 JPC655428:JPF655430 JYY655428:JZB655430 KIU655428:KIX655430 KSQ655428:KST655430 LCM655428:LCP655430 LMI655428:LML655430 LWE655428:LWH655430 MGA655428:MGD655430 MPW655428:MPZ655430 MZS655428:MZV655430 NJO655428:NJR655430 NTK655428:NTN655430 ODG655428:ODJ655430 ONC655428:ONF655430 OWY655428:OXB655430 PGU655428:PGX655430 PQQ655428:PQT655430 QAM655428:QAP655430 QKI655428:QKL655430 QUE655428:QUH655430 REA655428:RED655430 RNW655428:RNZ655430 RXS655428:RXV655430 SHO655428:SHR655430 SRK655428:SRN655430 TBG655428:TBJ655430 TLC655428:TLF655430 TUY655428:TVB655430 UEU655428:UEX655430 UOQ655428:UOT655430 UYM655428:UYP655430 VII655428:VIL655430 VSE655428:VSH655430 WCA655428:WCD655430 WLW655428:WLZ655430 WVS655428:WVV655430 K720964:N720966 JG720964:JJ720966 TC720964:TF720966 ACY720964:ADB720966 AMU720964:AMX720966 AWQ720964:AWT720966 BGM720964:BGP720966 BQI720964:BQL720966 CAE720964:CAH720966 CKA720964:CKD720966 CTW720964:CTZ720966 DDS720964:DDV720966 DNO720964:DNR720966 DXK720964:DXN720966 EHG720964:EHJ720966 ERC720964:ERF720966 FAY720964:FBB720966 FKU720964:FKX720966 FUQ720964:FUT720966 GEM720964:GEP720966 GOI720964:GOL720966 GYE720964:GYH720966 HIA720964:HID720966 HRW720964:HRZ720966 IBS720964:IBV720966 ILO720964:ILR720966 IVK720964:IVN720966 JFG720964:JFJ720966 JPC720964:JPF720966 JYY720964:JZB720966 KIU720964:KIX720966 KSQ720964:KST720966 LCM720964:LCP720966 LMI720964:LML720966 LWE720964:LWH720966 MGA720964:MGD720966 MPW720964:MPZ720966 MZS720964:MZV720966 NJO720964:NJR720966 NTK720964:NTN720966 ODG720964:ODJ720966 ONC720964:ONF720966 OWY720964:OXB720966 PGU720964:PGX720966 PQQ720964:PQT720966 QAM720964:QAP720966 QKI720964:QKL720966 QUE720964:QUH720966 REA720964:RED720966 RNW720964:RNZ720966 RXS720964:RXV720966 SHO720964:SHR720966 SRK720964:SRN720966 TBG720964:TBJ720966 TLC720964:TLF720966 TUY720964:TVB720966 UEU720964:UEX720966 UOQ720964:UOT720966 UYM720964:UYP720966 VII720964:VIL720966 VSE720964:VSH720966 WCA720964:WCD720966 WLW720964:WLZ720966 WVS720964:WVV720966 K786500:N786502 JG786500:JJ786502 TC786500:TF786502 ACY786500:ADB786502 AMU786500:AMX786502 AWQ786500:AWT786502 BGM786500:BGP786502 BQI786500:BQL786502 CAE786500:CAH786502 CKA786500:CKD786502 CTW786500:CTZ786502 DDS786500:DDV786502 DNO786500:DNR786502 DXK786500:DXN786502 EHG786500:EHJ786502 ERC786500:ERF786502 FAY786500:FBB786502 FKU786500:FKX786502 FUQ786500:FUT786502 GEM786500:GEP786502 GOI786500:GOL786502 GYE786500:GYH786502 HIA786500:HID786502 HRW786500:HRZ786502 IBS786500:IBV786502 ILO786500:ILR786502 IVK786500:IVN786502 JFG786500:JFJ786502 JPC786500:JPF786502 JYY786500:JZB786502 KIU786500:KIX786502 KSQ786500:KST786502 LCM786500:LCP786502 LMI786500:LML786502 LWE786500:LWH786502 MGA786500:MGD786502 MPW786500:MPZ786502 MZS786500:MZV786502 NJO786500:NJR786502 NTK786500:NTN786502 ODG786500:ODJ786502 ONC786500:ONF786502 OWY786500:OXB786502 PGU786500:PGX786502 PQQ786500:PQT786502 QAM786500:QAP786502 QKI786500:QKL786502 QUE786500:QUH786502 REA786500:RED786502 RNW786500:RNZ786502 RXS786500:RXV786502 SHO786500:SHR786502 SRK786500:SRN786502 TBG786500:TBJ786502 TLC786500:TLF786502 TUY786500:TVB786502 UEU786500:UEX786502 UOQ786500:UOT786502 UYM786500:UYP786502 VII786500:VIL786502 VSE786500:VSH786502 WCA786500:WCD786502 WLW786500:WLZ786502 WVS786500:WVV786502 K852036:N852038 JG852036:JJ852038 TC852036:TF852038 ACY852036:ADB852038 AMU852036:AMX852038 AWQ852036:AWT852038 BGM852036:BGP852038 BQI852036:BQL852038 CAE852036:CAH852038 CKA852036:CKD852038 CTW852036:CTZ852038 DDS852036:DDV852038 DNO852036:DNR852038 DXK852036:DXN852038 EHG852036:EHJ852038 ERC852036:ERF852038 FAY852036:FBB852038 FKU852036:FKX852038 FUQ852036:FUT852038 GEM852036:GEP852038 GOI852036:GOL852038 GYE852036:GYH852038 HIA852036:HID852038 HRW852036:HRZ852038 IBS852036:IBV852038 ILO852036:ILR852038 IVK852036:IVN852038 JFG852036:JFJ852038 JPC852036:JPF852038 JYY852036:JZB852038 KIU852036:KIX852038 KSQ852036:KST852038 LCM852036:LCP852038 LMI852036:LML852038 LWE852036:LWH852038 MGA852036:MGD852038 MPW852036:MPZ852038 MZS852036:MZV852038 NJO852036:NJR852038 NTK852036:NTN852038 ODG852036:ODJ852038 ONC852036:ONF852038 OWY852036:OXB852038 PGU852036:PGX852038 PQQ852036:PQT852038 QAM852036:QAP852038 QKI852036:QKL852038 QUE852036:QUH852038 REA852036:RED852038 RNW852036:RNZ852038 RXS852036:RXV852038 SHO852036:SHR852038 SRK852036:SRN852038 TBG852036:TBJ852038 TLC852036:TLF852038 TUY852036:TVB852038 UEU852036:UEX852038 UOQ852036:UOT852038 UYM852036:UYP852038 VII852036:VIL852038 VSE852036:VSH852038 WCA852036:WCD852038 WLW852036:WLZ852038 WVS852036:WVV852038 K917572:N917574 JG917572:JJ917574 TC917572:TF917574 ACY917572:ADB917574 AMU917572:AMX917574 AWQ917572:AWT917574 BGM917572:BGP917574 BQI917572:BQL917574 CAE917572:CAH917574 CKA917572:CKD917574 CTW917572:CTZ917574 DDS917572:DDV917574 DNO917572:DNR917574 DXK917572:DXN917574 EHG917572:EHJ917574 ERC917572:ERF917574 FAY917572:FBB917574 FKU917572:FKX917574 FUQ917572:FUT917574 GEM917572:GEP917574 GOI917572:GOL917574 GYE917572:GYH917574 HIA917572:HID917574 HRW917572:HRZ917574 IBS917572:IBV917574 ILO917572:ILR917574 IVK917572:IVN917574 JFG917572:JFJ917574 JPC917572:JPF917574 JYY917572:JZB917574 KIU917572:KIX917574 KSQ917572:KST917574 LCM917572:LCP917574 LMI917572:LML917574 LWE917572:LWH917574 MGA917572:MGD917574 MPW917572:MPZ917574 MZS917572:MZV917574 NJO917572:NJR917574 NTK917572:NTN917574 ODG917572:ODJ917574 ONC917572:ONF917574 OWY917572:OXB917574 PGU917572:PGX917574 PQQ917572:PQT917574 QAM917572:QAP917574 QKI917572:QKL917574 QUE917572:QUH917574 REA917572:RED917574 RNW917572:RNZ917574 RXS917572:RXV917574 SHO917572:SHR917574 SRK917572:SRN917574 TBG917572:TBJ917574 TLC917572:TLF917574 TUY917572:TVB917574 UEU917572:UEX917574 UOQ917572:UOT917574 UYM917572:UYP917574 VII917572:VIL917574 VSE917572:VSH917574 WCA917572:WCD917574 WLW917572:WLZ917574 WVS917572:WVV917574 K983108:N983110 JG983108:JJ983110 TC983108:TF983110 ACY983108:ADB983110 AMU983108:AMX983110 AWQ983108:AWT983110 BGM983108:BGP983110 BQI983108:BQL983110 CAE983108:CAH983110 CKA983108:CKD983110 CTW983108:CTZ983110 DDS983108:DDV983110 DNO983108:DNR983110 DXK983108:DXN983110 EHG983108:EHJ983110 ERC983108:ERF983110 FAY983108:FBB983110 FKU983108:FKX983110 FUQ983108:FUT983110 GEM983108:GEP983110 GOI983108:GOL983110 GYE983108:GYH983110 HIA983108:HID983110 HRW983108:HRZ983110 IBS983108:IBV983110 ILO983108:ILR983110 IVK983108:IVN983110 JFG983108:JFJ983110 JPC983108:JPF983110 JYY983108:JZB983110 KIU983108:KIX983110 KSQ983108:KST983110 LCM983108:LCP983110 LMI983108:LML983110 LWE983108:LWH983110 MGA983108:MGD983110 MPW983108:MPZ983110 MZS983108:MZV983110 NJO983108:NJR983110 NTK983108:NTN983110 ODG983108:ODJ983110 ONC983108:ONF983110 OWY983108:OXB983110 PGU983108:PGX983110 PQQ983108:PQT983110 QAM983108:QAP983110 QKI983108:QKL983110 QUE983108:QUH983110 REA983108:RED983110 RNW983108:RNZ983110 RXS983108:RXV983110 SHO983108:SHR983110 SRK983108:SRN983110 TBG983108:TBJ983110 TLC983108:TLF983110 TUY983108:TVB983110 UEU983108:UEX983110 UOQ983108:UOT983110 UYM983108:UYP983110 VII983108:VIL983110 VSE983108:VSH983110 WCA983108:WCD983110 WLW983108:WLZ983110 WVS983108:WVV983110 P68:P70 JL68:JL70 TH68:TH70 ADD68:ADD70 AMZ68:AMZ70 AWV68:AWV70 BGR68:BGR70 BQN68:BQN70 CAJ68:CAJ70 CKF68:CKF70 CUB68:CUB70 DDX68:DDX70 DNT68:DNT70 DXP68:DXP70 EHL68:EHL70 ERH68:ERH70 FBD68:FBD70 FKZ68:FKZ70 FUV68:FUV70 GER68:GER70 GON68:GON70 GYJ68:GYJ70 HIF68:HIF70 HSB68:HSB70 IBX68:IBX70 ILT68:ILT70 IVP68:IVP70 JFL68:JFL70 JPH68:JPH70 JZD68:JZD70 KIZ68:KIZ70 KSV68:KSV70 LCR68:LCR70 LMN68:LMN70 LWJ68:LWJ70 MGF68:MGF70 MQB68:MQB70 MZX68:MZX70 NJT68:NJT70 NTP68:NTP70 ODL68:ODL70 ONH68:ONH70 OXD68:OXD70 PGZ68:PGZ70 PQV68:PQV70 QAR68:QAR70 QKN68:QKN70 QUJ68:QUJ70 REF68:REF70 ROB68:ROB70 RXX68:RXX70 SHT68:SHT70 SRP68:SRP70 TBL68:TBL70 TLH68:TLH70 TVD68:TVD70 UEZ68:UEZ70 UOV68:UOV70 UYR68:UYR70 VIN68:VIN70 VSJ68:VSJ70 WCF68:WCF70 WMB68:WMB70 WVX68:WVX70 P65604:P65606 JL65604:JL65606 TH65604:TH65606 ADD65604:ADD65606 AMZ65604:AMZ65606 AWV65604:AWV65606 BGR65604:BGR65606 BQN65604:BQN65606 CAJ65604:CAJ65606 CKF65604:CKF65606 CUB65604:CUB65606 DDX65604:DDX65606 DNT65604:DNT65606 DXP65604:DXP65606 EHL65604:EHL65606 ERH65604:ERH65606 FBD65604:FBD65606 FKZ65604:FKZ65606 FUV65604:FUV65606 GER65604:GER65606 GON65604:GON65606 GYJ65604:GYJ65606 HIF65604:HIF65606 HSB65604:HSB65606 IBX65604:IBX65606 ILT65604:ILT65606 IVP65604:IVP65606 JFL65604:JFL65606 JPH65604:JPH65606 JZD65604:JZD65606 KIZ65604:KIZ65606 KSV65604:KSV65606 LCR65604:LCR65606 LMN65604:LMN65606 LWJ65604:LWJ65606 MGF65604:MGF65606 MQB65604:MQB65606 MZX65604:MZX65606 NJT65604:NJT65606 NTP65604:NTP65606 ODL65604:ODL65606 ONH65604:ONH65606 OXD65604:OXD65606 PGZ65604:PGZ65606 PQV65604:PQV65606 QAR65604:QAR65606 QKN65604:QKN65606 QUJ65604:QUJ65606 REF65604:REF65606 ROB65604:ROB65606 RXX65604:RXX65606 SHT65604:SHT65606 SRP65604:SRP65606 TBL65604:TBL65606 TLH65604:TLH65606 TVD65604:TVD65606 UEZ65604:UEZ65606 UOV65604:UOV65606 UYR65604:UYR65606 VIN65604:VIN65606 VSJ65604:VSJ65606 WCF65604:WCF65606 WMB65604:WMB65606 WVX65604:WVX65606 P131140:P131142 JL131140:JL131142 TH131140:TH131142 ADD131140:ADD131142 AMZ131140:AMZ131142 AWV131140:AWV131142 BGR131140:BGR131142 BQN131140:BQN131142 CAJ131140:CAJ131142 CKF131140:CKF131142 CUB131140:CUB131142 DDX131140:DDX131142 DNT131140:DNT131142 DXP131140:DXP131142 EHL131140:EHL131142 ERH131140:ERH131142 FBD131140:FBD131142 FKZ131140:FKZ131142 FUV131140:FUV131142 GER131140:GER131142 GON131140:GON131142 GYJ131140:GYJ131142 HIF131140:HIF131142 HSB131140:HSB131142 IBX131140:IBX131142 ILT131140:ILT131142 IVP131140:IVP131142 JFL131140:JFL131142 JPH131140:JPH131142 JZD131140:JZD131142 KIZ131140:KIZ131142 KSV131140:KSV131142 LCR131140:LCR131142 LMN131140:LMN131142 LWJ131140:LWJ131142 MGF131140:MGF131142 MQB131140:MQB131142 MZX131140:MZX131142 NJT131140:NJT131142 NTP131140:NTP131142 ODL131140:ODL131142 ONH131140:ONH131142 OXD131140:OXD131142 PGZ131140:PGZ131142 PQV131140:PQV131142 QAR131140:QAR131142 QKN131140:QKN131142 QUJ131140:QUJ131142 REF131140:REF131142 ROB131140:ROB131142 RXX131140:RXX131142 SHT131140:SHT131142 SRP131140:SRP131142 TBL131140:TBL131142 TLH131140:TLH131142 TVD131140:TVD131142 UEZ131140:UEZ131142 UOV131140:UOV131142 UYR131140:UYR131142 VIN131140:VIN131142 VSJ131140:VSJ131142 WCF131140:WCF131142 WMB131140:WMB131142 WVX131140:WVX131142 P196676:P196678 JL196676:JL196678 TH196676:TH196678 ADD196676:ADD196678 AMZ196676:AMZ196678 AWV196676:AWV196678 BGR196676:BGR196678 BQN196676:BQN196678 CAJ196676:CAJ196678 CKF196676:CKF196678 CUB196676:CUB196678 DDX196676:DDX196678 DNT196676:DNT196678 DXP196676:DXP196678 EHL196676:EHL196678 ERH196676:ERH196678 FBD196676:FBD196678 FKZ196676:FKZ196678 FUV196676:FUV196678 GER196676:GER196678 GON196676:GON196678 GYJ196676:GYJ196678 HIF196676:HIF196678 HSB196676:HSB196678 IBX196676:IBX196678 ILT196676:ILT196678 IVP196676:IVP196678 JFL196676:JFL196678 JPH196676:JPH196678 JZD196676:JZD196678 KIZ196676:KIZ196678 KSV196676:KSV196678 LCR196676:LCR196678 LMN196676:LMN196678 LWJ196676:LWJ196678 MGF196676:MGF196678 MQB196676:MQB196678 MZX196676:MZX196678 NJT196676:NJT196678 NTP196676:NTP196678 ODL196676:ODL196678 ONH196676:ONH196678 OXD196676:OXD196678 PGZ196676:PGZ196678 PQV196676:PQV196678 QAR196676:QAR196678 QKN196676:QKN196678 QUJ196676:QUJ196678 REF196676:REF196678 ROB196676:ROB196678 RXX196676:RXX196678 SHT196676:SHT196678 SRP196676:SRP196678 TBL196676:TBL196678 TLH196676:TLH196678 TVD196676:TVD196678 UEZ196676:UEZ196678 UOV196676:UOV196678 UYR196676:UYR196678 VIN196676:VIN196678 VSJ196676:VSJ196678 WCF196676:WCF196678 WMB196676:WMB196678 WVX196676:WVX196678 P262212:P262214 JL262212:JL262214 TH262212:TH262214 ADD262212:ADD262214 AMZ262212:AMZ262214 AWV262212:AWV262214 BGR262212:BGR262214 BQN262212:BQN262214 CAJ262212:CAJ262214 CKF262212:CKF262214 CUB262212:CUB262214 DDX262212:DDX262214 DNT262212:DNT262214 DXP262212:DXP262214 EHL262212:EHL262214 ERH262212:ERH262214 FBD262212:FBD262214 FKZ262212:FKZ262214 FUV262212:FUV262214 GER262212:GER262214 GON262212:GON262214 GYJ262212:GYJ262214 HIF262212:HIF262214 HSB262212:HSB262214 IBX262212:IBX262214 ILT262212:ILT262214 IVP262212:IVP262214 JFL262212:JFL262214 JPH262212:JPH262214 JZD262212:JZD262214 KIZ262212:KIZ262214 KSV262212:KSV262214 LCR262212:LCR262214 LMN262212:LMN262214 LWJ262212:LWJ262214 MGF262212:MGF262214 MQB262212:MQB262214 MZX262212:MZX262214 NJT262212:NJT262214 NTP262212:NTP262214 ODL262212:ODL262214 ONH262212:ONH262214 OXD262212:OXD262214 PGZ262212:PGZ262214 PQV262212:PQV262214 QAR262212:QAR262214 QKN262212:QKN262214 QUJ262212:QUJ262214 REF262212:REF262214 ROB262212:ROB262214 RXX262212:RXX262214 SHT262212:SHT262214 SRP262212:SRP262214 TBL262212:TBL262214 TLH262212:TLH262214 TVD262212:TVD262214 UEZ262212:UEZ262214 UOV262212:UOV262214 UYR262212:UYR262214 VIN262212:VIN262214 VSJ262212:VSJ262214 WCF262212:WCF262214 WMB262212:WMB262214 WVX262212:WVX262214 P327748:P327750 JL327748:JL327750 TH327748:TH327750 ADD327748:ADD327750 AMZ327748:AMZ327750 AWV327748:AWV327750 BGR327748:BGR327750 BQN327748:BQN327750 CAJ327748:CAJ327750 CKF327748:CKF327750 CUB327748:CUB327750 DDX327748:DDX327750 DNT327748:DNT327750 DXP327748:DXP327750 EHL327748:EHL327750 ERH327748:ERH327750 FBD327748:FBD327750 FKZ327748:FKZ327750 FUV327748:FUV327750 GER327748:GER327750 GON327748:GON327750 GYJ327748:GYJ327750 HIF327748:HIF327750 HSB327748:HSB327750 IBX327748:IBX327750 ILT327748:ILT327750 IVP327748:IVP327750 JFL327748:JFL327750 JPH327748:JPH327750 JZD327748:JZD327750 KIZ327748:KIZ327750 KSV327748:KSV327750 LCR327748:LCR327750 LMN327748:LMN327750 LWJ327748:LWJ327750 MGF327748:MGF327750 MQB327748:MQB327750 MZX327748:MZX327750 NJT327748:NJT327750 NTP327748:NTP327750 ODL327748:ODL327750 ONH327748:ONH327750 OXD327748:OXD327750 PGZ327748:PGZ327750 PQV327748:PQV327750 QAR327748:QAR327750 QKN327748:QKN327750 QUJ327748:QUJ327750 REF327748:REF327750 ROB327748:ROB327750 RXX327748:RXX327750 SHT327748:SHT327750 SRP327748:SRP327750 TBL327748:TBL327750 TLH327748:TLH327750 TVD327748:TVD327750 UEZ327748:UEZ327750 UOV327748:UOV327750 UYR327748:UYR327750 VIN327748:VIN327750 VSJ327748:VSJ327750 WCF327748:WCF327750 WMB327748:WMB327750 WVX327748:WVX327750 P393284:P393286 JL393284:JL393286 TH393284:TH393286 ADD393284:ADD393286 AMZ393284:AMZ393286 AWV393284:AWV393286 BGR393284:BGR393286 BQN393284:BQN393286 CAJ393284:CAJ393286 CKF393284:CKF393286 CUB393284:CUB393286 DDX393284:DDX393286 DNT393284:DNT393286 DXP393284:DXP393286 EHL393284:EHL393286 ERH393284:ERH393286 FBD393284:FBD393286 FKZ393284:FKZ393286 FUV393284:FUV393286 GER393284:GER393286 GON393284:GON393286 GYJ393284:GYJ393286 HIF393284:HIF393286 HSB393284:HSB393286 IBX393284:IBX393286 ILT393284:ILT393286 IVP393284:IVP393286 JFL393284:JFL393286 JPH393284:JPH393286 JZD393284:JZD393286 KIZ393284:KIZ393286 KSV393284:KSV393286 LCR393284:LCR393286 LMN393284:LMN393286 LWJ393284:LWJ393286 MGF393284:MGF393286 MQB393284:MQB393286 MZX393284:MZX393286 NJT393284:NJT393286 NTP393284:NTP393286 ODL393284:ODL393286 ONH393284:ONH393286 OXD393284:OXD393286 PGZ393284:PGZ393286 PQV393284:PQV393286 QAR393284:QAR393286 QKN393284:QKN393286 QUJ393284:QUJ393286 REF393284:REF393286 ROB393284:ROB393286 RXX393284:RXX393286 SHT393284:SHT393286 SRP393284:SRP393286 TBL393284:TBL393286 TLH393284:TLH393286 TVD393284:TVD393286 UEZ393284:UEZ393286 UOV393284:UOV393286 UYR393284:UYR393286 VIN393284:VIN393286 VSJ393284:VSJ393286 WCF393284:WCF393286 WMB393284:WMB393286 WVX393284:WVX393286 P458820:P458822 JL458820:JL458822 TH458820:TH458822 ADD458820:ADD458822 AMZ458820:AMZ458822 AWV458820:AWV458822 BGR458820:BGR458822 BQN458820:BQN458822 CAJ458820:CAJ458822 CKF458820:CKF458822 CUB458820:CUB458822 DDX458820:DDX458822 DNT458820:DNT458822 DXP458820:DXP458822 EHL458820:EHL458822 ERH458820:ERH458822 FBD458820:FBD458822 FKZ458820:FKZ458822 FUV458820:FUV458822 GER458820:GER458822 GON458820:GON458822 GYJ458820:GYJ458822 HIF458820:HIF458822 HSB458820:HSB458822 IBX458820:IBX458822 ILT458820:ILT458822 IVP458820:IVP458822 JFL458820:JFL458822 JPH458820:JPH458822 JZD458820:JZD458822 KIZ458820:KIZ458822 KSV458820:KSV458822 LCR458820:LCR458822 LMN458820:LMN458822 LWJ458820:LWJ458822 MGF458820:MGF458822 MQB458820:MQB458822 MZX458820:MZX458822 NJT458820:NJT458822 NTP458820:NTP458822 ODL458820:ODL458822 ONH458820:ONH458822 OXD458820:OXD458822 PGZ458820:PGZ458822 PQV458820:PQV458822 QAR458820:QAR458822 QKN458820:QKN458822 QUJ458820:QUJ458822 REF458820:REF458822 ROB458820:ROB458822 RXX458820:RXX458822 SHT458820:SHT458822 SRP458820:SRP458822 TBL458820:TBL458822 TLH458820:TLH458822 TVD458820:TVD458822 UEZ458820:UEZ458822 UOV458820:UOV458822 UYR458820:UYR458822 VIN458820:VIN458822 VSJ458820:VSJ458822 WCF458820:WCF458822 WMB458820:WMB458822 WVX458820:WVX458822 P524356:P524358 JL524356:JL524358 TH524356:TH524358 ADD524356:ADD524358 AMZ524356:AMZ524358 AWV524356:AWV524358 BGR524356:BGR524358 BQN524356:BQN524358 CAJ524356:CAJ524358 CKF524356:CKF524358 CUB524356:CUB524358 DDX524356:DDX524358 DNT524356:DNT524358 DXP524356:DXP524358 EHL524356:EHL524358 ERH524356:ERH524358 FBD524356:FBD524358 FKZ524356:FKZ524358 FUV524356:FUV524358 GER524356:GER524358 GON524356:GON524358 GYJ524356:GYJ524358 HIF524356:HIF524358 HSB524356:HSB524358 IBX524356:IBX524358 ILT524356:ILT524358 IVP524356:IVP524358 JFL524356:JFL524358 JPH524356:JPH524358 JZD524356:JZD524358 KIZ524356:KIZ524358 KSV524356:KSV524358 LCR524356:LCR524358 LMN524356:LMN524358 LWJ524356:LWJ524358 MGF524356:MGF524358 MQB524356:MQB524358 MZX524356:MZX524358 NJT524356:NJT524358 NTP524356:NTP524358 ODL524356:ODL524358 ONH524356:ONH524358 OXD524356:OXD524358 PGZ524356:PGZ524358 PQV524356:PQV524358 QAR524356:QAR524358 QKN524356:QKN524358 QUJ524356:QUJ524358 REF524356:REF524358 ROB524356:ROB524358 RXX524356:RXX524358 SHT524356:SHT524358 SRP524356:SRP524358 TBL524356:TBL524358 TLH524356:TLH524358 TVD524356:TVD524358 UEZ524356:UEZ524358 UOV524356:UOV524358 UYR524356:UYR524358 VIN524356:VIN524358 VSJ524356:VSJ524358 WCF524356:WCF524358 WMB524356:WMB524358 WVX524356:WVX524358 P589892:P589894 JL589892:JL589894 TH589892:TH589894 ADD589892:ADD589894 AMZ589892:AMZ589894 AWV589892:AWV589894 BGR589892:BGR589894 BQN589892:BQN589894 CAJ589892:CAJ589894 CKF589892:CKF589894 CUB589892:CUB589894 DDX589892:DDX589894 DNT589892:DNT589894 DXP589892:DXP589894 EHL589892:EHL589894 ERH589892:ERH589894 FBD589892:FBD589894 FKZ589892:FKZ589894 FUV589892:FUV589894 GER589892:GER589894 GON589892:GON589894 GYJ589892:GYJ589894 HIF589892:HIF589894 HSB589892:HSB589894 IBX589892:IBX589894 ILT589892:ILT589894 IVP589892:IVP589894 JFL589892:JFL589894 JPH589892:JPH589894 JZD589892:JZD589894 KIZ589892:KIZ589894 KSV589892:KSV589894 LCR589892:LCR589894 LMN589892:LMN589894 LWJ589892:LWJ589894 MGF589892:MGF589894 MQB589892:MQB589894 MZX589892:MZX589894 NJT589892:NJT589894 NTP589892:NTP589894 ODL589892:ODL589894 ONH589892:ONH589894 OXD589892:OXD589894 PGZ589892:PGZ589894 PQV589892:PQV589894 QAR589892:QAR589894 QKN589892:QKN589894 QUJ589892:QUJ589894 REF589892:REF589894 ROB589892:ROB589894 RXX589892:RXX589894 SHT589892:SHT589894 SRP589892:SRP589894 TBL589892:TBL589894 TLH589892:TLH589894 TVD589892:TVD589894 UEZ589892:UEZ589894 UOV589892:UOV589894 UYR589892:UYR589894 VIN589892:VIN589894 VSJ589892:VSJ589894 WCF589892:WCF589894 WMB589892:WMB589894 WVX589892:WVX589894 P655428:P655430 JL655428:JL655430 TH655428:TH655430 ADD655428:ADD655430 AMZ655428:AMZ655430 AWV655428:AWV655430 BGR655428:BGR655430 BQN655428:BQN655430 CAJ655428:CAJ655430 CKF655428:CKF655430 CUB655428:CUB655430 DDX655428:DDX655430 DNT655428:DNT655430 DXP655428:DXP655430 EHL655428:EHL655430 ERH655428:ERH655430 FBD655428:FBD655430 FKZ655428:FKZ655430 FUV655428:FUV655430 GER655428:GER655430 GON655428:GON655430 GYJ655428:GYJ655430 HIF655428:HIF655430 HSB655428:HSB655430 IBX655428:IBX655430 ILT655428:ILT655430 IVP655428:IVP655430 JFL655428:JFL655430 JPH655428:JPH655430 JZD655428:JZD655430 KIZ655428:KIZ655430 KSV655428:KSV655430 LCR655428:LCR655430 LMN655428:LMN655430 LWJ655428:LWJ655430 MGF655428:MGF655430 MQB655428:MQB655430 MZX655428:MZX655430 NJT655428:NJT655430 NTP655428:NTP655430 ODL655428:ODL655430 ONH655428:ONH655430 OXD655428:OXD655430 PGZ655428:PGZ655430 PQV655428:PQV655430 QAR655428:QAR655430 QKN655428:QKN655430 QUJ655428:QUJ655430 REF655428:REF655430 ROB655428:ROB655430 RXX655428:RXX655430 SHT655428:SHT655430 SRP655428:SRP655430 TBL655428:TBL655430 TLH655428:TLH655430 TVD655428:TVD655430 UEZ655428:UEZ655430 UOV655428:UOV655430 UYR655428:UYR655430 VIN655428:VIN655430 VSJ655428:VSJ655430 WCF655428:WCF655430 WMB655428:WMB655430 WVX655428:WVX655430 P720964:P720966 JL720964:JL720966 TH720964:TH720966 ADD720964:ADD720966 AMZ720964:AMZ720966 AWV720964:AWV720966 BGR720964:BGR720966 BQN720964:BQN720966 CAJ720964:CAJ720966 CKF720964:CKF720966 CUB720964:CUB720966 DDX720964:DDX720966 DNT720964:DNT720966 DXP720964:DXP720966 EHL720964:EHL720966 ERH720964:ERH720966 FBD720964:FBD720966 FKZ720964:FKZ720966 FUV720964:FUV720966 GER720964:GER720966 GON720964:GON720966 GYJ720964:GYJ720966 HIF720964:HIF720966 HSB720964:HSB720966 IBX720964:IBX720966 ILT720964:ILT720966 IVP720964:IVP720966 JFL720964:JFL720966 JPH720964:JPH720966 JZD720964:JZD720966 KIZ720964:KIZ720966 KSV720964:KSV720966 LCR720964:LCR720966 LMN720964:LMN720966 LWJ720964:LWJ720966 MGF720964:MGF720966 MQB720964:MQB720966 MZX720964:MZX720966 NJT720964:NJT720966 NTP720964:NTP720966 ODL720964:ODL720966 ONH720964:ONH720966 OXD720964:OXD720966 PGZ720964:PGZ720966 PQV720964:PQV720966 QAR720964:QAR720966 QKN720964:QKN720966 QUJ720964:QUJ720966 REF720964:REF720966 ROB720964:ROB720966 RXX720964:RXX720966 SHT720964:SHT720966 SRP720964:SRP720966 TBL720964:TBL720966 TLH720964:TLH720966 TVD720964:TVD720966 UEZ720964:UEZ720966 UOV720964:UOV720966 UYR720964:UYR720966 VIN720964:VIN720966 VSJ720964:VSJ720966 WCF720964:WCF720966 WMB720964:WMB720966 WVX720964:WVX720966 P786500:P786502 JL786500:JL786502 TH786500:TH786502 ADD786500:ADD786502 AMZ786500:AMZ786502 AWV786500:AWV786502 BGR786500:BGR786502 BQN786500:BQN786502 CAJ786500:CAJ786502 CKF786500:CKF786502 CUB786500:CUB786502 DDX786500:DDX786502 DNT786500:DNT786502 DXP786500:DXP786502 EHL786500:EHL786502 ERH786500:ERH786502 FBD786500:FBD786502 FKZ786500:FKZ786502 FUV786500:FUV786502 GER786500:GER786502 GON786500:GON786502 GYJ786500:GYJ786502 HIF786500:HIF786502 HSB786500:HSB786502 IBX786500:IBX786502 ILT786500:ILT786502 IVP786500:IVP786502 JFL786500:JFL786502 JPH786500:JPH786502 JZD786500:JZD786502 KIZ786500:KIZ786502 KSV786500:KSV786502 LCR786500:LCR786502 LMN786500:LMN786502 LWJ786500:LWJ786502 MGF786500:MGF786502 MQB786500:MQB786502 MZX786500:MZX786502 NJT786500:NJT786502 NTP786500:NTP786502 ODL786500:ODL786502 ONH786500:ONH786502 OXD786500:OXD786502 PGZ786500:PGZ786502 PQV786500:PQV786502 QAR786500:QAR786502 QKN786500:QKN786502 QUJ786500:QUJ786502 REF786500:REF786502 ROB786500:ROB786502 RXX786500:RXX786502 SHT786500:SHT786502 SRP786500:SRP786502 TBL786500:TBL786502 TLH786500:TLH786502 TVD786500:TVD786502 UEZ786500:UEZ786502 UOV786500:UOV786502 UYR786500:UYR786502 VIN786500:VIN786502 VSJ786500:VSJ786502 WCF786500:WCF786502 WMB786500:WMB786502 WVX786500:WVX786502 P852036:P852038 JL852036:JL852038 TH852036:TH852038 ADD852036:ADD852038 AMZ852036:AMZ852038 AWV852036:AWV852038 BGR852036:BGR852038 BQN852036:BQN852038 CAJ852036:CAJ852038 CKF852036:CKF852038 CUB852036:CUB852038 DDX852036:DDX852038 DNT852036:DNT852038 DXP852036:DXP852038 EHL852036:EHL852038 ERH852036:ERH852038 FBD852036:FBD852038 FKZ852036:FKZ852038 FUV852036:FUV852038 GER852036:GER852038 GON852036:GON852038 GYJ852036:GYJ852038 HIF852036:HIF852038 HSB852036:HSB852038 IBX852036:IBX852038 ILT852036:ILT852038 IVP852036:IVP852038 JFL852036:JFL852038 JPH852036:JPH852038 JZD852036:JZD852038 KIZ852036:KIZ852038 KSV852036:KSV852038 LCR852036:LCR852038 LMN852036:LMN852038 LWJ852036:LWJ852038 MGF852036:MGF852038 MQB852036:MQB852038 MZX852036:MZX852038 NJT852036:NJT852038 NTP852036:NTP852038 ODL852036:ODL852038 ONH852036:ONH852038 OXD852036:OXD852038 PGZ852036:PGZ852038 PQV852036:PQV852038 QAR852036:QAR852038 QKN852036:QKN852038 QUJ852036:QUJ852038 REF852036:REF852038 ROB852036:ROB852038 RXX852036:RXX852038 SHT852036:SHT852038 SRP852036:SRP852038 TBL852036:TBL852038 TLH852036:TLH852038 TVD852036:TVD852038 UEZ852036:UEZ852038 UOV852036:UOV852038 UYR852036:UYR852038 VIN852036:VIN852038 VSJ852036:VSJ852038 WCF852036:WCF852038 WMB852036:WMB852038 WVX852036:WVX852038 P917572:P917574 JL917572:JL917574 TH917572:TH917574 ADD917572:ADD917574 AMZ917572:AMZ917574 AWV917572:AWV917574 BGR917572:BGR917574 BQN917572:BQN917574 CAJ917572:CAJ917574 CKF917572:CKF917574 CUB917572:CUB917574 DDX917572:DDX917574 DNT917572:DNT917574 DXP917572:DXP917574 EHL917572:EHL917574 ERH917572:ERH917574 FBD917572:FBD917574 FKZ917572:FKZ917574 FUV917572:FUV917574 GER917572:GER917574 GON917572:GON917574 GYJ917572:GYJ917574 HIF917572:HIF917574 HSB917572:HSB917574 IBX917572:IBX917574 ILT917572:ILT917574 IVP917572:IVP917574 JFL917572:JFL917574 JPH917572:JPH917574 JZD917572:JZD917574 KIZ917572:KIZ917574 KSV917572:KSV917574 LCR917572:LCR917574 LMN917572:LMN917574 LWJ917572:LWJ917574 MGF917572:MGF917574 MQB917572:MQB917574 MZX917572:MZX917574 NJT917572:NJT917574 NTP917572:NTP917574 ODL917572:ODL917574 ONH917572:ONH917574 OXD917572:OXD917574 PGZ917572:PGZ917574 PQV917572:PQV917574 QAR917572:QAR917574 QKN917572:QKN917574 QUJ917572:QUJ917574 REF917572:REF917574 ROB917572:ROB917574 RXX917572:RXX917574 SHT917572:SHT917574 SRP917572:SRP917574 TBL917572:TBL917574 TLH917572:TLH917574 TVD917572:TVD917574 UEZ917572:UEZ917574 UOV917572:UOV917574 UYR917572:UYR917574 VIN917572:VIN917574 VSJ917572:VSJ917574 WCF917572:WCF917574 WMB917572:WMB917574 WVX917572:WVX917574 P983108:P983110 JL983108:JL983110 TH983108:TH983110 ADD983108:ADD983110 AMZ983108:AMZ983110 AWV983108:AWV983110 BGR983108:BGR983110 BQN983108:BQN983110 CAJ983108:CAJ983110 CKF983108:CKF983110 CUB983108:CUB983110 DDX983108:DDX983110 DNT983108:DNT983110 DXP983108:DXP983110 EHL983108:EHL983110 ERH983108:ERH983110 FBD983108:FBD983110 FKZ983108:FKZ983110 FUV983108:FUV983110 GER983108:GER983110 GON983108:GON983110 GYJ983108:GYJ983110 HIF983108:HIF983110 HSB983108:HSB983110 IBX983108:IBX983110 ILT983108:ILT983110 IVP983108:IVP983110 JFL983108:JFL983110 JPH983108:JPH983110 JZD983108:JZD983110 KIZ983108:KIZ983110 KSV983108:KSV983110 LCR983108:LCR983110 LMN983108:LMN983110 LWJ983108:LWJ983110 MGF983108:MGF983110 MQB983108:MQB983110 MZX983108:MZX983110 NJT983108:NJT983110 NTP983108:NTP983110 ODL983108:ODL983110 ONH983108:ONH983110 OXD983108:OXD983110 PGZ983108:PGZ983110 PQV983108:PQV983110 QAR983108:QAR983110 QKN983108:QKN983110 QUJ983108:QUJ983110 REF983108:REF983110 ROB983108:ROB983110 RXX983108:RXX983110 SHT983108:SHT983110 SRP983108:SRP983110 TBL983108:TBL983110 TLH983108:TLH983110 TVD983108:TVD983110 UEZ983108:UEZ983110 UOV983108:UOV983110 UYR983108:UYR983110 VIN983108:VIN983110 VSJ983108:VSJ983110 WCF983108:WCF983110 WMB983108:WMB983110 WVX983108:WVX983110 N93:P93 JJ93:JL93 TF93:TH93 ADB93:ADD93 AMX93:AMZ93 AWT93:AWV93 BGP93:BGR93 BQL93:BQN93 CAH93:CAJ93 CKD93:CKF93 CTZ93:CUB93 DDV93:DDX93 DNR93:DNT93 DXN93:DXP93 EHJ93:EHL93 ERF93:ERH93 FBB93:FBD93 FKX93:FKZ93 FUT93:FUV93 GEP93:GER93 GOL93:GON93 GYH93:GYJ93 HID93:HIF93 HRZ93:HSB93 IBV93:IBX93 ILR93:ILT93 IVN93:IVP93 JFJ93:JFL93 JPF93:JPH93 JZB93:JZD93 KIX93:KIZ93 KST93:KSV93 LCP93:LCR93 LML93:LMN93 LWH93:LWJ93 MGD93:MGF93 MPZ93:MQB93 MZV93:MZX93 NJR93:NJT93 NTN93:NTP93 ODJ93:ODL93 ONF93:ONH93 OXB93:OXD93 PGX93:PGZ93 PQT93:PQV93 QAP93:QAR93 QKL93:QKN93 QUH93:QUJ93 RED93:REF93 RNZ93:ROB93 RXV93:RXX93 SHR93:SHT93 SRN93:SRP93 TBJ93:TBL93 TLF93:TLH93 TVB93:TVD93 UEX93:UEZ93 UOT93:UOV93 UYP93:UYR93 VIL93:VIN93 VSH93:VSJ93 WCD93:WCF93 WLZ93:WMB93 WVV93:WVX93 N65629:P65629 JJ65629:JL65629 TF65629:TH65629 ADB65629:ADD65629 AMX65629:AMZ65629 AWT65629:AWV65629 BGP65629:BGR65629 BQL65629:BQN65629 CAH65629:CAJ65629 CKD65629:CKF65629 CTZ65629:CUB65629 DDV65629:DDX65629 DNR65629:DNT65629 DXN65629:DXP65629 EHJ65629:EHL65629 ERF65629:ERH65629 FBB65629:FBD65629 FKX65629:FKZ65629 FUT65629:FUV65629 GEP65629:GER65629 GOL65629:GON65629 GYH65629:GYJ65629 HID65629:HIF65629 HRZ65629:HSB65629 IBV65629:IBX65629 ILR65629:ILT65629 IVN65629:IVP65629 JFJ65629:JFL65629 JPF65629:JPH65629 JZB65629:JZD65629 KIX65629:KIZ65629 KST65629:KSV65629 LCP65629:LCR65629 LML65629:LMN65629 LWH65629:LWJ65629 MGD65629:MGF65629 MPZ65629:MQB65629 MZV65629:MZX65629 NJR65629:NJT65629 NTN65629:NTP65629 ODJ65629:ODL65629 ONF65629:ONH65629 OXB65629:OXD65629 PGX65629:PGZ65629 PQT65629:PQV65629 QAP65629:QAR65629 QKL65629:QKN65629 QUH65629:QUJ65629 RED65629:REF65629 RNZ65629:ROB65629 RXV65629:RXX65629 SHR65629:SHT65629 SRN65629:SRP65629 TBJ65629:TBL65629 TLF65629:TLH65629 TVB65629:TVD65629 UEX65629:UEZ65629 UOT65629:UOV65629 UYP65629:UYR65629 VIL65629:VIN65629 VSH65629:VSJ65629 WCD65629:WCF65629 WLZ65629:WMB65629 WVV65629:WVX65629 N131165:P131165 JJ131165:JL131165 TF131165:TH131165 ADB131165:ADD131165 AMX131165:AMZ131165 AWT131165:AWV131165 BGP131165:BGR131165 BQL131165:BQN131165 CAH131165:CAJ131165 CKD131165:CKF131165 CTZ131165:CUB131165 DDV131165:DDX131165 DNR131165:DNT131165 DXN131165:DXP131165 EHJ131165:EHL131165 ERF131165:ERH131165 FBB131165:FBD131165 FKX131165:FKZ131165 FUT131165:FUV131165 GEP131165:GER131165 GOL131165:GON131165 GYH131165:GYJ131165 HID131165:HIF131165 HRZ131165:HSB131165 IBV131165:IBX131165 ILR131165:ILT131165 IVN131165:IVP131165 JFJ131165:JFL131165 JPF131165:JPH131165 JZB131165:JZD131165 KIX131165:KIZ131165 KST131165:KSV131165 LCP131165:LCR131165 LML131165:LMN131165 LWH131165:LWJ131165 MGD131165:MGF131165 MPZ131165:MQB131165 MZV131165:MZX131165 NJR131165:NJT131165 NTN131165:NTP131165 ODJ131165:ODL131165 ONF131165:ONH131165 OXB131165:OXD131165 PGX131165:PGZ131165 PQT131165:PQV131165 QAP131165:QAR131165 QKL131165:QKN131165 QUH131165:QUJ131165 RED131165:REF131165 RNZ131165:ROB131165 RXV131165:RXX131165 SHR131165:SHT131165 SRN131165:SRP131165 TBJ131165:TBL131165 TLF131165:TLH131165 TVB131165:TVD131165 UEX131165:UEZ131165 UOT131165:UOV131165 UYP131165:UYR131165 VIL131165:VIN131165 VSH131165:VSJ131165 WCD131165:WCF131165 WLZ131165:WMB131165 WVV131165:WVX131165 N196701:P196701 JJ196701:JL196701 TF196701:TH196701 ADB196701:ADD196701 AMX196701:AMZ196701 AWT196701:AWV196701 BGP196701:BGR196701 BQL196701:BQN196701 CAH196701:CAJ196701 CKD196701:CKF196701 CTZ196701:CUB196701 DDV196701:DDX196701 DNR196701:DNT196701 DXN196701:DXP196701 EHJ196701:EHL196701 ERF196701:ERH196701 FBB196701:FBD196701 FKX196701:FKZ196701 FUT196701:FUV196701 GEP196701:GER196701 GOL196701:GON196701 GYH196701:GYJ196701 HID196701:HIF196701 HRZ196701:HSB196701 IBV196701:IBX196701 ILR196701:ILT196701 IVN196701:IVP196701 JFJ196701:JFL196701 JPF196701:JPH196701 JZB196701:JZD196701 KIX196701:KIZ196701 KST196701:KSV196701 LCP196701:LCR196701 LML196701:LMN196701 LWH196701:LWJ196701 MGD196701:MGF196701 MPZ196701:MQB196701 MZV196701:MZX196701 NJR196701:NJT196701 NTN196701:NTP196701 ODJ196701:ODL196701 ONF196701:ONH196701 OXB196701:OXD196701 PGX196701:PGZ196701 PQT196701:PQV196701 QAP196701:QAR196701 QKL196701:QKN196701 QUH196701:QUJ196701 RED196701:REF196701 RNZ196701:ROB196701 RXV196701:RXX196701 SHR196701:SHT196701 SRN196701:SRP196701 TBJ196701:TBL196701 TLF196701:TLH196701 TVB196701:TVD196701 UEX196701:UEZ196701 UOT196701:UOV196701 UYP196701:UYR196701 VIL196701:VIN196701 VSH196701:VSJ196701 WCD196701:WCF196701 WLZ196701:WMB196701 WVV196701:WVX196701 N262237:P262237 JJ262237:JL262237 TF262237:TH262237 ADB262237:ADD262237 AMX262237:AMZ262237 AWT262237:AWV262237 BGP262237:BGR262237 BQL262237:BQN262237 CAH262237:CAJ262237 CKD262237:CKF262237 CTZ262237:CUB262237 DDV262237:DDX262237 DNR262237:DNT262237 DXN262237:DXP262237 EHJ262237:EHL262237 ERF262237:ERH262237 FBB262237:FBD262237 FKX262237:FKZ262237 FUT262237:FUV262237 GEP262237:GER262237 GOL262237:GON262237 GYH262237:GYJ262237 HID262237:HIF262237 HRZ262237:HSB262237 IBV262237:IBX262237 ILR262237:ILT262237 IVN262237:IVP262237 JFJ262237:JFL262237 JPF262237:JPH262237 JZB262237:JZD262237 KIX262237:KIZ262237 KST262237:KSV262237 LCP262237:LCR262237 LML262237:LMN262237 LWH262237:LWJ262237 MGD262237:MGF262237 MPZ262237:MQB262237 MZV262237:MZX262237 NJR262237:NJT262237 NTN262237:NTP262237 ODJ262237:ODL262237 ONF262237:ONH262237 OXB262237:OXD262237 PGX262237:PGZ262237 PQT262237:PQV262237 QAP262237:QAR262237 QKL262237:QKN262237 QUH262237:QUJ262237 RED262237:REF262237 RNZ262237:ROB262237 RXV262237:RXX262237 SHR262237:SHT262237 SRN262237:SRP262237 TBJ262237:TBL262237 TLF262237:TLH262237 TVB262237:TVD262237 UEX262237:UEZ262237 UOT262237:UOV262237 UYP262237:UYR262237 VIL262237:VIN262237 VSH262237:VSJ262237 WCD262237:WCF262237 WLZ262237:WMB262237 WVV262237:WVX262237 N327773:P327773 JJ327773:JL327773 TF327773:TH327773 ADB327773:ADD327773 AMX327773:AMZ327773 AWT327773:AWV327773 BGP327773:BGR327773 BQL327773:BQN327773 CAH327773:CAJ327773 CKD327773:CKF327773 CTZ327773:CUB327773 DDV327773:DDX327773 DNR327773:DNT327773 DXN327773:DXP327773 EHJ327773:EHL327773 ERF327773:ERH327773 FBB327773:FBD327773 FKX327773:FKZ327773 FUT327773:FUV327773 GEP327773:GER327773 GOL327773:GON327773 GYH327773:GYJ327773 HID327773:HIF327773 HRZ327773:HSB327773 IBV327773:IBX327773 ILR327773:ILT327773 IVN327773:IVP327773 JFJ327773:JFL327773 JPF327773:JPH327773 JZB327773:JZD327773 KIX327773:KIZ327773 KST327773:KSV327773 LCP327773:LCR327773 LML327773:LMN327773 LWH327773:LWJ327773 MGD327773:MGF327773 MPZ327773:MQB327773 MZV327773:MZX327773 NJR327773:NJT327773 NTN327773:NTP327773 ODJ327773:ODL327773 ONF327773:ONH327773 OXB327773:OXD327773 PGX327773:PGZ327773 PQT327773:PQV327773 QAP327773:QAR327773 QKL327773:QKN327773 QUH327773:QUJ327773 RED327773:REF327773 RNZ327773:ROB327773 RXV327773:RXX327773 SHR327773:SHT327773 SRN327773:SRP327773 TBJ327773:TBL327773 TLF327773:TLH327773 TVB327773:TVD327773 UEX327773:UEZ327773 UOT327773:UOV327773 UYP327773:UYR327773 VIL327773:VIN327773 VSH327773:VSJ327773 WCD327773:WCF327773 WLZ327773:WMB327773 WVV327773:WVX327773 N393309:P393309 JJ393309:JL393309 TF393309:TH393309 ADB393309:ADD393309 AMX393309:AMZ393309 AWT393309:AWV393309 BGP393309:BGR393309 BQL393309:BQN393309 CAH393309:CAJ393309 CKD393309:CKF393309 CTZ393309:CUB393309 DDV393309:DDX393309 DNR393309:DNT393309 DXN393309:DXP393309 EHJ393309:EHL393309 ERF393309:ERH393309 FBB393309:FBD393309 FKX393309:FKZ393309 FUT393309:FUV393309 GEP393309:GER393309 GOL393309:GON393309 GYH393309:GYJ393309 HID393309:HIF393309 HRZ393309:HSB393309 IBV393309:IBX393309 ILR393309:ILT393309 IVN393309:IVP393309 JFJ393309:JFL393309 JPF393309:JPH393309 JZB393309:JZD393309 KIX393309:KIZ393309 KST393309:KSV393309 LCP393309:LCR393309 LML393309:LMN393309 LWH393309:LWJ393309 MGD393309:MGF393309 MPZ393309:MQB393309 MZV393309:MZX393309 NJR393309:NJT393309 NTN393309:NTP393309 ODJ393309:ODL393309 ONF393309:ONH393309 OXB393309:OXD393309 PGX393309:PGZ393309 PQT393309:PQV393309 QAP393309:QAR393309 QKL393309:QKN393309 QUH393309:QUJ393309 RED393309:REF393309 RNZ393309:ROB393309 RXV393309:RXX393309 SHR393309:SHT393309 SRN393309:SRP393309 TBJ393309:TBL393309 TLF393309:TLH393309 TVB393309:TVD393309 UEX393309:UEZ393309 UOT393309:UOV393309 UYP393309:UYR393309 VIL393309:VIN393309 VSH393309:VSJ393309 WCD393309:WCF393309 WLZ393309:WMB393309 WVV393309:WVX393309 N458845:P458845 JJ458845:JL458845 TF458845:TH458845 ADB458845:ADD458845 AMX458845:AMZ458845 AWT458845:AWV458845 BGP458845:BGR458845 BQL458845:BQN458845 CAH458845:CAJ458845 CKD458845:CKF458845 CTZ458845:CUB458845 DDV458845:DDX458845 DNR458845:DNT458845 DXN458845:DXP458845 EHJ458845:EHL458845 ERF458845:ERH458845 FBB458845:FBD458845 FKX458845:FKZ458845 FUT458845:FUV458845 GEP458845:GER458845 GOL458845:GON458845 GYH458845:GYJ458845 HID458845:HIF458845 HRZ458845:HSB458845 IBV458845:IBX458845 ILR458845:ILT458845 IVN458845:IVP458845 JFJ458845:JFL458845 JPF458845:JPH458845 JZB458845:JZD458845 KIX458845:KIZ458845 KST458845:KSV458845 LCP458845:LCR458845 LML458845:LMN458845 LWH458845:LWJ458845 MGD458845:MGF458845 MPZ458845:MQB458845 MZV458845:MZX458845 NJR458845:NJT458845 NTN458845:NTP458845 ODJ458845:ODL458845 ONF458845:ONH458845 OXB458845:OXD458845 PGX458845:PGZ458845 PQT458845:PQV458845 QAP458845:QAR458845 QKL458845:QKN458845 QUH458845:QUJ458845 RED458845:REF458845 RNZ458845:ROB458845 RXV458845:RXX458845 SHR458845:SHT458845 SRN458845:SRP458845 TBJ458845:TBL458845 TLF458845:TLH458845 TVB458845:TVD458845 UEX458845:UEZ458845 UOT458845:UOV458845 UYP458845:UYR458845 VIL458845:VIN458845 VSH458845:VSJ458845 WCD458845:WCF458845 WLZ458845:WMB458845 WVV458845:WVX458845 N524381:P524381 JJ524381:JL524381 TF524381:TH524381 ADB524381:ADD524381 AMX524381:AMZ524381 AWT524381:AWV524381 BGP524381:BGR524381 BQL524381:BQN524381 CAH524381:CAJ524381 CKD524381:CKF524381 CTZ524381:CUB524381 DDV524381:DDX524381 DNR524381:DNT524381 DXN524381:DXP524381 EHJ524381:EHL524381 ERF524381:ERH524381 FBB524381:FBD524381 FKX524381:FKZ524381 FUT524381:FUV524381 GEP524381:GER524381 GOL524381:GON524381 GYH524381:GYJ524381 HID524381:HIF524381 HRZ524381:HSB524381 IBV524381:IBX524381 ILR524381:ILT524381 IVN524381:IVP524381 JFJ524381:JFL524381 JPF524381:JPH524381 JZB524381:JZD524381 KIX524381:KIZ524381 KST524381:KSV524381 LCP524381:LCR524381 LML524381:LMN524381 LWH524381:LWJ524381 MGD524381:MGF524381 MPZ524381:MQB524381 MZV524381:MZX524381 NJR524381:NJT524381 NTN524381:NTP524381 ODJ524381:ODL524381 ONF524381:ONH524381 OXB524381:OXD524381 PGX524381:PGZ524381 PQT524381:PQV524381 QAP524381:QAR524381 QKL524381:QKN524381 QUH524381:QUJ524381 RED524381:REF524381 RNZ524381:ROB524381 RXV524381:RXX524381 SHR524381:SHT524381 SRN524381:SRP524381 TBJ524381:TBL524381 TLF524381:TLH524381 TVB524381:TVD524381 UEX524381:UEZ524381 UOT524381:UOV524381 UYP524381:UYR524381 VIL524381:VIN524381 VSH524381:VSJ524381 WCD524381:WCF524381 WLZ524381:WMB524381 WVV524381:WVX524381 N589917:P589917 JJ589917:JL589917 TF589917:TH589917 ADB589917:ADD589917 AMX589917:AMZ589917 AWT589917:AWV589917 BGP589917:BGR589917 BQL589917:BQN589917 CAH589917:CAJ589917 CKD589917:CKF589917 CTZ589917:CUB589917 DDV589917:DDX589917 DNR589917:DNT589917 DXN589917:DXP589917 EHJ589917:EHL589917 ERF589917:ERH589917 FBB589917:FBD589917 FKX589917:FKZ589917 FUT589917:FUV589917 GEP589917:GER589917 GOL589917:GON589917 GYH589917:GYJ589917 HID589917:HIF589917 HRZ589917:HSB589917 IBV589917:IBX589917 ILR589917:ILT589917 IVN589917:IVP589917 JFJ589917:JFL589917 JPF589917:JPH589917 JZB589917:JZD589917 KIX589917:KIZ589917 KST589917:KSV589917 LCP589917:LCR589917 LML589917:LMN589917 LWH589917:LWJ589917 MGD589917:MGF589917 MPZ589917:MQB589917 MZV589917:MZX589917 NJR589917:NJT589917 NTN589917:NTP589917 ODJ589917:ODL589917 ONF589917:ONH589917 OXB589917:OXD589917 PGX589917:PGZ589917 PQT589917:PQV589917 QAP589917:QAR589917 QKL589917:QKN589917 QUH589917:QUJ589917 RED589917:REF589917 RNZ589917:ROB589917 RXV589917:RXX589917 SHR589917:SHT589917 SRN589917:SRP589917 TBJ589917:TBL589917 TLF589917:TLH589917 TVB589917:TVD589917 UEX589917:UEZ589917 UOT589917:UOV589917 UYP589917:UYR589917 VIL589917:VIN589917 VSH589917:VSJ589917 WCD589917:WCF589917 WLZ589917:WMB589917 WVV589917:WVX589917 N655453:P655453 JJ655453:JL655453 TF655453:TH655453 ADB655453:ADD655453 AMX655453:AMZ655453 AWT655453:AWV655453 BGP655453:BGR655453 BQL655453:BQN655453 CAH655453:CAJ655453 CKD655453:CKF655453 CTZ655453:CUB655453 DDV655453:DDX655453 DNR655453:DNT655453 DXN655453:DXP655453 EHJ655453:EHL655453 ERF655453:ERH655453 FBB655453:FBD655453 FKX655453:FKZ655453 FUT655453:FUV655453 GEP655453:GER655453 GOL655453:GON655453 GYH655453:GYJ655453 HID655453:HIF655453 HRZ655453:HSB655453 IBV655453:IBX655453 ILR655453:ILT655453 IVN655453:IVP655453 JFJ655453:JFL655453 JPF655453:JPH655453 JZB655453:JZD655453 KIX655453:KIZ655453 KST655453:KSV655453 LCP655453:LCR655453 LML655453:LMN655453 LWH655453:LWJ655453 MGD655453:MGF655453 MPZ655453:MQB655453 MZV655453:MZX655453 NJR655453:NJT655453 NTN655453:NTP655453 ODJ655453:ODL655453 ONF655453:ONH655453 OXB655453:OXD655453 PGX655453:PGZ655453 PQT655453:PQV655453 QAP655453:QAR655453 QKL655453:QKN655453 QUH655453:QUJ655453 RED655453:REF655453 RNZ655453:ROB655453 RXV655453:RXX655453 SHR655453:SHT655453 SRN655453:SRP655453 TBJ655453:TBL655453 TLF655453:TLH655453 TVB655453:TVD655453 UEX655453:UEZ655453 UOT655453:UOV655453 UYP655453:UYR655453 VIL655453:VIN655453 VSH655453:VSJ655453 WCD655453:WCF655453 WLZ655453:WMB655453 WVV655453:WVX655453 N720989:P720989 JJ720989:JL720989 TF720989:TH720989 ADB720989:ADD720989 AMX720989:AMZ720989 AWT720989:AWV720989 BGP720989:BGR720989 BQL720989:BQN720989 CAH720989:CAJ720989 CKD720989:CKF720989 CTZ720989:CUB720989 DDV720989:DDX720989 DNR720989:DNT720989 DXN720989:DXP720989 EHJ720989:EHL720989 ERF720989:ERH720989 FBB720989:FBD720989 FKX720989:FKZ720989 FUT720989:FUV720989 GEP720989:GER720989 GOL720989:GON720989 GYH720989:GYJ720989 HID720989:HIF720989 HRZ720989:HSB720989 IBV720989:IBX720989 ILR720989:ILT720989 IVN720989:IVP720989 JFJ720989:JFL720989 JPF720989:JPH720989 JZB720989:JZD720989 KIX720989:KIZ720989 KST720989:KSV720989 LCP720989:LCR720989 LML720989:LMN720989 LWH720989:LWJ720989 MGD720989:MGF720989 MPZ720989:MQB720989 MZV720989:MZX720989 NJR720989:NJT720989 NTN720989:NTP720989 ODJ720989:ODL720989 ONF720989:ONH720989 OXB720989:OXD720989 PGX720989:PGZ720989 PQT720989:PQV720989 QAP720989:QAR720989 QKL720989:QKN720989 QUH720989:QUJ720989 RED720989:REF720989 RNZ720989:ROB720989 RXV720989:RXX720989 SHR720989:SHT720989 SRN720989:SRP720989 TBJ720989:TBL720989 TLF720989:TLH720989 TVB720989:TVD720989 UEX720989:UEZ720989 UOT720989:UOV720989 UYP720989:UYR720989 VIL720989:VIN720989 VSH720989:VSJ720989 WCD720989:WCF720989 WLZ720989:WMB720989 WVV720989:WVX720989 N786525:P786525 JJ786525:JL786525 TF786525:TH786525 ADB786525:ADD786525 AMX786525:AMZ786525 AWT786525:AWV786525 BGP786525:BGR786525 BQL786525:BQN786525 CAH786525:CAJ786525 CKD786525:CKF786525 CTZ786525:CUB786525 DDV786525:DDX786525 DNR786525:DNT786525 DXN786525:DXP786525 EHJ786525:EHL786525 ERF786525:ERH786525 FBB786525:FBD786525 FKX786525:FKZ786525 FUT786525:FUV786525 GEP786525:GER786525 GOL786525:GON786525 GYH786525:GYJ786525 HID786525:HIF786525 HRZ786525:HSB786525 IBV786525:IBX786525 ILR786525:ILT786525 IVN786525:IVP786525 JFJ786525:JFL786525 JPF786525:JPH786525 JZB786525:JZD786525 KIX786525:KIZ786525 KST786525:KSV786525 LCP786525:LCR786525 LML786525:LMN786525 LWH786525:LWJ786525 MGD786525:MGF786525 MPZ786525:MQB786525 MZV786525:MZX786525 NJR786525:NJT786525 NTN786525:NTP786525 ODJ786525:ODL786525 ONF786525:ONH786525 OXB786525:OXD786525 PGX786525:PGZ786525 PQT786525:PQV786525 QAP786525:QAR786525 QKL786525:QKN786525 QUH786525:QUJ786525 RED786525:REF786525 RNZ786525:ROB786525 RXV786525:RXX786525 SHR786525:SHT786525 SRN786525:SRP786525 TBJ786525:TBL786525 TLF786525:TLH786525 TVB786525:TVD786525 UEX786525:UEZ786525 UOT786525:UOV786525 UYP786525:UYR786525 VIL786525:VIN786525 VSH786525:VSJ786525 WCD786525:WCF786525 WLZ786525:WMB786525 WVV786525:WVX786525 N852061:P852061 JJ852061:JL852061 TF852061:TH852061 ADB852061:ADD852061 AMX852061:AMZ852061 AWT852061:AWV852061 BGP852061:BGR852061 BQL852061:BQN852061 CAH852061:CAJ852061 CKD852061:CKF852061 CTZ852061:CUB852061 DDV852061:DDX852061 DNR852061:DNT852061 DXN852061:DXP852061 EHJ852061:EHL852061 ERF852061:ERH852061 FBB852061:FBD852061 FKX852061:FKZ852061 FUT852061:FUV852061 GEP852061:GER852061 GOL852061:GON852061 GYH852061:GYJ852061 HID852061:HIF852061 HRZ852061:HSB852061 IBV852061:IBX852061 ILR852061:ILT852061 IVN852061:IVP852061 JFJ852061:JFL852061 JPF852061:JPH852061 JZB852061:JZD852061 KIX852061:KIZ852061 KST852061:KSV852061 LCP852061:LCR852061 LML852061:LMN852061 LWH852061:LWJ852061 MGD852061:MGF852061 MPZ852061:MQB852061 MZV852061:MZX852061 NJR852061:NJT852061 NTN852061:NTP852061 ODJ852061:ODL852061 ONF852061:ONH852061 OXB852061:OXD852061 PGX852061:PGZ852061 PQT852061:PQV852061 QAP852061:QAR852061 QKL852061:QKN852061 QUH852061:QUJ852061 RED852061:REF852061 RNZ852061:ROB852061 RXV852061:RXX852061 SHR852061:SHT852061 SRN852061:SRP852061 TBJ852061:TBL852061 TLF852061:TLH852061 TVB852061:TVD852061 UEX852061:UEZ852061 UOT852061:UOV852061 UYP852061:UYR852061 VIL852061:VIN852061 VSH852061:VSJ852061 WCD852061:WCF852061 WLZ852061:WMB852061 WVV852061:WVX852061 N917597:P917597 JJ917597:JL917597 TF917597:TH917597 ADB917597:ADD917597 AMX917597:AMZ917597 AWT917597:AWV917597 BGP917597:BGR917597 BQL917597:BQN917597 CAH917597:CAJ917597 CKD917597:CKF917597 CTZ917597:CUB917597 DDV917597:DDX917597 DNR917597:DNT917597 DXN917597:DXP917597 EHJ917597:EHL917597 ERF917597:ERH917597 FBB917597:FBD917597 FKX917597:FKZ917597 FUT917597:FUV917597 GEP917597:GER917597 GOL917597:GON917597 GYH917597:GYJ917597 HID917597:HIF917597 HRZ917597:HSB917597 IBV917597:IBX917597 ILR917597:ILT917597 IVN917597:IVP917597 JFJ917597:JFL917597 JPF917597:JPH917597 JZB917597:JZD917597 KIX917597:KIZ917597 KST917597:KSV917597 LCP917597:LCR917597 LML917597:LMN917597 LWH917597:LWJ917597 MGD917597:MGF917597 MPZ917597:MQB917597 MZV917597:MZX917597 NJR917597:NJT917597 NTN917597:NTP917597 ODJ917597:ODL917597 ONF917597:ONH917597 OXB917597:OXD917597 PGX917597:PGZ917597 PQT917597:PQV917597 QAP917597:QAR917597 QKL917597:QKN917597 QUH917597:QUJ917597 RED917597:REF917597 RNZ917597:ROB917597 RXV917597:RXX917597 SHR917597:SHT917597 SRN917597:SRP917597 TBJ917597:TBL917597 TLF917597:TLH917597 TVB917597:TVD917597 UEX917597:UEZ917597 UOT917597:UOV917597 UYP917597:UYR917597 VIL917597:VIN917597 VSH917597:VSJ917597 WCD917597:WCF917597 WLZ917597:WMB917597 WVV917597:WVX917597 N983133:P983133 JJ983133:JL983133 TF983133:TH983133 ADB983133:ADD983133 AMX983133:AMZ983133 AWT983133:AWV983133 BGP983133:BGR983133 BQL983133:BQN983133 CAH983133:CAJ983133 CKD983133:CKF983133 CTZ983133:CUB983133 DDV983133:DDX983133 DNR983133:DNT983133 DXN983133:DXP983133 EHJ983133:EHL983133 ERF983133:ERH983133 FBB983133:FBD983133 FKX983133:FKZ983133 FUT983133:FUV983133 GEP983133:GER983133 GOL983133:GON983133 GYH983133:GYJ983133 HID983133:HIF983133 HRZ983133:HSB983133 IBV983133:IBX983133 ILR983133:ILT983133 IVN983133:IVP983133 JFJ983133:JFL983133 JPF983133:JPH983133 JZB983133:JZD983133 KIX983133:KIZ983133 KST983133:KSV983133 LCP983133:LCR983133 LML983133:LMN983133 LWH983133:LWJ983133 MGD983133:MGF983133 MPZ983133:MQB983133 MZV983133:MZX983133 NJR983133:NJT983133 NTN983133:NTP983133 ODJ983133:ODL983133 ONF983133:ONH983133 OXB983133:OXD983133 PGX983133:PGZ983133 PQT983133:PQV983133 QAP983133:QAR983133 QKL983133:QKN983133 QUH983133:QUJ983133 RED983133:REF983133 RNZ983133:ROB983133 RXV983133:RXX983133 SHR983133:SHT983133 SRN983133:SRP983133 TBJ983133:TBL983133 TLF983133:TLH983133 TVB983133:TVD983133 UEX983133:UEZ983133 UOT983133:UOV983133 UYP983133:UYR983133 VIL983133:VIN983133 VSH983133:VSJ983133 WCD983133:WCF983133 WLZ983133:WMB983133 WVV983133:WVX983133 K8:P67 JG8:JL67 TC8:TH67 ACY8:ADD67 AMU8:AMZ67 AWQ8:AWV67 BGM8:BGR67 BQI8:BQN67 CAE8:CAJ67 CKA8:CKF67 CTW8:CUB67 DDS8:DDX67 DNO8:DNT67 DXK8:DXP67 EHG8:EHL67 ERC8:ERH67 FAY8:FBD67 FKU8:FKZ67 FUQ8:FUV67 GEM8:GER67 GOI8:GON67 GYE8:GYJ67 HIA8:HIF67 HRW8:HSB67 IBS8:IBX67 ILO8:ILT67 IVK8:IVP67 JFG8:JFL67 JPC8:JPH67 JYY8:JZD67 KIU8:KIZ67 KSQ8:KSV67 LCM8:LCR67 LMI8:LMN67 LWE8:LWJ67 MGA8:MGF67 MPW8:MQB67 MZS8:MZX67 NJO8:NJT67 NTK8:NTP67 ODG8:ODL67 ONC8:ONH67 OWY8:OXD67 PGU8:PGZ67 PQQ8:PQV67 QAM8:QAR67 QKI8:QKN67 QUE8:QUJ67 REA8:REF67 RNW8:ROB67 RXS8:RXX67 SHO8:SHT67 SRK8:SRP67 TBG8:TBL67 TLC8:TLH67 TUY8:TVD67 UEU8:UEZ67 UOQ8:UOV67 UYM8:UYR67 VII8:VIN67 VSE8:VSJ67 WCA8:WCF67 WLW8:WMB67 WVS8:WVX67 K65544:P65603 JG65544:JL65603 TC65544:TH65603 ACY65544:ADD65603 AMU65544:AMZ65603 AWQ65544:AWV65603 BGM65544:BGR65603 BQI65544:BQN65603 CAE65544:CAJ65603 CKA65544:CKF65603 CTW65544:CUB65603 DDS65544:DDX65603 DNO65544:DNT65603 DXK65544:DXP65603 EHG65544:EHL65603 ERC65544:ERH65603 FAY65544:FBD65603 FKU65544:FKZ65603 FUQ65544:FUV65603 GEM65544:GER65603 GOI65544:GON65603 GYE65544:GYJ65603 HIA65544:HIF65603 HRW65544:HSB65603 IBS65544:IBX65603 ILO65544:ILT65603 IVK65544:IVP65603 JFG65544:JFL65603 JPC65544:JPH65603 JYY65544:JZD65603 KIU65544:KIZ65603 KSQ65544:KSV65603 LCM65544:LCR65603 LMI65544:LMN65603 LWE65544:LWJ65603 MGA65544:MGF65603 MPW65544:MQB65603 MZS65544:MZX65603 NJO65544:NJT65603 NTK65544:NTP65603 ODG65544:ODL65603 ONC65544:ONH65603 OWY65544:OXD65603 PGU65544:PGZ65603 PQQ65544:PQV65603 QAM65544:QAR65603 QKI65544:QKN65603 QUE65544:QUJ65603 REA65544:REF65603 RNW65544:ROB65603 RXS65544:RXX65603 SHO65544:SHT65603 SRK65544:SRP65603 TBG65544:TBL65603 TLC65544:TLH65603 TUY65544:TVD65603 UEU65544:UEZ65603 UOQ65544:UOV65603 UYM65544:UYR65603 VII65544:VIN65603 VSE65544:VSJ65603 WCA65544:WCF65603 WLW65544:WMB65603 WVS65544:WVX65603 K131080:P131139 JG131080:JL131139 TC131080:TH131139 ACY131080:ADD131139 AMU131080:AMZ131139 AWQ131080:AWV131139 BGM131080:BGR131139 BQI131080:BQN131139 CAE131080:CAJ131139 CKA131080:CKF131139 CTW131080:CUB131139 DDS131080:DDX131139 DNO131080:DNT131139 DXK131080:DXP131139 EHG131080:EHL131139 ERC131080:ERH131139 FAY131080:FBD131139 FKU131080:FKZ131139 FUQ131080:FUV131139 GEM131080:GER131139 GOI131080:GON131139 GYE131080:GYJ131139 HIA131080:HIF131139 HRW131080:HSB131139 IBS131080:IBX131139 ILO131080:ILT131139 IVK131080:IVP131139 JFG131080:JFL131139 JPC131080:JPH131139 JYY131080:JZD131139 KIU131080:KIZ131139 KSQ131080:KSV131139 LCM131080:LCR131139 LMI131080:LMN131139 LWE131080:LWJ131139 MGA131080:MGF131139 MPW131080:MQB131139 MZS131080:MZX131139 NJO131080:NJT131139 NTK131080:NTP131139 ODG131080:ODL131139 ONC131080:ONH131139 OWY131080:OXD131139 PGU131080:PGZ131139 PQQ131080:PQV131139 QAM131080:QAR131139 QKI131080:QKN131139 QUE131080:QUJ131139 REA131080:REF131139 RNW131080:ROB131139 RXS131080:RXX131139 SHO131080:SHT131139 SRK131080:SRP131139 TBG131080:TBL131139 TLC131080:TLH131139 TUY131080:TVD131139 UEU131080:UEZ131139 UOQ131080:UOV131139 UYM131080:UYR131139 VII131080:VIN131139 VSE131080:VSJ131139 WCA131080:WCF131139 WLW131080:WMB131139 WVS131080:WVX131139 K196616:P196675 JG196616:JL196675 TC196616:TH196675 ACY196616:ADD196675 AMU196616:AMZ196675 AWQ196616:AWV196675 BGM196616:BGR196675 BQI196616:BQN196675 CAE196616:CAJ196675 CKA196616:CKF196675 CTW196616:CUB196675 DDS196616:DDX196675 DNO196616:DNT196675 DXK196616:DXP196675 EHG196616:EHL196675 ERC196616:ERH196675 FAY196616:FBD196675 FKU196616:FKZ196675 FUQ196616:FUV196675 GEM196616:GER196675 GOI196616:GON196675 GYE196616:GYJ196675 HIA196616:HIF196675 HRW196616:HSB196675 IBS196616:IBX196675 ILO196616:ILT196675 IVK196616:IVP196675 JFG196616:JFL196675 JPC196616:JPH196675 JYY196616:JZD196675 KIU196616:KIZ196675 KSQ196616:KSV196675 LCM196616:LCR196675 LMI196616:LMN196675 LWE196616:LWJ196675 MGA196616:MGF196675 MPW196616:MQB196675 MZS196616:MZX196675 NJO196616:NJT196675 NTK196616:NTP196675 ODG196616:ODL196675 ONC196616:ONH196675 OWY196616:OXD196675 PGU196616:PGZ196675 PQQ196616:PQV196675 QAM196616:QAR196675 QKI196616:QKN196675 QUE196616:QUJ196675 REA196616:REF196675 RNW196616:ROB196675 RXS196616:RXX196675 SHO196616:SHT196675 SRK196616:SRP196675 TBG196616:TBL196675 TLC196616:TLH196675 TUY196616:TVD196675 UEU196616:UEZ196675 UOQ196616:UOV196675 UYM196616:UYR196675 VII196616:VIN196675 VSE196616:VSJ196675 WCA196616:WCF196675 WLW196616:WMB196675 WVS196616:WVX196675 K262152:P262211 JG262152:JL262211 TC262152:TH262211 ACY262152:ADD262211 AMU262152:AMZ262211 AWQ262152:AWV262211 BGM262152:BGR262211 BQI262152:BQN262211 CAE262152:CAJ262211 CKA262152:CKF262211 CTW262152:CUB262211 DDS262152:DDX262211 DNO262152:DNT262211 DXK262152:DXP262211 EHG262152:EHL262211 ERC262152:ERH262211 FAY262152:FBD262211 FKU262152:FKZ262211 FUQ262152:FUV262211 GEM262152:GER262211 GOI262152:GON262211 GYE262152:GYJ262211 HIA262152:HIF262211 HRW262152:HSB262211 IBS262152:IBX262211 ILO262152:ILT262211 IVK262152:IVP262211 JFG262152:JFL262211 JPC262152:JPH262211 JYY262152:JZD262211 KIU262152:KIZ262211 KSQ262152:KSV262211 LCM262152:LCR262211 LMI262152:LMN262211 LWE262152:LWJ262211 MGA262152:MGF262211 MPW262152:MQB262211 MZS262152:MZX262211 NJO262152:NJT262211 NTK262152:NTP262211 ODG262152:ODL262211 ONC262152:ONH262211 OWY262152:OXD262211 PGU262152:PGZ262211 PQQ262152:PQV262211 QAM262152:QAR262211 QKI262152:QKN262211 QUE262152:QUJ262211 REA262152:REF262211 RNW262152:ROB262211 RXS262152:RXX262211 SHO262152:SHT262211 SRK262152:SRP262211 TBG262152:TBL262211 TLC262152:TLH262211 TUY262152:TVD262211 UEU262152:UEZ262211 UOQ262152:UOV262211 UYM262152:UYR262211 VII262152:VIN262211 VSE262152:VSJ262211 WCA262152:WCF262211 WLW262152:WMB262211 WVS262152:WVX262211 K327688:P327747 JG327688:JL327747 TC327688:TH327747 ACY327688:ADD327747 AMU327688:AMZ327747 AWQ327688:AWV327747 BGM327688:BGR327747 BQI327688:BQN327747 CAE327688:CAJ327747 CKA327688:CKF327747 CTW327688:CUB327747 DDS327688:DDX327747 DNO327688:DNT327747 DXK327688:DXP327747 EHG327688:EHL327747 ERC327688:ERH327747 FAY327688:FBD327747 FKU327688:FKZ327747 FUQ327688:FUV327747 GEM327688:GER327747 GOI327688:GON327747 GYE327688:GYJ327747 HIA327688:HIF327747 HRW327688:HSB327747 IBS327688:IBX327747 ILO327688:ILT327747 IVK327688:IVP327747 JFG327688:JFL327747 JPC327688:JPH327747 JYY327688:JZD327747 KIU327688:KIZ327747 KSQ327688:KSV327747 LCM327688:LCR327747 LMI327688:LMN327747 LWE327688:LWJ327747 MGA327688:MGF327747 MPW327688:MQB327747 MZS327688:MZX327747 NJO327688:NJT327747 NTK327688:NTP327747 ODG327688:ODL327747 ONC327688:ONH327747 OWY327688:OXD327747 PGU327688:PGZ327747 PQQ327688:PQV327747 QAM327688:QAR327747 QKI327688:QKN327747 QUE327688:QUJ327747 REA327688:REF327747 RNW327688:ROB327747 RXS327688:RXX327747 SHO327688:SHT327747 SRK327688:SRP327747 TBG327688:TBL327747 TLC327688:TLH327747 TUY327688:TVD327747 UEU327688:UEZ327747 UOQ327688:UOV327747 UYM327688:UYR327747 VII327688:VIN327747 VSE327688:VSJ327747 WCA327688:WCF327747 WLW327688:WMB327747 WVS327688:WVX327747 K393224:P393283 JG393224:JL393283 TC393224:TH393283 ACY393224:ADD393283 AMU393224:AMZ393283 AWQ393224:AWV393283 BGM393224:BGR393283 BQI393224:BQN393283 CAE393224:CAJ393283 CKA393224:CKF393283 CTW393224:CUB393283 DDS393224:DDX393283 DNO393224:DNT393283 DXK393224:DXP393283 EHG393224:EHL393283 ERC393224:ERH393283 FAY393224:FBD393283 FKU393224:FKZ393283 FUQ393224:FUV393283 GEM393224:GER393283 GOI393224:GON393283 GYE393224:GYJ393283 HIA393224:HIF393283 HRW393224:HSB393283 IBS393224:IBX393283 ILO393224:ILT393283 IVK393224:IVP393283 JFG393224:JFL393283 JPC393224:JPH393283 JYY393224:JZD393283 KIU393224:KIZ393283 KSQ393224:KSV393283 LCM393224:LCR393283 LMI393224:LMN393283 LWE393224:LWJ393283 MGA393224:MGF393283 MPW393224:MQB393283 MZS393224:MZX393283 NJO393224:NJT393283 NTK393224:NTP393283 ODG393224:ODL393283 ONC393224:ONH393283 OWY393224:OXD393283 PGU393224:PGZ393283 PQQ393224:PQV393283 QAM393224:QAR393283 QKI393224:QKN393283 QUE393224:QUJ393283 REA393224:REF393283 RNW393224:ROB393283 RXS393224:RXX393283 SHO393224:SHT393283 SRK393224:SRP393283 TBG393224:TBL393283 TLC393224:TLH393283 TUY393224:TVD393283 UEU393224:UEZ393283 UOQ393224:UOV393283 UYM393224:UYR393283 VII393224:VIN393283 VSE393224:VSJ393283 WCA393224:WCF393283 WLW393224:WMB393283 WVS393224:WVX393283 K458760:P458819 JG458760:JL458819 TC458760:TH458819 ACY458760:ADD458819 AMU458760:AMZ458819 AWQ458760:AWV458819 BGM458760:BGR458819 BQI458760:BQN458819 CAE458760:CAJ458819 CKA458760:CKF458819 CTW458760:CUB458819 DDS458760:DDX458819 DNO458760:DNT458819 DXK458760:DXP458819 EHG458760:EHL458819 ERC458760:ERH458819 FAY458760:FBD458819 FKU458760:FKZ458819 FUQ458760:FUV458819 GEM458760:GER458819 GOI458760:GON458819 GYE458760:GYJ458819 HIA458760:HIF458819 HRW458760:HSB458819 IBS458760:IBX458819 ILO458760:ILT458819 IVK458760:IVP458819 JFG458760:JFL458819 JPC458760:JPH458819 JYY458760:JZD458819 KIU458760:KIZ458819 KSQ458760:KSV458819 LCM458760:LCR458819 LMI458760:LMN458819 LWE458760:LWJ458819 MGA458760:MGF458819 MPW458760:MQB458819 MZS458760:MZX458819 NJO458760:NJT458819 NTK458760:NTP458819 ODG458760:ODL458819 ONC458760:ONH458819 OWY458760:OXD458819 PGU458760:PGZ458819 PQQ458760:PQV458819 QAM458760:QAR458819 QKI458760:QKN458819 QUE458760:QUJ458819 REA458760:REF458819 RNW458760:ROB458819 RXS458760:RXX458819 SHO458760:SHT458819 SRK458760:SRP458819 TBG458760:TBL458819 TLC458760:TLH458819 TUY458760:TVD458819 UEU458760:UEZ458819 UOQ458760:UOV458819 UYM458760:UYR458819 VII458760:VIN458819 VSE458760:VSJ458819 WCA458760:WCF458819 WLW458760:WMB458819 WVS458760:WVX458819 K524296:P524355 JG524296:JL524355 TC524296:TH524355 ACY524296:ADD524355 AMU524296:AMZ524355 AWQ524296:AWV524355 BGM524296:BGR524355 BQI524296:BQN524355 CAE524296:CAJ524355 CKA524296:CKF524355 CTW524296:CUB524355 DDS524296:DDX524355 DNO524296:DNT524355 DXK524296:DXP524355 EHG524296:EHL524355 ERC524296:ERH524355 FAY524296:FBD524355 FKU524296:FKZ524355 FUQ524296:FUV524355 GEM524296:GER524355 GOI524296:GON524355 GYE524296:GYJ524355 HIA524296:HIF524355 HRW524296:HSB524355 IBS524296:IBX524355 ILO524296:ILT524355 IVK524296:IVP524355 JFG524296:JFL524355 JPC524296:JPH524355 JYY524296:JZD524355 KIU524296:KIZ524355 KSQ524296:KSV524355 LCM524296:LCR524355 LMI524296:LMN524355 LWE524296:LWJ524355 MGA524296:MGF524355 MPW524296:MQB524355 MZS524296:MZX524355 NJO524296:NJT524355 NTK524296:NTP524355 ODG524296:ODL524355 ONC524296:ONH524355 OWY524296:OXD524355 PGU524296:PGZ524355 PQQ524296:PQV524355 QAM524296:QAR524355 QKI524296:QKN524355 QUE524296:QUJ524355 REA524296:REF524355 RNW524296:ROB524355 RXS524296:RXX524355 SHO524296:SHT524355 SRK524296:SRP524355 TBG524296:TBL524355 TLC524296:TLH524355 TUY524296:TVD524355 UEU524296:UEZ524355 UOQ524296:UOV524355 UYM524296:UYR524355 VII524296:VIN524355 VSE524296:VSJ524355 WCA524296:WCF524355 WLW524296:WMB524355 WVS524296:WVX524355 K589832:P589891 JG589832:JL589891 TC589832:TH589891 ACY589832:ADD589891 AMU589832:AMZ589891 AWQ589832:AWV589891 BGM589832:BGR589891 BQI589832:BQN589891 CAE589832:CAJ589891 CKA589832:CKF589891 CTW589832:CUB589891 DDS589832:DDX589891 DNO589832:DNT589891 DXK589832:DXP589891 EHG589832:EHL589891 ERC589832:ERH589891 FAY589832:FBD589891 FKU589832:FKZ589891 FUQ589832:FUV589891 GEM589832:GER589891 GOI589832:GON589891 GYE589832:GYJ589891 HIA589832:HIF589891 HRW589832:HSB589891 IBS589832:IBX589891 ILO589832:ILT589891 IVK589832:IVP589891 JFG589832:JFL589891 JPC589832:JPH589891 JYY589832:JZD589891 KIU589832:KIZ589891 KSQ589832:KSV589891 LCM589832:LCR589891 LMI589832:LMN589891 LWE589832:LWJ589891 MGA589832:MGF589891 MPW589832:MQB589891 MZS589832:MZX589891 NJO589832:NJT589891 NTK589832:NTP589891 ODG589832:ODL589891 ONC589832:ONH589891 OWY589832:OXD589891 PGU589832:PGZ589891 PQQ589832:PQV589891 QAM589832:QAR589891 QKI589832:QKN589891 QUE589832:QUJ589891 REA589832:REF589891 RNW589832:ROB589891 RXS589832:RXX589891 SHO589832:SHT589891 SRK589832:SRP589891 TBG589832:TBL589891 TLC589832:TLH589891 TUY589832:TVD589891 UEU589832:UEZ589891 UOQ589832:UOV589891 UYM589832:UYR589891 VII589832:VIN589891 VSE589832:VSJ589891 WCA589832:WCF589891 WLW589832:WMB589891 WVS589832:WVX589891 K655368:P655427 JG655368:JL655427 TC655368:TH655427 ACY655368:ADD655427 AMU655368:AMZ655427 AWQ655368:AWV655427 BGM655368:BGR655427 BQI655368:BQN655427 CAE655368:CAJ655427 CKA655368:CKF655427 CTW655368:CUB655427 DDS655368:DDX655427 DNO655368:DNT655427 DXK655368:DXP655427 EHG655368:EHL655427 ERC655368:ERH655427 FAY655368:FBD655427 FKU655368:FKZ655427 FUQ655368:FUV655427 GEM655368:GER655427 GOI655368:GON655427 GYE655368:GYJ655427 HIA655368:HIF655427 HRW655368:HSB655427 IBS655368:IBX655427 ILO655368:ILT655427 IVK655368:IVP655427 JFG655368:JFL655427 JPC655368:JPH655427 JYY655368:JZD655427 KIU655368:KIZ655427 KSQ655368:KSV655427 LCM655368:LCR655427 LMI655368:LMN655427 LWE655368:LWJ655427 MGA655368:MGF655427 MPW655368:MQB655427 MZS655368:MZX655427 NJO655368:NJT655427 NTK655368:NTP655427 ODG655368:ODL655427 ONC655368:ONH655427 OWY655368:OXD655427 PGU655368:PGZ655427 PQQ655368:PQV655427 QAM655368:QAR655427 QKI655368:QKN655427 QUE655368:QUJ655427 REA655368:REF655427 RNW655368:ROB655427 RXS655368:RXX655427 SHO655368:SHT655427 SRK655368:SRP655427 TBG655368:TBL655427 TLC655368:TLH655427 TUY655368:TVD655427 UEU655368:UEZ655427 UOQ655368:UOV655427 UYM655368:UYR655427 VII655368:VIN655427 VSE655368:VSJ655427 WCA655368:WCF655427 WLW655368:WMB655427 WVS655368:WVX655427 K720904:P720963 JG720904:JL720963 TC720904:TH720963 ACY720904:ADD720963 AMU720904:AMZ720963 AWQ720904:AWV720963 BGM720904:BGR720963 BQI720904:BQN720963 CAE720904:CAJ720963 CKA720904:CKF720963 CTW720904:CUB720963 DDS720904:DDX720963 DNO720904:DNT720963 DXK720904:DXP720963 EHG720904:EHL720963 ERC720904:ERH720963 FAY720904:FBD720963 FKU720904:FKZ720963 FUQ720904:FUV720963 GEM720904:GER720963 GOI720904:GON720963 GYE720904:GYJ720963 HIA720904:HIF720963 HRW720904:HSB720963 IBS720904:IBX720963 ILO720904:ILT720963 IVK720904:IVP720963 JFG720904:JFL720963 JPC720904:JPH720963 JYY720904:JZD720963 KIU720904:KIZ720963 KSQ720904:KSV720963 LCM720904:LCR720963 LMI720904:LMN720963 LWE720904:LWJ720963 MGA720904:MGF720963 MPW720904:MQB720963 MZS720904:MZX720963 NJO720904:NJT720963 NTK720904:NTP720963 ODG720904:ODL720963 ONC720904:ONH720963 OWY720904:OXD720963 PGU720904:PGZ720963 PQQ720904:PQV720963 QAM720904:QAR720963 QKI720904:QKN720963 QUE720904:QUJ720963 REA720904:REF720963 RNW720904:ROB720963 RXS720904:RXX720963 SHO720904:SHT720963 SRK720904:SRP720963 TBG720904:TBL720963 TLC720904:TLH720963 TUY720904:TVD720963 UEU720904:UEZ720963 UOQ720904:UOV720963 UYM720904:UYR720963 VII720904:VIN720963 VSE720904:VSJ720963 WCA720904:WCF720963 WLW720904:WMB720963 WVS720904:WVX720963 K786440:P786499 JG786440:JL786499 TC786440:TH786499 ACY786440:ADD786499 AMU786440:AMZ786499 AWQ786440:AWV786499 BGM786440:BGR786499 BQI786440:BQN786499 CAE786440:CAJ786499 CKA786440:CKF786499 CTW786440:CUB786499 DDS786440:DDX786499 DNO786440:DNT786499 DXK786440:DXP786499 EHG786440:EHL786499 ERC786440:ERH786499 FAY786440:FBD786499 FKU786440:FKZ786499 FUQ786440:FUV786499 GEM786440:GER786499 GOI786440:GON786499 GYE786440:GYJ786499 HIA786440:HIF786499 HRW786440:HSB786499 IBS786440:IBX786499 ILO786440:ILT786499 IVK786440:IVP786499 JFG786440:JFL786499 JPC786440:JPH786499 JYY786440:JZD786499 KIU786440:KIZ786499 KSQ786440:KSV786499 LCM786440:LCR786499 LMI786440:LMN786499 LWE786440:LWJ786499 MGA786440:MGF786499 MPW786440:MQB786499 MZS786440:MZX786499 NJO786440:NJT786499 NTK786440:NTP786499 ODG786440:ODL786499 ONC786440:ONH786499 OWY786440:OXD786499 PGU786440:PGZ786499 PQQ786440:PQV786499 QAM786440:QAR786499 QKI786440:QKN786499 QUE786440:QUJ786499 REA786440:REF786499 RNW786440:ROB786499 RXS786440:RXX786499 SHO786440:SHT786499 SRK786440:SRP786499 TBG786440:TBL786499 TLC786440:TLH786499 TUY786440:TVD786499 UEU786440:UEZ786499 UOQ786440:UOV786499 UYM786440:UYR786499 VII786440:VIN786499 VSE786440:VSJ786499 WCA786440:WCF786499 WLW786440:WMB786499 WVS786440:WVX786499 K851976:P852035 JG851976:JL852035 TC851976:TH852035 ACY851976:ADD852035 AMU851976:AMZ852035 AWQ851976:AWV852035 BGM851976:BGR852035 BQI851976:BQN852035 CAE851976:CAJ852035 CKA851976:CKF852035 CTW851976:CUB852035 DDS851976:DDX852035 DNO851976:DNT852035 DXK851976:DXP852035 EHG851976:EHL852035 ERC851976:ERH852035 FAY851976:FBD852035 FKU851976:FKZ852035 FUQ851976:FUV852035 GEM851976:GER852035 GOI851976:GON852035 GYE851976:GYJ852035 HIA851976:HIF852035 HRW851976:HSB852035 IBS851976:IBX852035 ILO851976:ILT852035 IVK851976:IVP852035 JFG851976:JFL852035 JPC851976:JPH852035 JYY851976:JZD852035 KIU851976:KIZ852035 KSQ851976:KSV852035 LCM851976:LCR852035 LMI851976:LMN852035 LWE851976:LWJ852035 MGA851976:MGF852035 MPW851976:MQB852035 MZS851976:MZX852035 NJO851976:NJT852035 NTK851976:NTP852035 ODG851976:ODL852035 ONC851976:ONH852035 OWY851976:OXD852035 PGU851976:PGZ852035 PQQ851976:PQV852035 QAM851976:QAR852035 QKI851976:QKN852035 QUE851976:QUJ852035 REA851976:REF852035 RNW851976:ROB852035 RXS851976:RXX852035 SHO851976:SHT852035 SRK851976:SRP852035 TBG851976:TBL852035 TLC851976:TLH852035 TUY851976:TVD852035 UEU851976:UEZ852035 UOQ851976:UOV852035 UYM851976:UYR852035 VII851976:VIN852035 VSE851976:VSJ852035 WCA851976:WCF852035 WLW851976:WMB852035 WVS851976:WVX852035 K917512:P917571 JG917512:JL917571 TC917512:TH917571 ACY917512:ADD917571 AMU917512:AMZ917571 AWQ917512:AWV917571 BGM917512:BGR917571 BQI917512:BQN917571 CAE917512:CAJ917571 CKA917512:CKF917571 CTW917512:CUB917571 DDS917512:DDX917571 DNO917512:DNT917571 DXK917512:DXP917571 EHG917512:EHL917571 ERC917512:ERH917571 FAY917512:FBD917571 FKU917512:FKZ917571 FUQ917512:FUV917571 GEM917512:GER917571 GOI917512:GON917571 GYE917512:GYJ917571 HIA917512:HIF917571 HRW917512:HSB917571 IBS917512:IBX917571 ILO917512:ILT917571 IVK917512:IVP917571 JFG917512:JFL917571 JPC917512:JPH917571 JYY917512:JZD917571 KIU917512:KIZ917571 KSQ917512:KSV917571 LCM917512:LCR917571 LMI917512:LMN917571 LWE917512:LWJ917571 MGA917512:MGF917571 MPW917512:MQB917571 MZS917512:MZX917571 NJO917512:NJT917571 NTK917512:NTP917571 ODG917512:ODL917571 ONC917512:ONH917571 OWY917512:OXD917571 PGU917512:PGZ917571 PQQ917512:PQV917571 QAM917512:QAR917571 QKI917512:QKN917571 QUE917512:QUJ917571 REA917512:REF917571 RNW917512:ROB917571 RXS917512:RXX917571 SHO917512:SHT917571 SRK917512:SRP917571 TBG917512:TBL917571 TLC917512:TLH917571 TUY917512:TVD917571 UEU917512:UEZ917571 UOQ917512:UOV917571 UYM917512:UYR917571 VII917512:VIN917571 VSE917512:VSJ917571 WCA917512:WCF917571 WLW917512:WMB917571 WVS917512:WVX917571 K983048:P983107 JG983048:JL983107 TC983048:TH983107 ACY983048:ADD983107 AMU983048:AMZ983107 AWQ983048:AWV983107 BGM983048:BGR983107 BQI983048:BQN983107 CAE983048:CAJ983107 CKA983048:CKF983107 CTW983048:CUB983107 DDS983048:DDX983107 DNO983048:DNT983107 DXK983048:DXP983107 EHG983048:EHL983107 ERC983048:ERH983107 FAY983048:FBD983107 FKU983048:FKZ983107 FUQ983048:FUV983107 GEM983048:GER983107 GOI983048:GON983107 GYE983048:GYJ983107 HIA983048:HIF983107 HRW983048:HSB983107 IBS983048:IBX983107 ILO983048:ILT983107 IVK983048:IVP983107 JFG983048:JFL983107 JPC983048:JPH983107 JYY983048:JZD983107 KIU983048:KIZ983107 KSQ983048:KSV983107 LCM983048:LCR983107 LMI983048:LMN983107 LWE983048:LWJ983107 MGA983048:MGF983107 MPW983048:MQB983107 MZS983048:MZX983107 NJO983048:NJT983107 NTK983048:NTP983107 ODG983048:ODL983107 ONC983048:ONH983107 OWY983048:OXD983107 PGU983048:PGZ983107 PQQ983048:PQV983107 QAM983048:QAR983107 QKI983048:QKN983107 QUE983048:QUJ983107 REA983048:REF983107 RNW983048:ROB983107 RXS983048:RXX983107 SHO983048:SHT983107 SRK983048:SRP983107 TBG983048:TBL983107 TLC983048:TLH983107 TUY983048:TVD983107 UEU983048:UEZ983107 UOQ983048:UOV983107 UYM983048:UYR983107 VII983048:VIN983107 VSE983048:VSJ983107 WCA983048:WCF983107 WLW983048:WMB983107 WVS983048:WVX983107 K71:P92 JG71:JL92 TC71:TH92 ACY71:ADD92 AMU71:AMZ92 AWQ71:AWV92 BGM71:BGR92 BQI71:BQN92 CAE71:CAJ92 CKA71:CKF92 CTW71:CUB92 DDS71:DDX92 DNO71:DNT92 DXK71:DXP92 EHG71:EHL92 ERC71:ERH92 FAY71:FBD92 FKU71:FKZ92 FUQ71:FUV92 GEM71:GER92 GOI71:GON92 GYE71:GYJ92 HIA71:HIF92 HRW71:HSB92 IBS71:IBX92 ILO71:ILT92 IVK71:IVP92 JFG71:JFL92 JPC71:JPH92 JYY71:JZD92 KIU71:KIZ92 KSQ71:KSV92 LCM71:LCR92 LMI71:LMN92 LWE71:LWJ92 MGA71:MGF92 MPW71:MQB92 MZS71:MZX92 NJO71:NJT92 NTK71:NTP92 ODG71:ODL92 ONC71:ONH92 OWY71:OXD92 PGU71:PGZ92 PQQ71:PQV92 QAM71:QAR92 QKI71:QKN92 QUE71:QUJ92 REA71:REF92 RNW71:ROB92 RXS71:RXX92 SHO71:SHT92 SRK71:SRP92 TBG71:TBL92 TLC71:TLH92 TUY71:TVD92 UEU71:UEZ92 UOQ71:UOV92 UYM71:UYR92 VII71:VIN92 VSE71:VSJ92 WCA71:WCF92 WLW71:WMB92 WVS71:WVX92 K65607:P65628 JG65607:JL65628 TC65607:TH65628 ACY65607:ADD65628 AMU65607:AMZ65628 AWQ65607:AWV65628 BGM65607:BGR65628 BQI65607:BQN65628 CAE65607:CAJ65628 CKA65607:CKF65628 CTW65607:CUB65628 DDS65607:DDX65628 DNO65607:DNT65628 DXK65607:DXP65628 EHG65607:EHL65628 ERC65607:ERH65628 FAY65607:FBD65628 FKU65607:FKZ65628 FUQ65607:FUV65628 GEM65607:GER65628 GOI65607:GON65628 GYE65607:GYJ65628 HIA65607:HIF65628 HRW65607:HSB65628 IBS65607:IBX65628 ILO65607:ILT65628 IVK65607:IVP65628 JFG65607:JFL65628 JPC65607:JPH65628 JYY65607:JZD65628 KIU65607:KIZ65628 KSQ65607:KSV65628 LCM65607:LCR65628 LMI65607:LMN65628 LWE65607:LWJ65628 MGA65607:MGF65628 MPW65607:MQB65628 MZS65607:MZX65628 NJO65607:NJT65628 NTK65607:NTP65628 ODG65607:ODL65628 ONC65607:ONH65628 OWY65607:OXD65628 PGU65607:PGZ65628 PQQ65607:PQV65628 QAM65607:QAR65628 QKI65607:QKN65628 QUE65607:QUJ65628 REA65607:REF65628 RNW65607:ROB65628 RXS65607:RXX65628 SHO65607:SHT65628 SRK65607:SRP65628 TBG65607:TBL65628 TLC65607:TLH65628 TUY65607:TVD65628 UEU65607:UEZ65628 UOQ65607:UOV65628 UYM65607:UYR65628 VII65607:VIN65628 VSE65607:VSJ65628 WCA65607:WCF65628 WLW65607:WMB65628 WVS65607:WVX65628 K131143:P131164 JG131143:JL131164 TC131143:TH131164 ACY131143:ADD131164 AMU131143:AMZ131164 AWQ131143:AWV131164 BGM131143:BGR131164 BQI131143:BQN131164 CAE131143:CAJ131164 CKA131143:CKF131164 CTW131143:CUB131164 DDS131143:DDX131164 DNO131143:DNT131164 DXK131143:DXP131164 EHG131143:EHL131164 ERC131143:ERH131164 FAY131143:FBD131164 FKU131143:FKZ131164 FUQ131143:FUV131164 GEM131143:GER131164 GOI131143:GON131164 GYE131143:GYJ131164 HIA131143:HIF131164 HRW131143:HSB131164 IBS131143:IBX131164 ILO131143:ILT131164 IVK131143:IVP131164 JFG131143:JFL131164 JPC131143:JPH131164 JYY131143:JZD131164 KIU131143:KIZ131164 KSQ131143:KSV131164 LCM131143:LCR131164 LMI131143:LMN131164 LWE131143:LWJ131164 MGA131143:MGF131164 MPW131143:MQB131164 MZS131143:MZX131164 NJO131143:NJT131164 NTK131143:NTP131164 ODG131143:ODL131164 ONC131143:ONH131164 OWY131143:OXD131164 PGU131143:PGZ131164 PQQ131143:PQV131164 QAM131143:QAR131164 QKI131143:QKN131164 QUE131143:QUJ131164 REA131143:REF131164 RNW131143:ROB131164 RXS131143:RXX131164 SHO131143:SHT131164 SRK131143:SRP131164 TBG131143:TBL131164 TLC131143:TLH131164 TUY131143:TVD131164 UEU131143:UEZ131164 UOQ131143:UOV131164 UYM131143:UYR131164 VII131143:VIN131164 VSE131143:VSJ131164 WCA131143:WCF131164 WLW131143:WMB131164 WVS131143:WVX131164 K196679:P196700 JG196679:JL196700 TC196679:TH196700 ACY196679:ADD196700 AMU196679:AMZ196700 AWQ196679:AWV196700 BGM196679:BGR196700 BQI196679:BQN196700 CAE196679:CAJ196700 CKA196679:CKF196700 CTW196679:CUB196700 DDS196679:DDX196700 DNO196679:DNT196700 DXK196679:DXP196700 EHG196679:EHL196700 ERC196679:ERH196700 FAY196679:FBD196700 FKU196679:FKZ196700 FUQ196679:FUV196700 GEM196679:GER196700 GOI196679:GON196700 GYE196679:GYJ196700 HIA196679:HIF196700 HRW196679:HSB196700 IBS196679:IBX196700 ILO196679:ILT196700 IVK196679:IVP196700 JFG196679:JFL196700 JPC196679:JPH196700 JYY196679:JZD196700 KIU196679:KIZ196700 KSQ196679:KSV196700 LCM196679:LCR196700 LMI196679:LMN196700 LWE196679:LWJ196700 MGA196679:MGF196700 MPW196679:MQB196700 MZS196679:MZX196700 NJO196679:NJT196700 NTK196679:NTP196700 ODG196679:ODL196700 ONC196679:ONH196700 OWY196679:OXD196700 PGU196679:PGZ196700 PQQ196679:PQV196700 QAM196679:QAR196700 QKI196679:QKN196700 QUE196679:QUJ196700 REA196679:REF196700 RNW196679:ROB196700 RXS196679:RXX196700 SHO196679:SHT196700 SRK196679:SRP196700 TBG196679:TBL196700 TLC196679:TLH196700 TUY196679:TVD196700 UEU196679:UEZ196700 UOQ196679:UOV196700 UYM196679:UYR196700 VII196679:VIN196700 VSE196679:VSJ196700 WCA196679:WCF196700 WLW196679:WMB196700 WVS196679:WVX196700 K262215:P262236 JG262215:JL262236 TC262215:TH262236 ACY262215:ADD262236 AMU262215:AMZ262236 AWQ262215:AWV262236 BGM262215:BGR262236 BQI262215:BQN262236 CAE262215:CAJ262236 CKA262215:CKF262236 CTW262215:CUB262236 DDS262215:DDX262236 DNO262215:DNT262236 DXK262215:DXP262236 EHG262215:EHL262236 ERC262215:ERH262236 FAY262215:FBD262236 FKU262215:FKZ262236 FUQ262215:FUV262236 GEM262215:GER262236 GOI262215:GON262236 GYE262215:GYJ262236 HIA262215:HIF262236 HRW262215:HSB262236 IBS262215:IBX262236 ILO262215:ILT262236 IVK262215:IVP262236 JFG262215:JFL262236 JPC262215:JPH262236 JYY262215:JZD262236 KIU262215:KIZ262236 KSQ262215:KSV262236 LCM262215:LCR262236 LMI262215:LMN262236 LWE262215:LWJ262236 MGA262215:MGF262236 MPW262215:MQB262236 MZS262215:MZX262236 NJO262215:NJT262236 NTK262215:NTP262236 ODG262215:ODL262236 ONC262215:ONH262236 OWY262215:OXD262236 PGU262215:PGZ262236 PQQ262215:PQV262236 QAM262215:QAR262236 QKI262215:QKN262236 QUE262215:QUJ262236 REA262215:REF262236 RNW262215:ROB262236 RXS262215:RXX262236 SHO262215:SHT262236 SRK262215:SRP262236 TBG262215:TBL262236 TLC262215:TLH262236 TUY262215:TVD262236 UEU262215:UEZ262236 UOQ262215:UOV262236 UYM262215:UYR262236 VII262215:VIN262236 VSE262215:VSJ262236 WCA262215:WCF262236 WLW262215:WMB262236 WVS262215:WVX262236 K327751:P327772 JG327751:JL327772 TC327751:TH327772 ACY327751:ADD327772 AMU327751:AMZ327772 AWQ327751:AWV327772 BGM327751:BGR327772 BQI327751:BQN327772 CAE327751:CAJ327772 CKA327751:CKF327772 CTW327751:CUB327772 DDS327751:DDX327772 DNO327751:DNT327772 DXK327751:DXP327772 EHG327751:EHL327772 ERC327751:ERH327772 FAY327751:FBD327772 FKU327751:FKZ327772 FUQ327751:FUV327772 GEM327751:GER327772 GOI327751:GON327772 GYE327751:GYJ327772 HIA327751:HIF327772 HRW327751:HSB327772 IBS327751:IBX327772 ILO327751:ILT327772 IVK327751:IVP327772 JFG327751:JFL327772 JPC327751:JPH327772 JYY327751:JZD327772 KIU327751:KIZ327772 KSQ327751:KSV327772 LCM327751:LCR327772 LMI327751:LMN327772 LWE327751:LWJ327772 MGA327751:MGF327772 MPW327751:MQB327772 MZS327751:MZX327772 NJO327751:NJT327772 NTK327751:NTP327772 ODG327751:ODL327772 ONC327751:ONH327772 OWY327751:OXD327772 PGU327751:PGZ327772 PQQ327751:PQV327772 QAM327751:QAR327772 QKI327751:QKN327772 QUE327751:QUJ327772 REA327751:REF327772 RNW327751:ROB327772 RXS327751:RXX327772 SHO327751:SHT327772 SRK327751:SRP327772 TBG327751:TBL327772 TLC327751:TLH327772 TUY327751:TVD327772 UEU327751:UEZ327772 UOQ327751:UOV327772 UYM327751:UYR327772 VII327751:VIN327772 VSE327751:VSJ327772 WCA327751:WCF327772 WLW327751:WMB327772 WVS327751:WVX327772 K393287:P393308 JG393287:JL393308 TC393287:TH393308 ACY393287:ADD393308 AMU393287:AMZ393308 AWQ393287:AWV393308 BGM393287:BGR393308 BQI393287:BQN393308 CAE393287:CAJ393308 CKA393287:CKF393308 CTW393287:CUB393308 DDS393287:DDX393308 DNO393287:DNT393308 DXK393287:DXP393308 EHG393287:EHL393308 ERC393287:ERH393308 FAY393287:FBD393308 FKU393287:FKZ393308 FUQ393287:FUV393308 GEM393287:GER393308 GOI393287:GON393308 GYE393287:GYJ393308 HIA393287:HIF393308 HRW393287:HSB393308 IBS393287:IBX393308 ILO393287:ILT393308 IVK393287:IVP393308 JFG393287:JFL393308 JPC393287:JPH393308 JYY393287:JZD393308 KIU393287:KIZ393308 KSQ393287:KSV393308 LCM393287:LCR393308 LMI393287:LMN393308 LWE393287:LWJ393308 MGA393287:MGF393308 MPW393287:MQB393308 MZS393287:MZX393308 NJO393287:NJT393308 NTK393287:NTP393308 ODG393287:ODL393308 ONC393287:ONH393308 OWY393287:OXD393308 PGU393287:PGZ393308 PQQ393287:PQV393308 QAM393287:QAR393308 QKI393287:QKN393308 QUE393287:QUJ393308 REA393287:REF393308 RNW393287:ROB393308 RXS393287:RXX393308 SHO393287:SHT393308 SRK393287:SRP393308 TBG393287:TBL393308 TLC393287:TLH393308 TUY393287:TVD393308 UEU393287:UEZ393308 UOQ393287:UOV393308 UYM393287:UYR393308 VII393287:VIN393308 VSE393287:VSJ393308 WCA393287:WCF393308 WLW393287:WMB393308 WVS393287:WVX393308 K458823:P458844 JG458823:JL458844 TC458823:TH458844 ACY458823:ADD458844 AMU458823:AMZ458844 AWQ458823:AWV458844 BGM458823:BGR458844 BQI458823:BQN458844 CAE458823:CAJ458844 CKA458823:CKF458844 CTW458823:CUB458844 DDS458823:DDX458844 DNO458823:DNT458844 DXK458823:DXP458844 EHG458823:EHL458844 ERC458823:ERH458844 FAY458823:FBD458844 FKU458823:FKZ458844 FUQ458823:FUV458844 GEM458823:GER458844 GOI458823:GON458844 GYE458823:GYJ458844 HIA458823:HIF458844 HRW458823:HSB458844 IBS458823:IBX458844 ILO458823:ILT458844 IVK458823:IVP458844 JFG458823:JFL458844 JPC458823:JPH458844 JYY458823:JZD458844 KIU458823:KIZ458844 KSQ458823:KSV458844 LCM458823:LCR458844 LMI458823:LMN458844 LWE458823:LWJ458844 MGA458823:MGF458844 MPW458823:MQB458844 MZS458823:MZX458844 NJO458823:NJT458844 NTK458823:NTP458844 ODG458823:ODL458844 ONC458823:ONH458844 OWY458823:OXD458844 PGU458823:PGZ458844 PQQ458823:PQV458844 QAM458823:QAR458844 QKI458823:QKN458844 QUE458823:QUJ458844 REA458823:REF458844 RNW458823:ROB458844 RXS458823:RXX458844 SHO458823:SHT458844 SRK458823:SRP458844 TBG458823:TBL458844 TLC458823:TLH458844 TUY458823:TVD458844 UEU458823:UEZ458844 UOQ458823:UOV458844 UYM458823:UYR458844 VII458823:VIN458844 VSE458823:VSJ458844 WCA458823:WCF458844 WLW458823:WMB458844 WVS458823:WVX458844 K524359:P524380 JG524359:JL524380 TC524359:TH524380 ACY524359:ADD524380 AMU524359:AMZ524380 AWQ524359:AWV524380 BGM524359:BGR524380 BQI524359:BQN524380 CAE524359:CAJ524380 CKA524359:CKF524380 CTW524359:CUB524380 DDS524359:DDX524380 DNO524359:DNT524380 DXK524359:DXP524380 EHG524359:EHL524380 ERC524359:ERH524380 FAY524359:FBD524380 FKU524359:FKZ524380 FUQ524359:FUV524380 GEM524359:GER524380 GOI524359:GON524380 GYE524359:GYJ524380 HIA524359:HIF524380 HRW524359:HSB524380 IBS524359:IBX524380 ILO524359:ILT524380 IVK524359:IVP524380 JFG524359:JFL524380 JPC524359:JPH524380 JYY524359:JZD524380 KIU524359:KIZ524380 KSQ524359:KSV524380 LCM524359:LCR524380 LMI524359:LMN524380 LWE524359:LWJ524380 MGA524359:MGF524380 MPW524359:MQB524380 MZS524359:MZX524380 NJO524359:NJT524380 NTK524359:NTP524380 ODG524359:ODL524380 ONC524359:ONH524380 OWY524359:OXD524380 PGU524359:PGZ524380 PQQ524359:PQV524380 QAM524359:QAR524380 QKI524359:QKN524380 QUE524359:QUJ524380 REA524359:REF524380 RNW524359:ROB524380 RXS524359:RXX524380 SHO524359:SHT524380 SRK524359:SRP524380 TBG524359:TBL524380 TLC524359:TLH524380 TUY524359:TVD524380 UEU524359:UEZ524380 UOQ524359:UOV524380 UYM524359:UYR524380 VII524359:VIN524380 VSE524359:VSJ524380 WCA524359:WCF524380 WLW524359:WMB524380 WVS524359:WVX524380 K589895:P589916 JG589895:JL589916 TC589895:TH589916 ACY589895:ADD589916 AMU589895:AMZ589916 AWQ589895:AWV589916 BGM589895:BGR589916 BQI589895:BQN589916 CAE589895:CAJ589916 CKA589895:CKF589916 CTW589895:CUB589916 DDS589895:DDX589916 DNO589895:DNT589916 DXK589895:DXP589916 EHG589895:EHL589916 ERC589895:ERH589916 FAY589895:FBD589916 FKU589895:FKZ589916 FUQ589895:FUV589916 GEM589895:GER589916 GOI589895:GON589916 GYE589895:GYJ589916 HIA589895:HIF589916 HRW589895:HSB589916 IBS589895:IBX589916 ILO589895:ILT589916 IVK589895:IVP589916 JFG589895:JFL589916 JPC589895:JPH589916 JYY589895:JZD589916 KIU589895:KIZ589916 KSQ589895:KSV589916 LCM589895:LCR589916 LMI589895:LMN589916 LWE589895:LWJ589916 MGA589895:MGF589916 MPW589895:MQB589916 MZS589895:MZX589916 NJO589895:NJT589916 NTK589895:NTP589916 ODG589895:ODL589916 ONC589895:ONH589916 OWY589895:OXD589916 PGU589895:PGZ589916 PQQ589895:PQV589916 QAM589895:QAR589916 QKI589895:QKN589916 QUE589895:QUJ589916 REA589895:REF589916 RNW589895:ROB589916 RXS589895:RXX589916 SHO589895:SHT589916 SRK589895:SRP589916 TBG589895:TBL589916 TLC589895:TLH589916 TUY589895:TVD589916 UEU589895:UEZ589916 UOQ589895:UOV589916 UYM589895:UYR589916 VII589895:VIN589916 VSE589895:VSJ589916 WCA589895:WCF589916 WLW589895:WMB589916 WVS589895:WVX589916 K655431:P655452 JG655431:JL655452 TC655431:TH655452 ACY655431:ADD655452 AMU655431:AMZ655452 AWQ655431:AWV655452 BGM655431:BGR655452 BQI655431:BQN655452 CAE655431:CAJ655452 CKA655431:CKF655452 CTW655431:CUB655452 DDS655431:DDX655452 DNO655431:DNT655452 DXK655431:DXP655452 EHG655431:EHL655452 ERC655431:ERH655452 FAY655431:FBD655452 FKU655431:FKZ655452 FUQ655431:FUV655452 GEM655431:GER655452 GOI655431:GON655452 GYE655431:GYJ655452 HIA655431:HIF655452 HRW655431:HSB655452 IBS655431:IBX655452 ILO655431:ILT655452 IVK655431:IVP655452 JFG655431:JFL655452 JPC655431:JPH655452 JYY655431:JZD655452 KIU655431:KIZ655452 KSQ655431:KSV655452 LCM655431:LCR655452 LMI655431:LMN655452 LWE655431:LWJ655452 MGA655431:MGF655452 MPW655431:MQB655452 MZS655431:MZX655452 NJO655431:NJT655452 NTK655431:NTP655452 ODG655431:ODL655452 ONC655431:ONH655452 OWY655431:OXD655452 PGU655431:PGZ655452 PQQ655431:PQV655452 QAM655431:QAR655452 QKI655431:QKN655452 QUE655431:QUJ655452 REA655431:REF655452 RNW655431:ROB655452 RXS655431:RXX655452 SHO655431:SHT655452 SRK655431:SRP655452 TBG655431:TBL655452 TLC655431:TLH655452 TUY655431:TVD655452 UEU655431:UEZ655452 UOQ655431:UOV655452 UYM655431:UYR655452 VII655431:VIN655452 VSE655431:VSJ655452 WCA655431:WCF655452 WLW655431:WMB655452 WVS655431:WVX655452 K720967:P720988 JG720967:JL720988 TC720967:TH720988 ACY720967:ADD720988 AMU720967:AMZ720988 AWQ720967:AWV720988 BGM720967:BGR720988 BQI720967:BQN720988 CAE720967:CAJ720988 CKA720967:CKF720988 CTW720967:CUB720988 DDS720967:DDX720988 DNO720967:DNT720988 DXK720967:DXP720988 EHG720967:EHL720988 ERC720967:ERH720988 FAY720967:FBD720988 FKU720967:FKZ720988 FUQ720967:FUV720988 GEM720967:GER720988 GOI720967:GON720988 GYE720967:GYJ720988 HIA720967:HIF720988 HRW720967:HSB720988 IBS720967:IBX720988 ILO720967:ILT720988 IVK720967:IVP720988 JFG720967:JFL720988 JPC720967:JPH720988 JYY720967:JZD720988 KIU720967:KIZ720988 KSQ720967:KSV720988 LCM720967:LCR720988 LMI720967:LMN720988 LWE720967:LWJ720988 MGA720967:MGF720988 MPW720967:MQB720988 MZS720967:MZX720988 NJO720967:NJT720988 NTK720967:NTP720988 ODG720967:ODL720988 ONC720967:ONH720988 OWY720967:OXD720988 PGU720967:PGZ720988 PQQ720967:PQV720988 QAM720967:QAR720988 QKI720967:QKN720988 QUE720967:QUJ720988 REA720967:REF720988 RNW720967:ROB720988 RXS720967:RXX720988 SHO720967:SHT720988 SRK720967:SRP720988 TBG720967:TBL720988 TLC720967:TLH720988 TUY720967:TVD720988 UEU720967:UEZ720988 UOQ720967:UOV720988 UYM720967:UYR720988 VII720967:VIN720988 VSE720967:VSJ720988 WCA720967:WCF720988 WLW720967:WMB720988 WVS720967:WVX720988 K786503:P786524 JG786503:JL786524 TC786503:TH786524 ACY786503:ADD786524 AMU786503:AMZ786524 AWQ786503:AWV786524 BGM786503:BGR786524 BQI786503:BQN786524 CAE786503:CAJ786524 CKA786503:CKF786524 CTW786503:CUB786524 DDS786503:DDX786524 DNO786503:DNT786524 DXK786503:DXP786524 EHG786503:EHL786524 ERC786503:ERH786524 FAY786503:FBD786524 FKU786503:FKZ786524 FUQ786503:FUV786524 GEM786503:GER786524 GOI786503:GON786524 GYE786503:GYJ786524 HIA786503:HIF786524 HRW786503:HSB786524 IBS786503:IBX786524 ILO786503:ILT786524 IVK786503:IVP786524 JFG786503:JFL786524 JPC786503:JPH786524 JYY786503:JZD786524 KIU786503:KIZ786524 KSQ786503:KSV786524 LCM786503:LCR786524 LMI786503:LMN786524 LWE786503:LWJ786524 MGA786503:MGF786524 MPW786503:MQB786524 MZS786503:MZX786524 NJO786503:NJT786524 NTK786503:NTP786524 ODG786503:ODL786524 ONC786503:ONH786524 OWY786503:OXD786524 PGU786503:PGZ786524 PQQ786503:PQV786524 QAM786503:QAR786524 QKI786503:QKN786524 QUE786503:QUJ786524 REA786503:REF786524 RNW786503:ROB786524 RXS786503:RXX786524 SHO786503:SHT786524 SRK786503:SRP786524 TBG786503:TBL786524 TLC786503:TLH786524 TUY786503:TVD786524 UEU786503:UEZ786524 UOQ786503:UOV786524 UYM786503:UYR786524 VII786503:VIN786524 VSE786503:VSJ786524 WCA786503:WCF786524 WLW786503:WMB786524 WVS786503:WVX786524 K852039:P852060 JG852039:JL852060 TC852039:TH852060 ACY852039:ADD852060 AMU852039:AMZ852060 AWQ852039:AWV852060 BGM852039:BGR852060 BQI852039:BQN852060 CAE852039:CAJ852060 CKA852039:CKF852060 CTW852039:CUB852060 DDS852039:DDX852060 DNO852039:DNT852060 DXK852039:DXP852060 EHG852039:EHL852060 ERC852039:ERH852060 FAY852039:FBD852060 FKU852039:FKZ852060 FUQ852039:FUV852060 GEM852039:GER852060 GOI852039:GON852060 GYE852039:GYJ852060 HIA852039:HIF852060 HRW852039:HSB852060 IBS852039:IBX852060 ILO852039:ILT852060 IVK852039:IVP852060 JFG852039:JFL852060 JPC852039:JPH852060 JYY852039:JZD852060 KIU852039:KIZ852060 KSQ852039:KSV852060 LCM852039:LCR852060 LMI852039:LMN852060 LWE852039:LWJ852060 MGA852039:MGF852060 MPW852039:MQB852060 MZS852039:MZX852060 NJO852039:NJT852060 NTK852039:NTP852060 ODG852039:ODL852060 ONC852039:ONH852060 OWY852039:OXD852060 PGU852039:PGZ852060 PQQ852039:PQV852060 QAM852039:QAR852060 QKI852039:QKN852060 QUE852039:QUJ852060 REA852039:REF852060 RNW852039:ROB852060 RXS852039:RXX852060 SHO852039:SHT852060 SRK852039:SRP852060 TBG852039:TBL852060 TLC852039:TLH852060 TUY852039:TVD852060 UEU852039:UEZ852060 UOQ852039:UOV852060 UYM852039:UYR852060 VII852039:VIN852060 VSE852039:VSJ852060 WCA852039:WCF852060 WLW852039:WMB852060 WVS852039:WVX852060 K917575:P917596 JG917575:JL917596 TC917575:TH917596 ACY917575:ADD917596 AMU917575:AMZ917596 AWQ917575:AWV917596 BGM917575:BGR917596 BQI917575:BQN917596 CAE917575:CAJ917596 CKA917575:CKF917596 CTW917575:CUB917596 DDS917575:DDX917596 DNO917575:DNT917596 DXK917575:DXP917596 EHG917575:EHL917596 ERC917575:ERH917596 FAY917575:FBD917596 FKU917575:FKZ917596 FUQ917575:FUV917596 GEM917575:GER917596 GOI917575:GON917596 GYE917575:GYJ917596 HIA917575:HIF917596 HRW917575:HSB917596 IBS917575:IBX917596 ILO917575:ILT917596 IVK917575:IVP917596 JFG917575:JFL917596 JPC917575:JPH917596 JYY917575:JZD917596 KIU917575:KIZ917596 KSQ917575:KSV917596 LCM917575:LCR917596 LMI917575:LMN917596 LWE917575:LWJ917596 MGA917575:MGF917596 MPW917575:MQB917596 MZS917575:MZX917596 NJO917575:NJT917596 NTK917575:NTP917596 ODG917575:ODL917596 ONC917575:ONH917596 OWY917575:OXD917596 PGU917575:PGZ917596 PQQ917575:PQV917596 QAM917575:QAR917596 QKI917575:QKN917596 QUE917575:QUJ917596 REA917575:REF917596 RNW917575:ROB917596 RXS917575:RXX917596 SHO917575:SHT917596 SRK917575:SRP917596 TBG917575:TBL917596 TLC917575:TLH917596 TUY917575:TVD917596 UEU917575:UEZ917596 UOQ917575:UOV917596 UYM917575:UYR917596 VII917575:VIN917596 VSE917575:VSJ917596 WCA917575:WCF917596 WLW917575:WMB917596 WVS917575:WVX917596 K983111:P983132 JG983111:JL983132 TC983111:TH983132 ACY983111:ADD983132 AMU983111:AMZ983132 AWQ983111:AWV983132 BGM983111:BGR983132 BQI983111:BQN983132 CAE983111:CAJ983132 CKA983111:CKF983132 CTW983111:CUB983132 DDS983111:DDX983132 DNO983111:DNT983132 DXK983111:DXP983132 EHG983111:EHL983132 ERC983111:ERH983132 FAY983111:FBD983132 FKU983111:FKZ983132 FUQ983111:FUV983132 GEM983111:GER983132 GOI983111:GON983132 GYE983111:GYJ983132 HIA983111:HIF983132 HRW983111:HSB983132 IBS983111:IBX983132 ILO983111:ILT983132 IVK983111:IVP983132 JFG983111:JFL983132 JPC983111:JPH983132 JYY983111:JZD983132 KIU983111:KIZ983132 KSQ983111:KSV983132 LCM983111:LCR983132 LMI983111:LMN983132 LWE983111:LWJ983132 MGA983111:MGF983132 MPW983111:MQB983132 MZS983111:MZX983132 NJO983111:NJT983132 NTK983111:NTP983132 ODG983111:ODL983132 ONC983111:ONH983132 OWY983111:OXD983132 PGU983111:PGZ983132 PQQ983111:PQV983132 QAM983111:QAR983132 QKI983111:QKN983132 QUE983111:QUJ983132 REA983111:REF983132 RNW983111:ROB983132 RXS983111:RXX983132 SHO983111:SHT983132 SRK983111:SRP983132 TBG983111:TBL983132 TLC983111:TLH983132 TUY983111:TVD983132 UEU983111:UEZ983132 UOQ983111:UOV983132 UYM983111:UYR983132 VII983111:VIN983132 VSE983111:VSJ983132 WCA983111:WCF983132 WLW983111:WMB983132 WVS983111:WVX983132 H94:I129 JD94:JE129 SZ94:TA129 ACV94:ACW129 AMR94:AMS129 AWN94:AWO129 BGJ94:BGK129 BQF94:BQG129 CAB94:CAC129 CJX94:CJY129 CTT94:CTU129 DDP94:DDQ129 DNL94:DNM129 DXH94:DXI129 EHD94:EHE129 EQZ94:ERA129 FAV94:FAW129 FKR94:FKS129 FUN94:FUO129 GEJ94:GEK129 GOF94:GOG129 GYB94:GYC129 HHX94:HHY129 HRT94:HRU129 IBP94:IBQ129 ILL94:ILM129 IVH94:IVI129 JFD94:JFE129 JOZ94:JPA129 JYV94:JYW129 KIR94:KIS129 KSN94:KSO129 LCJ94:LCK129 LMF94:LMG129 LWB94:LWC129 MFX94:MFY129 MPT94:MPU129 MZP94:MZQ129 NJL94:NJM129 NTH94:NTI129 ODD94:ODE129 OMZ94:ONA129 OWV94:OWW129 PGR94:PGS129 PQN94:PQO129 QAJ94:QAK129 QKF94:QKG129 QUB94:QUC129 RDX94:RDY129 RNT94:RNU129 RXP94:RXQ129 SHL94:SHM129 SRH94:SRI129 TBD94:TBE129 TKZ94:TLA129 TUV94:TUW129 UER94:UES129 UON94:UOO129 UYJ94:UYK129 VIF94:VIG129 VSB94:VSC129 WBX94:WBY129 WLT94:WLU129 WVP94:WVQ129 H65630:I65665 JD65630:JE65665 SZ65630:TA65665 ACV65630:ACW65665 AMR65630:AMS65665 AWN65630:AWO65665 BGJ65630:BGK65665 BQF65630:BQG65665 CAB65630:CAC65665 CJX65630:CJY65665 CTT65630:CTU65665 DDP65630:DDQ65665 DNL65630:DNM65665 DXH65630:DXI65665 EHD65630:EHE65665 EQZ65630:ERA65665 FAV65630:FAW65665 FKR65630:FKS65665 FUN65630:FUO65665 GEJ65630:GEK65665 GOF65630:GOG65665 GYB65630:GYC65665 HHX65630:HHY65665 HRT65630:HRU65665 IBP65630:IBQ65665 ILL65630:ILM65665 IVH65630:IVI65665 JFD65630:JFE65665 JOZ65630:JPA65665 JYV65630:JYW65665 KIR65630:KIS65665 KSN65630:KSO65665 LCJ65630:LCK65665 LMF65630:LMG65665 LWB65630:LWC65665 MFX65630:MFY65665 MPT65630:MPU65665 MZP65630:MZQ65665 NJL65630:NJM65665 NTH65630:NTI65665 ODD65630:ODE65665 OMZ65630:ONA65665 OWV65630:OWW65665 PGR65630:PGS65665 PQN65630:PQO65665 QAJ65630:QAK65665 QKF65630:QKG65665 QUB65630:QUC65665 RDX65630:RDY65665 RNT65630:RNU65665 RXP65630:RXQ65665 SHL65630:SHM65665 SRH65630:SRI65665 TBD65630:TBE65665 TKZ65630:TLA65665 TUV65630:TUW65665 UER65630:UES65665 UON65630:UOO65665 UYJ65630:UYK65665 VIF65630:VIG65665 VSB65630:VSC65665 WBX65630:WBY65665 WLT65630:WLU65665 WVP65630:WVQ65665 H131166:I131201 JD131166:JE131201 SZ131166:TA131201 ACV131166:ACW131201 AMR131166:AMS131201 AWN131166:AWO131201 BGJ131166:BGK131201 BQF131166:BQG131201 CAB131166:CAC131201 CJX131166:CJY131201 CTT131166:CTU131201 DDP131166:DDQ131201 DNL131166:DNM131201 DXH131166:DXI131201 EHD131166:EHE131201 EQZ131166:ERA131201 FAV131166:FAW131201 FKR131166:FKS131201 FUN131166:FUO131201 GEJ131166:GEK131201 GOF131166:GOG131201 GYB131166:GYC131201 HHX131166:HHY131201 HRT131166:HRU131201 IBP131166:IBQ131201 ILL131166:ILM131201 IVH131166:IVI131201 JFD131166:JFE131201 JOZ131166:JPA131201 JYV131166:JYW131201 KIR131166:KIS131201 KSN131166:KSO131201 LCJ131166:LCK131201 LMF131166:LMG131201 LWB131166:LWC131201 MFX131166:MFY131201 MPT131166:MPU131201 MZP131166:MZQ131201 NJL131166:NJM131201 NTH131166:NTI131201 ODD131166:ODE131201 OMZ131166:ONA131201 OWV131166:OWW131201 PGR131166:PGS131201 PQN131166:PQO131201 QAJ131166:QAK131201 QKF131166:QKG131201 QUB131166:QUC131201 RDX131166:RDY131201 RNT131166:RNU131201 RXP131166:RXQ131201 SHL131166:SHM131201 SRH131166:SRI131201 TBD131166:TBE131201 TKZ131166:TLA131201 TUV131166:TUW131201 UER131166:UES131201 UON131166:UOO131201 UYJ131166:UYK131201 VIF131166:VIG131201 VSB131166:VSC131201 WBX131166:WBY131201 WLT131166:WLU131201 WVP131166:WVQ131201 H196702:I196737 JD196702:JE196737 SZ196702:TA196737 ACV196702:ACW196737 AMR196702:AMS196737 AWN196702:AWO196737 BGJ196702:BGK196737 BQF196702:BQG196737 CAB196702:CAC196737 CJX196702:CJY196737 CTT196702:CTU196737 DDP196702:DDQ196737 DNL196702:DNM196737 DXH196702:DXI196737 EHD196702:EHE196737 EQZ196702:ERA196737 FAV196702:FAW196737 FKR196702:FKS196737 FUN196702:FUO196737 GEJ196702:GEK196737 GOF196702:GOG196737 GYB196702:GYC196737 HHX196702:HHY196737 HRT196702:HRU196737 IBP196702:IBQ196737 ILL196702:ILM196737 IVH196702:IVI196737 JFD196702:JFE196737 JOZ196702:JPA196737 JYV196702:JYW196737 KIR196702:KIS196737 KSN196702:KSO196737 LCJ196702:LCK196737 LMF196702:LMG196737 LWB196702:LWC196737 MFX196702:MFY196737 MPT196702:MPU196737 MZP196702:MZQ196737 NJL196702:NJM196737 NTH196702:NTI196737 ODD196702:ODE196737 OMZ196702:ONA196737 OWV196702:OWW196737 PGR196702:PGS196737 PQN196702:PQO196737 QAJ196702:QAK196737 QKF196702:QKG196737 QUB196702:QUC196737 RDX196702:RDY196737 RNT196702:RNU196737 RXP196702:RXQ196737 SHL196702:SHM196737 SRH196702:SRI196737 TBD196702:TBE196737 TKZ196702:TLA196737 TUV196702:TUW196737 UER196702:UES196737 UON196702:UOO196737 UYJ196702:UYK196737 VIF196702:VIG196737 VSB196702:VSC196737 WBX196702:WBY196737 WLT196702:WLU196737 WVP196702:WVQ196737 H262238:I262273 JD262238:JE262273 SZ262238:TA262273 ACV262238:ACW262273 AMR262238:AMS262273 AWN262238:AWO262273 BGJ262238:BGK262273 BQF262238:BQG262273 CAB262238:CAC262273 CJX262238:CJY262273 CTT262238:CTU262273 DDP262238:DDQ262273 DNL262238:DNM262273 DXH262238:DXI262273 EHD262238:EHE262273 EQZ262238:ERA262273 FAV262238:FAW262273 FKR262238:FKS262273 FUN262238:FUO262273 GEJ262238:GEK262273 GOF262238:GOG262273 GYB262238:GYC262273 HHX262238:HHY262273 HRT262238:HRU262273 IBP262238:IBQ262273 ILL262238:ILM262273 IVH262238:IVI262273 JFD262238:JFE262273 JOZ262238:JPA262273 JYV262238:JYW262273 KIR262238:KIS262273 KSN262238:KSO262273 LCJ262238:LCK262273 LMF262238:LMG262273 LWB262238:LWC262273 MFX262238:MFY262273 MPT262238:MPU262273 MZP262238:MZQ262273 NJL262238:NJM262273 NTH262238:NTI262273 ODD262238:ODE262273 OMZ262238:ONA262273 OWV262238:OWW262273 PGR262238:PGS262273 PQN262238:PQO262273 QAJ262238:QAK262273 QKF262238:QKG262273 QUB262238:QUC262273 RDX262238:RDY262273 RNT262238:RNU262273 RXP262238:RXQ262273 SHL262238:SHM262273 SRH262238:SRI262273 TBD262238:TBE262273 TKZ262238:TLA262273 TUV262238:TUW262273 UER262238:UES262273 UON262238:UOO262273 UYJ262238:UYK262273 VIF262238:VIG262273 VSB262238:VSC262273 WBX262238:WBY262273 WLT262238:WLU262273 WVP262238:WVQ262273 H327774:I327809 JD327774:JE327809 SZ327774:TA327809 ACV327774:ACW327809 AMR327774:AMS327809 AWN327774:AWO327809 BGJ327774:BGK327809 BQF327774:BQG327809 CAB327774:CAC327809 CJX327774:CJY327809 CTT327774:CTU327809 DDP327774:DDQ327809 DNL327774:DNM327809 DXH327774:DXI327809 EHD327774:EHE327809 EQZ327774:ERA327809 FAV327774:FAW327809 FKR327774:FKS327809 FUN327774:FUO327809 GEJ327774:GEK327809 GOF327774:GOG327809 GYB327774:GYC327809 HHX327774:HHY327809 HRT327774:HRU327809 IBP327774:IBQ327809 ILL327774:ILM327809 IVH327774:IVI327809 JFD327774:JFE327809 JOZ327774:JPA327809 JYV327774:JYW327809 KIR327774:KIS327809 KSN327774:KSO327809 LCJ327774:LCK327809 LMF327774:LMG327809 LWB327774:LWC327809 MFX327774:MFY327809 MPT327774:MPU327809 MZP327774:MZQ327809 NJL327774:NJM327809 NTH327774:NTI327809 ODD327774:ODE327809 OMZ327774:ONA327809 OWV327774:OWW327809 PGR327774:PGS327809 PQN327774:PQO327809 QAJ327774:QAK327809 QKF327774:QKG327809 QUB327774:QUC327809 RDX327774:RDY327809 RNT327774:RNU327809 RXP327774:RXQ327809 SHL327774:SHM327809 SRH327774:SRI327809 TBD327774:TBE327809 TKZ327774:TLA327809 TUV327774:TUW327809 UER327774:UES327809 UON327774:UOO327809 UYJ327774:UYK327809 VIF327774:VIG327809 VSB327774:VSC327809 WBX327774:WBY327809 WLT327774:WLU327809 WVP327774:WVQ327809 H393310:I393345 JD393310:JE393345 SZ393310:TA393345 ACV393310:ACW393345 AMR393310:AMS393345 AWN393310:AWO393345 BGJ393310:BGK393345 BQF393310:BQG393345 CAB393310:CAC393345 CJX393310:CJY393345 CTT393310:CTU393345 DDP393310:DDQ393345 DNL393310:DNM393345 DXH393310:DXI393345 EHD393310:EHE393345 EQZ393310:ERA393345 FAV393310:FAW393345 FKR393310:FKS393345 FUN393310:FUO393345 GEJ393310:GEK393345 GOF393310:GOG393345 GYB393310:GYC393345 HHX393310:HHY393345 HRT393310:HRU393345 IBP393310:IBQ393345 ILL393310:ILM393345 IVH393310:IVI393345 JFD393310:JFE393345 JOZ393310:JPA393345 JYV393310:JYW393345 KIR393310:KIS393345 KSN393310:KSO393345 LCJ393310:LCK393345 LMF393310:LMG393345 LWB393310:LWC393345 MFX393310:MFY393345 MPT393310:MPU393345 MZP393310:MZQ393345 NJL393310:NJM393345 NTH393310:NTI393345 ODD393310:ODE393345 OMZ393310:ONA393345 OWV393310:OWW393345 PGR393310:PGS393345 PQN393310:PQO393345 QAJ393310:QAK393345 QKF393310:QKG393345 QUB393310:QUC393345 RDX393310:RDY393345 RNT393310:RNU393345 RXP393310:RXQ393345 SHL393310:SHM393345 SRH393310:SRI393345 TBD393310:TBE393345 TKZ393310:TLA393345 TUV393310:TUW393345 UER393310:UES393345 UON393310:UOO393345 UYJ393310:UYK393345 VIF393310:VIG393345 VSB393310:VSC393345 WBX393310:WBY393345 WLT393310:WLU393345 WVP393310:WVQ393345 H458846:I458881 JD458846:JE458881 SZ458846:TA458881 ACV458846:ACW458881 AMR458846:AMS458881 AWN458846:AWO458881 BGJ458846:BGK458881 BQF458846:BQG458881 CAB458846:CAC458881 CJX458846:CJY458881 CTT458846:CTU458881 DDP458846:DDQ458881 DNL458846:DNM458881 DXH458846:DXI458881 EHD458846:EHE458881 EQZ458846:ERA458881 FAV458846:FAW458881 FKR458846:FKS458881 FUN458846:FUO458881 GEJ458846:GEK458881 GOF458846:GOG458881 GYB458846:GYC458881 HHX458846:HHY458881 HRT458846:HRU458881 IBP458846:IBQ458881 ILL458846:ILM458881 IVH458846:IVI458881 JFD458846:JFE458881 JOZ458846:JPA458881 JYV458846:JYW458881 KIR458846:KIS458881 KSN458846:KSO458881 LCJ458846:LCK458881 LMF458846:LMG458881 LWB458846:LWC458881 MFX458846:MFY458881 MPT458846:MPU458881 MZP458846:MZQ458881 NJL458846:NJM458881 NTH458846:NTI458881 ODD458846:ODE458881 OMZ458846:ONA458881 OWV458846:OWW458881 PGR458846:PGS458881 PQN458846:PQO458881 QAJ458846:QAK458881 QKF458846:QKG458881 QUB458846:QUC458881 RDX458846:RDY458881 RNT458846:RNU458881 RXP458846:RXQ458881 SHL458846:SHM458881 SRH458846:SRI458881 TBD458846:TBE458881 TKZ458846:TLA458881 TUV458846:TUW458881 UER458846:UES458881 UON458846:UOO458881 UYJ458846:UYK458881 VIF458846:VIG458881 VSB458846:VSC458881 WBX458846:WBY458881 WLT458846:WLU458881 WVP458846:WVQ458881 H524382:I524417 JD524382:JE524417 SZ524382:TA524417 ACV524382:ACW524417 AMR524382:AMS524417 AWN524382:AWO524417 BGJ524382:BGK524417 BQF524382:BQG524417 CAB524382:CAC524417 CJX524382:CJY524417 CTT524382:CTU524417 DDP524382:DDQ524417 DNL524382:DNM524417 DXH524382:DXI524417 EHD524382:EHE524417 EQZ524382:ERA524417 FAV524382:FAW524417 FKR524382:FKS524417 FUN524382:FUO524417 GEJ524382:GEK524417 GOF524382:GOG524417 GYB524382:GYC524417 HHX524382:HHY524417 HRT524382:HRU524417 IBP524382:IBQ524417 ILL524382:ILM524417 IVH524382:IVI524417 JFD524382:JFE524417 JOZ524382:JPA524417 JYV524382:JYW524417 KIR524382:KIS524417 KSN524382:KSO524417 LCJ524382:LCK524417 LMF524382:LMG524417 LWB524382:LWC524417 MFX524382:MFY524417 MPT524382:MPU524417 MZP524382:MZQ524417 NJL524382:NJM524417 NTH524382:NTI524417 ODD524382:ODE524417 OMZ524382:ONA524417 OWV524382:OWW524417 PGR524382:PGS524417 PQN524382:PQO524417 QAJ524382:QAK524417 QKF524382:QKG524417 QUB524382:QUC524417 RDX524382:RDY524417 RNT524382:RNU524417 RXP524382:RXQ524417 SHL524382:SHM524417 SRH524382:SRI524417 TBD524382:TBE524417 TKZ524382:TLA524417 TUV524382:TUW524417 UER524382:UES524417 UON524382:UOO524417 UYJ524382:UYK524417 VIF524382:VIG524417 VSB524382:VSC524417 WBX524382:WBY524417 WLT524382:WLU524417 WVP524382:WVQ524417 H589918:I589953 JD589918:JE589953 SZ589918:TA589953 ACV589918:ACW589953 AMR589918:AMS589953 AWN589918:AWO589953 BGJ589918:BGK589953 BQF589918:BQG589953 CAB589918:CAC589953 CJX589918:CJY589953 CTT589918:CTU589953 DDP589918:DDQ589953 DNL589918:DNM589953 DXH589918:DXI589953 EHD589918:EHE589953 EQZ589918:ERA589953 FAV589918:FAW589953 FKR589918:FKS589953 FUN589918:FUO589953 GEJ589918:GEK589953 GOF589918:GOG589953 GYB589918:GYC589953 HHX589918:HHY589953 HRT589918:HRU589953 IBP589918:IBQ589953 ILL589918:ILM589953 IVH589918:IVI589953 JFD589918:JFE589953 JOZ589918:JPA589953 JYV589918:JYW589953 KIR589918:KIS589953 KSN589918:KSO589953 LCJ589918:LCK589953 LMF589918:LMG589953 LWB589918:LWC589953 MFX589918:MFY589953 MPT589918:MPU589953 MZP589918:MZQ589953 NJL589918:NJM589953 NTH589918:NTI589953 ODD589918:ODE589953 OMZ589918:ONA589953 OWV589918:OWW589953 PGR589918:PGS589953 PQN589918:PQO589953 QAJ589918:QAK589953 QKF589918:QKG589953 QUB589918:QUC589953 RDX589918:RDY589953 RNT589918:RNU589953 RXP589918:RXQ589953 SHL589918:SHM589953 SRH589918:SRI589953 TBD589918:TBE589953 TKZ589918:TLA589953 TUV589918:TUW589953 UER589918:UES589953 UON589918:UOO589953 UYJ589918:UYK589953 VIF589918:VIG589953 VSB589918:VSC589953 WBX589918:WBY589953 WLT589918:WLU589953 WVP589918:WVQ589953 H655454:I655489 JD655454:JE655489 SZ655454:TA655489 ACV655454:ACW655489 AMR655454:AMS655489 AWN655454:AWO655489 BGJ655454:BGK655489 BQF655454:BQG655489 CAB655454:CAC655489 CJX655454:CJY655489 CTT655454:CTU655489 DDP655454:DDQ655489 DNL655454:DNM655489 DXH655454:DXI655489 EHD655454:EHE655489 EQZ655454:ERA655489 FAV655454:FAW655489 FKR655454:FKS655489 FUN655454:FUO655489 GEJ655454:GEK655489 GOF655454:GOG655489 GYB655454:GYC655489 HHX655454:HHY655489 HRT655454:HRU655489 IBP655454:IBQ655489 ILL655454:ILM655489 IVH655454:IVI655489 JFD655454:JFE655489 JOZ655454:JPA655489 JYV655454:JYW655489 KIR655454:KIS655489 KSN655454:KSO655489 LCJ655454:LCK655489 LMF655454:LMG655489 LWB655454:LWC655489 MFX655454:MFY655489 MPT655454:MPU655489 MZP655454:MZQ655489 NJL655454:NJM655489 NTH655454:NTI655489 ODD655454:ODE655489 OMZ655454:ONA655489 OWV655454:OWW655489 PGR655454:PGS655489 PQN655454:PQO655489 QAJ655454:QAK655489 QKF655454:QKG655489 QUB655454:QUC655489 RDX655454:RDY655489 RNT655454:RNU655489 RXP655454:RXQ655489 SHL655454:SHM655489 SRH655454:SRI655489 TBD655454:TBE655489 TKZ655454:TLA655489 TUV655454:TUW655489 UER655454:UES655489 UON655454:UOO655489 UYJ655454:UYK655489 VIF655454:VIG655489 VSB655454:VSC655489 WBX655454:WBY655489 WLT655454:WLU655489 WVP655454:WVQ655489 H720990:I721025 JD720990:JE721025 SZ720990:TA721025 ACV720990:ACW721025 AMR720990:AMS721025 AWN720990:AWO721025 BGJ720990:BGK721025 BQF720990:BQG721025 CAB720990:CAC721025 CJX720990:CJY721025 CTT720990:CTU721025 DDP720990:DDQ721025 DNL720990:DNM721025 DXH720990:DXI721025 EHD720990:EHE721025 EQZ720990:ERA721025 FAV720990:FAW721025 FKR720990:FKS721025 FUN720990:FUO721025 GEJ720990:GEK721025 GOF720990:GOG721025 GYB720990:GYC721025 HHX720990:HHY721025 HRT720990:HRU721025 IBP720990:IBQ721025 ILL720990:ILM721025 IVH720990:IVI721025 JFD720990:JFE721025 JOZ720990:JPA721025 JYV720990:JYW721025 KIR720990:KIS721025 KSN720990:KSO721025 LCJ720990:LCK721025 LMF720990:LMG721025 LWB720990:LWC721025 MFX720990:MFY721025 MPT720990:MPU721025 MZP720990:MZQ721025 NJL720990:NJM721025 NTH720990:NTI721025 ODD720990:ODE721025 OMZ720990:ONA721025 OWV720990:OWW721025 PGR720990:PGS721025 PQN720990:PQO721025 QAJ720990:QAK721025 QKF720990:QKG721025 QUB720990:QUC721025 RDX720990:RDY721025 RNT720990:RNU721025 RXP720990:RXQ721025 SHL720990:SHM721025 SRH720990:SRI721025 TBD720990:TBE721025 TKZ720990:TLA721025 TUV720990:TUW721025 UER720990:UES721025 UON720990:UOO721025 UYJ720990:UYK721025 VIF720990:VIG721025 VSB720990:VSC721025 WBX720990:WBY721025 WLT720990:WLU721025 WVP720990:WVQ721025 H786526:I786561 JD786526:JE786561 SZ786526:TA786561 ACV786526:ACW786561 AMR786526:AMS786561 AWN786526:AWO786561 BGJ786526:BGK786561 BQF786526:BQG786561 CAB786526:CAC786561 CJX786526:CJY786561 CTT786526:CTU786561 DDP786526:DDQ786561 DNL786526:DNM786561 DXH786526:DXI786561 EHD786526:EHE786561 EQZ786526:ERA786561 FAV786526:FAW786561 FKR786526:FKS786561 FUN786526:FUO786561 GEJ786526:GEK786561 GOF786526:GOG786561 GYB786526:GYC786561 HHX786526:HHY786561 HRT786526:HRU786561 IBP786526:IBQ786561 ILL786526:ILM786561 IVH786526:IVI786561 JFD786526:JFE786561 JOZ786526:JPA786561 JYV786526:JYW786561 KIR786526:KIS786561 KSN786526:KSO786561 LCJ786526:LCK786561 LMF786526:LMG786561 LWB786526:LWC786561 MFX786526:MFY786561 MPT786526:MPU786561 MZP786526:MZQ786561 NJL786526:NJM786561 NTH786526:NTI786561 ODD786526:ODE786561 OMZ786526:ONA786561 OWV786526:OWW786561 PGR786526:PGS786561 PQN786526:PQO786561 QAJ786526:QAK786561 QKF786526:QKG786561 QUB786526:QUC786561 RDX786526:RDY786561 RNT786526:RNU786561 RXP786526:RXQ786561 SHL786526:SHM786561 SRH786526:SRI786561 TBD786526:TBE786561 TKZ786526:TLA786561 TUV786526:TUW786561 UER786526:UES786561 UON786526:UOO786561 UYJ786526:UYK786561 VIF786526:VIG786561 VSB786526:VSC786561 WBX786526:WBY786561 WLT786526:WLU786561 WVP786526:WVQ786561 H852062:I852097 JD852062:JE852097 SZ852062:TA852097 ACV852062:ACW852097 AMR852062:AMS852097 AWN852062:AWO852097 BGJ852062:BGK852097 BQF852062:BQG852097 CAB852062:CAC852097 CJX852062:CJY852097 CTT852062:CTU852097 DDP852062:DDQ852097 DNL852062:DNM852097 DXH852062:DXI852097 EHD852062:EHE852097 EQZ852062:ERA852097 FAV852062:FAW852097 FKR852062:FKS852097 FUN852062:FUO852097 GEJ852062:GEK852097 GOF852062:GOG852097 GYB852062:GYC852097 HHX852062:HHY852097 HRT852062:HRU852097 IBP852062:IBQ852097 ILL852062:ILM852097 IVH852062:IVI852097 JFD852062:JFE852097 JOZ852062:JPA852097 JYV852062:JYW852097 KIR852062:KIS852097 KSN852062:KSO852097 LCJ852062:LCK852097 LMF852062:LMG852097 LWB852062:LWC852097 MFX852062:MFY852097 MPT852062:MPU852097 MZP852062:MZQ852097 NJL852062:NJM852097 NTH852062:NTI852097 ODD852062:ODE852097 OMZ852062:ONA852097 OWV852062:OWW852097 PGR852062:PGS852097 PQN852062:PQO852097 QAJ852062:QAK852097 QKF852062:QKG852097 QUB852062:QUC852097 RDX852062:RDY852097 RNT852062:RNU852097 RXP852062:RXQ852097 SHL852062:SHM852097 SRH852062:SRI852097 TBD852062:TBE852097 TKZ852062:TLA852097 TUV852062:TUW852097 UER852062:UES852097 UON852062:UOO852097 UYJ852062:UYK852097 VIF852062:VIG852097 VSB852062:VSC852097 WBX852062:WBY852097 WLT852062:WLU852097 WVP852062:WVQ852097 H917598:I917633 JD917598:JE917633 SZ917598:TA917633 ACV917598:ACW917633 AMR917598:AMS917633 AWN917598:AWO917633 BGJ917598:BGK917633 BQF917598:BQG917633 CAB917598:CAC917633 CJX917598:CJY917633 CTT917598:CTU917633 DDP917598:DDQ917633 DNL917598:DNM917633 DXH917598:DXI917633 EHD917598:EHE917633 EQZ917598:ERA917633 FAV917598:FAW917633 FKR917598:FKS917633 FUN917598:FUO917633 GEJ917598:GEK917633 GOF917598:GOG917633 GYB917598:GYC917633 HHX917598:HHY917633 HRT917598:HRU917633 IBP917598:IBQ917633 ILL917598:ILM917633 IVH917598:IVI917633 JFD917598:JFE917633 JOZ917598:JPA917633 JYV917598:JYW917633 KIR917598:KIS917633 KSN917598:KSO917633 LCJ917598:LCK917633 LMF917598:LMG917633 LWB917598:LWC917633 MFX917598:MFY917633 MPT917598:MPU917633 MZP917598:MZQ917633 NJL917598:NJM917633 NTH917598:NTI917633 ODD917598:ODE917633 OMZ917598:ONA917633 OWV917598:OWW917633 PGR917598:PGS917633 PQN917598:PQO917633 QAJ917598:QAK917633 QKF917598:QKG917633 QUB917598:QUC917633 RDX917598:RDY917633 RNT917598:RNU917633 RXP917598:RXQ917633 SHL917598:SHM917633 SRH917598:SRI917633 TBD917598:TBE917633 TKZ917598:TLA917633 TUV917598:TUW917633 UER917598:UES917633 UON917598:UOO917633 UYJ917598:UYK917633 VIF917598:VIG917633 VSB917598:VSC917633 WBX917598:WBY917633 WLT917598:WLU917633 WVP917598:WVQ917633 H983134:I983169 JD983134:JE983169 SZ983134:TA983169 ACV983134:ACW983169 AMR983134:AMS983169 AWN983134:AWO983169 BGJ983134:BGK983169 BQF983134:BQG983169 CAB983134:CAC983169 CJX983134:CJY983169 CTT983134:CTU983169 DDP983134:DDQ983169 DNL983134:DNM983169 DXH983134:DXI983169 EHD983134:EHE983169 EQZ983134:ERA983169 FAV983134:FAW983169 FKR983134:FKS983169 FUN983134:FUO983169 GEJ983134:GEK983169 GOF983134:GOG983169 GYB983134:GYC983169 HHX983134:HHY983169 HRT983134:HRU983169 IBP983134:IBQ983169 ILL983134:ILM983169 IVH983134:IVI983169 JFD983134:JFE983169 JOZ983134:JPA983169 JYV983134:JYW983169 KIR983134:KIS983169 KSN983134:KSO983169 LCJ983134:LCK983169 LMF983134:LMG983169 LWB983134:LWC983169 MFX983134:MFY983169 MPT983134:MPU983169 MZP983134:MZQ983169 NJL983134:NJM983169 NTH983134:NTI983169 ODD983134:ODE983169 OMZ983134:ONA983169 OWV983134:OWW983169 PGR983134:PGS983169 PQN983134:PQO983169 QAJ983134:QAK983169 QKF983134:QKG983169 QUB983134:QUC983169 RDX983134:RDY983169 RNT983134:RNU983169 RXP983134:RXQ983169 SHL983134:SHM983169 SRH983134:SRI983169 TBD983134:TBE983169 TKZ983134:TLA983169 TUV983134:TUW983169 UER983134:UES983169 UON983134:UOO983169 UYJ983134:UYK983169 VIF983134:VIG983169 VSB983134:VSC983169 WBX983134:WBY983169 WLT983134:WLU983169 WVP983134:WVQ983169 H8:I92 JD8:JE92 SZ8:TA92 ACV8:ACW92 AMR8:AMS92 AWN8:AWO92 BGJ8:BGK92 BQF8:BQG92 CAB8:CAC92 CJX8:CJY92 CTT8:CTU92 DDP8:DDQ92 DNL8:DNM92 DXH8:DXI92 EHD8:EHE92 EQZ8:ERA92 FAV8:FAW92 FKR8:FKS92 FUN8:FUO92 GEJ8:GEK92 GOF8:GOG92 GYB8:GYC92 HHX8:HHY92 HRT8:HRU92 IBP8:IBQ92 ILL8:ILM92 IVH8:IVI92 JFD8:JFE92 JOZ8:JPA92 JYV8:JYW92 KIR8:KIS92 KSN8:KSO92 LCJ8:LCK92 LMF8:LMG92 LWB8:LWC92 MFX8:MFY92 MPT8:MPU92 MZP8:MZQ92 NJL8:NJM92 NTH8:NTI92 ODD8:ODE92 OMZ8:ONA92 OWV8:OWW92 PGR8:PGS92 PQN8:PQO92 QAJ8:QAK92 QKF8:QKG92 QUB8:QUC92 RDX8:RDY92 RNT8:RNU92 RXP8:RXQ92 SHL8:SHM92 SRH8:SRI92 TBD8:TBE92 TKZ8:TLA92 TUV8:TUW92 UER8:UES92 UON8:UOO92 UYJ8:UYK92 VIF8:VIG92 VSB8:VSC92 WBX8:WBY92 WLT8:WLU92 WVP8:WVQ92 H65544:I65628 JD65544:JE65628 SZ65544:TA65628 ACV65544:ACW65628 AMR65544:AMS65628 AWN65544:AWO65628 BGJ65544:BGK65628 BQF65544:BQG65628 CAB65544:CAC65628 CJX65544:CJY65628 CTT65544:CTU65628 DDP65544:DDQ65628 DNL65544:DNM65628 DXH65544:DXI65628 EHD65544:EHE65628 EQZ65544:ERA65628 FAV65544:FAW65628 FKR65544:FKS65628 FUN65544:FUO65628 GEJ65544:GEK65628 GOF65544:GOG65628 GYB65544:GYC65628 HHX65544:HHY65628 HRT65544:HRU65628 IBP65544:IBQ65628 ILL65544:ILM65628 IVH65544:IVI65628 JFD65544:JFE65628 JOZ65544:JPA65628 JYV65544:JYW65628 KIR65544:KIS65628 KSN65544:KSO65628 LCJ65544:LCK65628 LMF65544:LMG65628 LWB65544:LWC65628 MFX65544:MFY65628 MPT65544:MPU65628 MZP65544:MZQ65628 NJL65544:NJM65628 NTH65544:NTI65628 ODD65544:ODE65628 OMZ65544:ONA65628 OWV65544:OWW65628 PGR65544:PGS65628 PQN65544:PQO65628 QAJ65544:QAK65628 QKF65544:QKG65628 QUB65544:QUC65628 RDX65544:RDY65628 RNT65544:RNU65628 RXP65544:RXQ65628 SHL65544:SHM65628 SRH65544:SRI65628 TBD65544:TBE65628 TKZ65544:TLA65628 TUV65544:TUW65628 UER65544:UES65628 UON65544:UOO65628 UYJ65544:UYK65628 VIF65544:VIG65628 VSB65544:VSC65628 WBX65544:WBY65628 WLT65544:WLU65628 WVP65544:WVQ65628 H131080:I131164 JD131080:JE131164 SZ131080:TA131164 ACV131080:ACW131164 AMR131080:AMS131164 AWN131080:AWO131164 BGJ131080:BGK131164 BQF131080:BQG131164 CAB131080:CAC131164 CJX131080:CJY131164 CTT131080:CTU131164 DDP131080:DDQ131164 DNL131080:DNM131164 DXH131080:DXI131164 EHD131080:EHE131164 EQZ131080:ERA131164 FAV131080:FAW131164 FKR131080:FKS131164 FUN131080:FUO131164 GEJ131080:GEK131164 GOF131080:GOG131164 GYB131080:GYC131164 HHX131080:HHY131164 HRT131080:HRU131164 IBP131080:IBQ131164 ILL131080:ILM131164 IVH131080:IVI131164 JFD131080:JFE131164 JOZ131080:JPA131164 JYV131080:JYW131164 KIR131080:KIS131164 KSN131080:KSO131164 LCJ131080:LCK131164 LMF131080:LMG131164 LWB131080:LWC131164 MFX131080:MFY131164 MPT131080:MPU131164 MZP131080:MZQ131164 NJL131080:NJM131164 NTH131080:NTI131164 ODD131080:ODE131164 OMZ131080:ONA131164 OWV131080:OWW131164 PGR131080:PGS131164 PQN131080:PQO131164 QAJ131080:QAK131164 QKF131080:QKG131164 QUB131080:QUC131164 RDX131080:RDY131164 RNT131080:RNU131164 RXP131080:RXQ131164 SHL131080:SHM131164 SRH131080:SRI131164 TBD131080:TBE131164 TKZ131080:TLA131164 TUV131080:TUW131164 UER131080:UES131164 UON131080:UOO131164 UYJ131080:UYK131164 VIF131080:VIG131164 VSB131080:VSC131164 WBX131080:WBY131164 WLT131080:WLU131164 WVP131080:WVQ131164 H196616:I196700 JD196616:JE196700 SZ196616:TA196700 ACV196616:ACW196700 AMR196616:AMS196700 AWN196616:AWO196700 BGJ196616:BGK196700 BQF196616:BQG196700 CAB196616:CAC196700 CJX196616:CJY196700 CTT196616:CTU196700 DDP196616:DDQ196700 DNL196616:DNM196700 DXH196616:DXI196700 EHD196616:EHE196700 EQZ196616:ERA196700 FAV196616:FAW196700 FKR196616:FKS196700 FUN196616:FUO196700 GEJ196616:GEK196700 GOF196616:GOG196700 GYB196616:GYC196700 HHX196616:HHY196700 HRT196616:HRU196700 IBP196616:IBQ196700 ILL196616:ILM196700 IVH196616:IVI196700 JFD196616:JFE196700 JOZ196616:JPA196700 JYV196616:JYW196700 KIR196616:KIS196700 KSN196616:KSO196700 LCJ196616:LCK196700 LMF196616:LMG196700 LWB196616:LWC196700 MFX196616:MFY196700 MPT196616:MPU196700 MZP196616:MZQ196700 NJL196616:NJM196700 NTH196616:NTI196700 ODD196616:ODE196700 OMZ196616:ONA196700 OWV196616:OWW196700 PGR196616:PGS196700 PQN196616:PQO196700 QAJ196616:QAK196700 QKF196616:QKG196700 QUB196616:QUC196700 RDX196616:RDY196700 RNT196616:RNU196700 RXP196616:RXQ196700 SHL196616:SHM196700 SRH196616:SRI196700 TBD196616:TBE196700 TKZ196616:TLA196700 TUV196616:TUW196700 UER196616:UES196700 UON196616:UOO196700 UYJ196616:UYK196700 VIF196616:VIG196700 VSB196616:VSC196700 WBX196616:WBY196700 WLT196616:WLU196700 WVP196616:WVQ196700 H262152:I262236 JD262152:JE262236 SZ262152:TA262236 ACV262152:ACW262236 AMR262152:AMS262236 AWN262152:AWO262236 BGJ262152:BGK262236 BQF262152:BQG262236 CAB262152:CAC262236 CJX262152:CJY262236 CTT262152:CTU262236 DDP262152:DDQ262236 DNL262152:DNM262236 DXH262152:DXI262236 EHD262152:EHE262236 EQZ262152:ERA262236 FAV262152:FAW262236 FKR262152:FKS262236 FUN262152:FUO262236 GEJ262152:GEK262236 GOF262152:GOG262236 GYB262152:GYC262236 HHX262152:HHY262236 HRT262152:HRU262236 IBP262152:IBQ262236 ILL262152:ILM262236 IVH262152:IVI262236 JFD262152:JFE262236 JOZ262152:JPA262236 JYV262152:JYW262236 KIR262152:KIS262236 KSN262152:KSO262236 LCJ262152:LCK262236 LMF262152:LMG262236 LWB262152:LWC262236 MFX262152:MFY262236 MPT262152:MPU262236 MZP262152:MZQ262236 NJL262152:NJM262236 NTH262152:NTI262236 ODD262152:ODE262236 OMZ262152:ONA262236 OWV262152:OWW262236 PGR262152:PGS262236 PQN262152:PQO262236 QAJ262152:QAK262236 QKF262152:QKG262236 QUB262152:QUC262236 RDX262152:RDY262236 RNT262152:RNU262236 RXP262152:RXQ262236 SHL262152:SHM262236 SRH262152:SRI262236 TBD262152:TBE262236 TKZ262152:TLA262236 TUV262152:TUW262236 UER262152:UES262236 UON262152:UOO262236 UYJ262152:UYK262236 VIF262152:VIG262236 VSB262152:VSC262236 WBX262152:WBY262236 WLT262152:WLU262236 WVP262152:WVQ262236 H327688:I327772 JD327688:JE327772 SZ327688:TA327772 ACV327688:ACW327772 AMR327688:AMS327772 AWN327688:AWO327772 BGJ327688:BGK327772 BQF327688:BQG327772 CAB327688:CAC327772 CJX327688:CJY327772 CTT327688:CTU327772 DDP327688:DDQ327772 DNL327688:DNM327772 DXH327688:DXI327772 EHD327688:EHE327772 EQZ327688:ERA327772 FAV327688:FAW327772 FKR327688:FKS327772 FUN327688:FUO327772 GEJ327688:GEK327772 GOF327688:GOG327772 GYB327688:GYC327772 HHX327688:HHY327772 HRT327688:HRU327772 IBP327688:IBQ327772 ILL327688:ILM327772 IVH327688:IVI327772 JFD327688:JFE327772 JOZ327688:JPA327772 JYV327688:JYW327772 KIR327688:KIS327772 KSN327688:KSO327772 LCJ327688:LCK327772 LMF327688:LMG327772 LWB327688:LWC327772 MFX327688:MFY327772 MPT327688:MPU327772 MZP327688:MZQ327772 NJL327688:NJM327772 NTH327688:NTI327772 ODD327688:ODE327772 OMZ327688:ONA327772 OWV327688:OWW327772 PGR327688:PGS327772 PQN327688:PQO327772 QAJ327688:QAK327772 QKF327688:QKG327772 QUB327688:QUC327772 RDX327688:RDY327772 RNT327688:RNU327772 RXP327688:RXQ327772 SHL327688:SHM327772 SRH327688:SRI327772 TBD327688:TBE327772 TKZ327688:TLA327772 TUV327688:TUW327772 UER327688:UES327772 UON327688:UOO327772 UYJ327688:UYK327772 VIF327688:VIG327772 VSB327688:VSC327772 WBX327688:WBY327772 WLT327688:WLU327772 WVP327688:WVQ327772 H393224:I393308 JD393224:JE393308 SZ393224:TA393308 ACV393224:ACW393308 AMR393224:AMS393308 AWN393224:AWO393308 BGJ393224:BGK393308 BQF393224:BQG393308 CAB393224:CAC393308 CJX393224:CJY393308 CTT393224:CTU393308 DDP393224:DDQ393308 DNL393224:DNM393308 DXH393224:DXI393308 EHD393224:EHE393308 EQZ393224:ERA393308 FAV393224:FAW393308 FKR393224:FKS393308 FUN393224:FUO393308 GEJ393224:GEK393308 GOF393224:GOG393308 GYB393224:GYC393308 HHX393224:HHY393308 HRT393224:HRU393308 IBP393224:IBQ393308 ILL393224:ILM393308 IVH393224:IVI393308 JFD393224:JFE393308 JOZ393224:JPA393308 JYV393224:JYW393308 KIR393224:KIS393308 KSN393224:KSO393308 LCJ393224:LCK393308 LMF393224:LMG393308 LWB393224:LWC393308 MFX393224:MFY393308 MPT393224:MPU393308 MZP393224:MZQ393308 NJL393224:NJM393308 NTH393224:NTI393308 ODD393224:ODE393308 OMZ393224:ONA393308 OWV393224:OWW393308 PGR393224:PGS393308 PQN393224:PQO393308 QAJ393224:QAK393308 QKF393224:QKG393308 QUB393224:QUC393308 RDX393224:RDY393308 RNT393224:RNU393308 RXP393224:RXQ393308 SHL393224:SHM393308 SRH393224:SRI393308 TBD393224:TBE393308 TKZ393224:TLA393308 TUV393224:TUW393308 UER393224:UES393308 UON393224:UOO393308 UYJ393224:UYK393308 VIF393224:VIG393308 VSB393224:VSC393308 WBX393224:WBY393308 WLT393224:WLU393308 WVP393224:WVQ393308 H458760:I458844 JD458760:JE458844 SZ458760:TA458844 ACV458760:ACW458844 AMR458760:AMS458844 AWN458760:AWO458844 BGJ458760:BGK458844 BQF458760:BQG458844 CAB458760:CAC458844 CJX458760:CJY458844 CTT458760:CTU458844 DDP458760:DDQ458844 DNL458760:DNM458844 DXH458760:DXI458844 EHD458760:EHE458844 EQZ458760:ERA458844 FAV458760:FAW458844 FKR458760:FKS458844 FUN458760:FUO458844 GEJ458760:GEK458844 GOF458760:GOG458844 GYB458760:GYC458844 HHX458760:HHY458844 HRT458760:HRU458844 IBP458760:IBQ458844 ILL458760:ILM458844 IVH458760:IVI458844 JFD458760:JFE458844 JOZ458760:JPA458844 JYV458760:JYW458844 KIR458760:KIS458844 KSN458760:KSO458844 LCJ458760:LCK458844 LMF458760:LMG458844 LWB458760:LWC458844 MFX458760:MFY458844 MPT458760:MPU458844 MZP458760:MZQ458844 NJL458760:NJM458844 NTH458760:NTI458844 ODD458760:ODE458844 OMZ458760:ONA458844 OWV458760:OWW458844 PGR458760:PGS458844 PQN458760:PQO458844 QAJ458760:QAK458844 QKF458760:QKG458844 QUB458760:QUC458844 RDX458760:RDY458844 RNT458760:RNU458844 RXP458760:RXQ458844 SHL458760:SHM458844 SRH458760:SRI458844 TBD458760:TBE458844 TKZ458760:TLA458844 TUV458760:TUW458844 UER458760:UES458844 UON458760:UOO458844 UYJ458760:UYK458844 VIF458760:VIG458844 VSB458760:VSC458844 WBX458760:WBY458844 WLT458760:WLU458844 WVP458760:WVQ458844 H524296:I524380 JD524296:JE524380 SZ524296:TA524380 ACV524296:ACW524380 AMR524296:AMS524380 AWN524296:AWO524380 BGJ524296:BGK524380 BQF524296:BQG524380 CAB524296:CAC524380 CJX524296:CJY524380 CTT524296:CTU524380 DDP524296:DDQ524380 DNL524296:DNM524380 DXH524296:DXI524380 EHD524296:EHE524380 EQZ524296:ERA524380 FAV524296:FAW524380 FKR524296:FKS524380 FUN524296:FUO524380 GEJ524296:GEK524380 GOF524296:GOG524380 GYB524296:GYC524380 HHX524296:HHY524380 HRT524296:HRU524380 IBP524296:IBQ524380 ILL524296:ILM524380 IVH524296:IVI524380 JFD524296:JFE524380 JOZ524296:JPA524380 JYV524296:JYW524380 KIR524296:KIS524380 KSN524296:KSO524380 LCJ524296:LCK524380 LMF524296:LMG524380 LWB524296:LWC524380 MFX524296:MFY524380 MPT524296:MPU524380 MZP524296:MZQ524380 NJL524296:NJM524380 NTH524296:NTI524380 ODD524296:ODE524380 OMZ524296:ONA524380 OWV524296:OWW524380 PGR524296:PGS524380 PQN524296:PQO524380 QAJ524296:QAK524380 QKF524296:QKG524380 QUB524296:QUC524380 RDX524296:RDY524380 RNT524296:RNU524380 RXP524296:RXQ524380 SHL524296:SHM524380 SRH524296:SRI524380 TBD524296:TBE524380 TKZ524296:TLA524380 TUV524296:TUW524380 UER524296:UES524380 UON524296:UOO524380 UYJ524296:UYK524380 VIF524296:VIG524380 VSB524296:VSC524380 WBX524296:WBY524380 WLT524296:WLU524380 WVP524296:WVQ524380 H589832:I589916 JD589832:JE589916 SZ589832:TA589916 ACV589832:ACW589916 AMR589832:AMS589916 AWN589832:AWO589916 BGJ589832:BGK589916 BQF589832:BQG589916 CAB589832:CAC589916 CJX589832:CJY589916 CTT589832:CTU589916 DDP589832:DDQ589916 DNL589832:DNM589916 DXH589832:DXI589916 EHD589832:EHE589916 EQZ589832:ERA589916 FAV589832:FAW589916 FKR589832:FKS589916 FUN589832:FUO589916 GEJ589832:GEK589916 GOF589832:GOG589916 GYB589832:GYC589916 HHX589832:HHY589916 HRT589832:HRU589916 IBP589832:IBQ589916 ILL589832:ILM589916 IVH589832:IVI589916 JFD589832:JFE589916 JOZ589832:JPA589916 JYV589832:JYW589916 KIR589832:KIS589916 KSN589832:KSO589916 LCJ589832:LCK589916 LMF589832:LMG589916 LWB589832:LWC589916 MFX589832:MFY589916 MPT589832:MPU589916 MZP589832:MZQ589916 NJL589832:NJM589916 NTH589832:NTI589916 ODD589832:ODE589916 OMZ589832:ONA589916 OWV589832:OWW589916 PGR589832:PGS589916 PQN589832:PQO589916 QAJ589832:QAK589916 QKF589832:QKG589916 QUB589832:QUC589916 RDX589832:RDY589916 RNT589832:RNU589916 RXP589832:RXQ589916 SHL589832:SHM589916 SRH589832:SRI589916 TBD589832:TBE589916 TKZ589832:TLA589916 TUV589832:TUW589916 UER589832:UES589916 UON589832:UOO589916 UYJ589832:UYK589916 VIF589832:VIG589916 VSB589832:VSC589916 WBX589832:WBY589916 WLT589832:WLU589916 WVP589832:WVQ589916 H655368:I655452 JD655368:JE655452 SZ655368:TA655452 ACV655368:ACW655452 AMR655368:AMS655452 AWN655368:AWO655452 BGJ655368:BGK655452 BQF655368:BQG655452 CAB655368:CAC655452 CJX655368:CJY655452 CTT655368:CTU655452 DDP655368:DDQ655452 DNL655368:DNM655452 DXH655368:DXI655452 EHD655368:EHE655452 EQZ655368:ERA655452 FAV655368:FAW655452 FKR655368:FKS655452 FUN655368:FUO655452 GEJ655368:GEK655452 GOF655368:GOG655452 GYB655368:GYC655452 HHX655368:HHY655452 HRT655368:HRU655452 IBP655368:IBQ655452 ILL655368:ILM655452 IVH655368:IVI655452 JFD655368:JFE655452 JOZ655368:JPA655452 JYV655368:JYW655452 KIR655368:KIS655452 KSN655368:KSO655452 LCJ655368:LCK655452 LMF655368:LMG655452 LWB655368:LWC655452 MFX655368:MFY655452 MPT655368:MPU655452 MZP655368:MZQ655452 NJL655368:NJM655452 NTH655368:NTI655452 ODD655368:ODE655452 OMZ655368:ONA655452 OWV655368:OWW655452 PGR655368:PGS655452 PQN655368:PQO655452 QAJ655368:QAK655452 QKF655368:QKG655452 QUB655368:QUC655452 RDX655368:RDY655452 RNT655368:RNU655452 RXP655368:RXQ655452 SHL655368:SHM655452 SRH655368:SRI655452 TBD655368:TBE655452 TKZ655368:TLA655452 TUV655368:TUW655452 UER655368:UES655452 UON655368:UOO655452 UYJ655368:UYK655452 VIF655368:VIG655452 VSB655368:VSC655452 WBX655368:WBY655452 WLT655368:WLU655452 WVP655368:WVQ655452 H720904:I720988 JD720904:JE720988 SZ720904:TA720988 ACV720904:ACW720988 AMR720904:AMS720988 AWN720904:AWO720988 BGJ720904:BGK720988 BQF720904:BQG720988 CAB720904:CAC720988 CJX720904:CJY720988 CTT720904:CTU720988 DDP720904:DDQ720988 DNL720904:DNM720988 DXH720904:DXI720988 EHD720904:EHE720988 EQZ720904:ERA720988 FAV720904:FAW720988 FKR720904:FKS720988 FUN720904:FUO720988 GEJ720904:GEK720988 GOF720904:GOG720988 GYB720904:GYC720988 HHX720904:HHY720988 HRT720904:HRU720988 IBP720904:IBQ720988 ILL720904:ILM720988 IVH720904:IVI720988 JFD720904:JFE720988 JOZ720904:JPA720988 JYV720904:JYW720988 KIR720904:KIS720988 KSN720904:KSO720988 LCJ720904:LCK720988 LMF720904:LMG720988 LWB720904:LWC720988 MFX720904:MFY720988 MPT720904:MPU720988 MZP720904:MZQ720988 NJL720904:NJM720988 NTH720904:NTI720988 ODD720904:ODE720988 OMZ720904:ONA720988 OWV720904:OWW720988 PGR720904:PGS720988 PQN720904:PQO720988 QAJ720904:QAK720988 QKF720904:QKG720988 QUB720904:QUC720988 RDX720904:RDY720988 RNT720904:RNU720988 RXP720904:RXQ720988 SHL720904:SHM720988 SRH720904:SRI720988 TBD720904:TBE720988 TKZ720904:TLA720988 TUV720904:TUW720988 UER720904:UES720988 UON720904:UOO720988 UYJ720904:UYK720988 VIF720904:VIG720988 VSB720904:VSC720988 WBX720904:WBY720988 WLT720904:WLU720988 WVP720904:WVQ720988 H786440:I786524 JD786440:JE786524 SZ786440:TA786524 ACV786440:ACW786524 AMR786440:AMS786524 AWN786440:AWO786524 BGJ786440:BGK786524 BQF786440:BQG786524 CAB786440:CAC786524 CJX786440:CJY786524 CTT786440:CTU786524 DDP786440:DDQ786524 DNL786440:DNM786524 DXH786440:DXI786524 EHD786440:EHE786524 EQZ786440:ERA786524 FAV786440:FAW786524 FKR786440:FKS786524 FUN786440:FUO786524 GEJ786440:GEK786524 GOF786440:GOG786524 GYB786440:GYC786524 HHX786440:HHY786524 HRT786440:HRU786524 IBP786440:IBQ786524 ILL786440:ILM786524 IVH786440:IVI786524 JFD786440:JFE786524 JOZ786440:JPA786524 JYV786440:JYW786524 KIR786440:KIS786524 KSN786440:KSO786524 LCJ786440:LCK786524 LMF786440:LMG786524 LWB786440:LWC786524 MFX786440:MFY786524 MPT786440:MPU786524 MZP786440:MZQ786524 NJL786440:NJM786524 NTH786440:NTI786524 ODD786440:ODE786524 OMZ786440:ONA786524 OWV786440:OWW786524 PGR786440:PGS786524 PQN786440:PQO786524 QAJ786440:QAK786524 QKF786440:QKG786524 QUB786440:QUC786524 RDX786440:RDY786524 RNT786440:RNU786524 RXP786440:RXQ786524 SHL786440:SHM786524 SRH786440:SRI786524 TBD786440:TBE786524 TKZ786440:TLA786524 TUV786440:TUW786524 UER786440:UES786524 UON786440:UOO786524 UYJ786440:UYK786524 VIF786440:VIG786524 VSB786440:VSC786524 WBX786440:WBY786524 WLT786440:WLU786524 WVP786440:WVQ786524 H851976:I852060 JD851976:JE852060 SZ851976:TA852060 ACV851976:ACW852060 AMR851976:AMS852060 AWN851976:AWO852060 BGJ851976:BGK852060 BQF851976:BQG852060 CAB851976:CAC852060 CJX851976:CJY852060 CTT851976:CTU852060 DDP851976:DDQ852060 DNL851976:DNM852060 DXH851976:DXI852060 EHD851976:EHE852060 EQZ851976:ERA852060 FAV851976:FAW852060 FKR851976:FKS852060 FUN851976:FUO852060 GEJ851976:GEK852060 GOF851976:GOG852060 GYB851976:GYC852060 HHX851976:HHY852060 HRT851976:HRU852060 IBP851976:IBQ852060 ILL851976:ILM852060 IVH851976:IVI852060 JFD851976:JFE852060 JOZ851976:JPA852060 JYV851976:JYW852060 KIR851976:KIS852060 KSN851976:KSO852060 LCJ851976:LCK852060 LMF851976:LMG852060 LWB851976:LWC852060 MFX851976:MFY852060 MPT851976:MPU852060 MZP851976:MZQ852060 NJL851976:NJM852060 NTH851976:NTI852060 ODD851976:ODE852060 OMZ851976:ONA852060 OWV851976:OWW852060 PGR851976:PGS852060 PQN851976:PQO852060 QAJ851976:QAK852060 QKF851976:QKG852060 QUB851976:QUC852060 RDX851976:RDY852060 RNT851976:RNU852060 RXP851976:RXQ852060 SHL851976:SHM852060 SRH851976:SRI852060 TBD851976:TBE852060 TKZ851976:TLA852060 TUV851976:TUW852060 UER851976:UES852060 UON851976:UOO852060 UYJ851976:UYK852060 VIF851976:VIG852060 VSB851976:VSC852060 WBX851976:WBY852060 WLT851976:WLU852060 WVP851976:WVQ852060 H917512:I917596 JD917512:JE917596 SZ917512:TA917596 ACV917512:ACW917596 AMR917512:AMS917596 AWN917512:AWO917596 BGJ917512:BGK917596 BQF917512:BQG917596 CAB917512:CAC917596 CJX917512:CJY917596 CTT917512:CTU917596 DDP917512:DDQ917596 DNL917512:DNM917596 DXH917512:DXI917596 EHD917512:EHE917596 EQZ917512:ERA917596 FAV917512:FAW917596 FKR917512:FKS917596 FUN917512:FUO917596 GEJ917512:GEK917596 GOF917512:GOG917596 GYB917512:GYC917596 HHX917512:HHY917596 HRT917512:HRU917596 IBP917512:IBQ917596 ILL917512:ILM917596 IVH917512:IVI917596 JFD917512:JFE917596 JOZ917512:JPA917596 JYV917512:JYW917596 KIR917512:KIS917596 KSN917512:KSO917596 LCJ917512:LCK917596 LMF917512:LMG917596 LWB917512:LWC917596 MFX917512:MFY917596 MPT917512:MPU917596 MZP917512:MZQ917596 NJL917512:NJM917596 NTH917512:NTI917596 ODD917512:ODE917596 OMZ917512:ONA917596 OWV917512:OWW917596 PGR917512:PGS917596 PQN917512:PQO917596 QAJ917512:QAK917596 QKF917512:QKG917596 QUB917512:QUC917596 RDX917512:RDY917596 RNT917512:RNU917596 RXP917512:RXQ917596 SHL917512:SHM917596 SRH917512:SRI917596 TBD917512:TBE917596 TKZ917512:TLA917596 TUV917512:TUW917596 UER917512:UES917596 UON917512:UOO917596 UYJ917512:UYK917596 VIF917512:VIG917596 VSB917512:VSC917596 WBX917512:WBY917596 WLT917512:WLU917596 WVP917512:WVQ917596 H983048:I983132 JD983048:JE983132 SZ983048:TA983132 ACV983048:ACW983132 AMR983048:AMS983132 AWN983048:AWO983132 BGJ983048:BGK983132 BQF983048:BQG983132 CAB983048:CAC983132 CJX983048:CJY983132 CTT983048:CTU983132 DDP983048:DDQ983132 DNL983048:DNM983132 DXH983048:DXI983132 EHD983048:EHE983132 EQZ983048:ERA983132 FAV983048:FAW983132 FKR983048:FKS983132 FUN983048:FUO983132 GEJ983048:GEK983132 GOF983048:GOG983132 GYB983048:GYC983132 HHX983048:HHY983132 HRT983048:HRU983132 IBP983048:IBQ983132 ILL983048:ILM983132 IVH983048:IVI983132 JFD983048:JFE983132 JOZ983048:JPA983132 JYV983048:JYW983132 KIR983048:KIS983132 KSN983048:KSO983132 LCJ983048:LCK983132 LMF983048:LMG983132 LWB983048:LWC983132 MFX983048:MFY983132 MPT983048:MPU983132 MZP983048:MZQ983132 NJL983048:NJM983132 NTH983048:NTI983132 ODD983048:ODE983132 OMZ983048:ONA983132 OWV983048:OWW983132 PGR983048:PGS983132 PQN983048:PQO983132 QAJ983048:QAK983132 QKF983048:QKG983132 QUB983048:QUC983132 RDX983048:RDY983132 RNT983048:RNU983132 RXP983048:RXQ983132 SHL983048:SHM983132 SRH983048:SRI983132 TBD983048:TBE983132 TKZ983048:TLA983132 TUV983048:TUW983132 UER983048:UES983132 UON983048:UOO983132 UYJ983048:UYK983132 VIF983048:VIG983132 VSB983048:VSC983132 WBX983048:WBY983132 WLT983048:WLU983132 WVP983048:WVQ983132 AA8:AC129 JW8:JY129 TS8:TU129 ADO8:ADQ129 ANK8:ANM129 AXG8:AXI129 BHC8:BHE129 BQY8:BRA129 CAU8:CAW129 CKQ8:CKS129 CUM8:CUO129 DEI8:DEK129 DOE8:DOG129 DYA8:DYC129 EHW8:EHY129 ERS8:ERU129 FBO8:FBQ129 FLK8:FLM129 FVG8:FVI129 GFC8:GFE129 GOY8:GPA129 GYU8:GYW129 HIQ8:HIS129 HSM8:HSO129 ICI8:ICK129 IME8:IMG129 IWA8:IWC129 JFW8:JFY129 JPS8:JPU129 JZO8:JZQ129 KJK8:KJM129 KTG8:KTI129 LDC8:LDE129 LMY8:LNA129 LWU8:LWW129 MGQ8:MGS129 MQM8:MQO129 NAI8:NAK129 NKE8:NKG129 NUA8:NUC129 ODW8:ODY129 ONS8:ONU129 OXO8:OXQ129 PHK8:PHM129 PRG8:PRI129 QBC8:QBE129 QKY8:QLA129 QUU8:QUW129 REQ8:RES129 ROM8:ROO129 RYI8:RYK129 SIE8:SIG129 SSA8:SSC129 TBW8:TBY129 TLS8:TLU129 TVO8:TVQ129 UFK8:UFM129 UPG8:UPI129 UZC8:UZE129 VIY8:VJA129 VSU8:VSW129 WCQ8:WCS129 WMM8:WMO129 WWI8:WWK129 AA65544:AC65665 JW65544:JY65665 TS65544:TU65665 ADO65544:ADQ65665 ANK65544:ANM65665 AXG65544:AXI65665 BHC65544:BHE65665 BQY65544:BRA65665 CAU65544:CAW65665 CKQ65544:CKS65665 CUM65544:CUO65665 DEI65544:DEK65665 DOE65544:DOG65665 DYA65544:DYC65665 EHW65544:EHY65665 ERS65544:ERU65665 FBO65544:FBQ65665 FLK65544:FLM65665 FVG65544:FVI65665 GFC65544:GFE65665 GOY65544:GPA65665 GYU65544:GYW65665 HIQ65544:HIS65665 HSM65544:HSO65665 ICI65544:ICK65665 IME65544:IMG65665 IWA65544:IWC65665 JFW65544:JFY65665 JPS65544:JPU65665 JZO65544:JZQ65665 KJK65544:KJM65665 KTG65544:KTI65665 LDC65544:LDE65665 LMY65544:LNA65665 LWU65544:LWW65665 MGQ65544:MGS65665 MQM65544:MQO65665 NAI65544:NAK65665 NKE65544:NKG65665 NUA65544:NUC65665 ODW65544:ODY65665 ONS65544:ONU65665 OXO65544:OXQ65665 PHK65544:PHM65665 PRG65544:PRI65665 QBC65544:QBE65665 QKY65544:QLA65665 QUU65544:QUW65665 REQ65544:RES65665 ROM65544:ROO65665 RYI65544:RYK65665 SIE65544:SIG65665 SSA65544:SSC65665 TBW65544:TBY65665 TLS65544:TLU65665 TVO65544:TVQ65665 UFK65544:UFM65665 UPG65544:UPI65665 UZC65544:UZE65665 VIY65544:VJA65665 VSU65544:VSW65665 WCQ65544:WCS65665 WMM65544:WMO65665 WWI65544:WWK65665 AA131080:AC131201 JW131080:JY131201 TS131080:TU131201 ADO131080:ADQ131201 ANK131080:ANM131201 AXG131080:AXI131201 BHC131080:BHE131201 BQY131080:BRA131201 CAU131080:CAW131201 CKQ131080:CKS131201 CUM131080:CUO131201 DEI131080:DEK131201 DOE131080:DOG131201 DYA131080:DYC131201 EHW131080:EHY131201 ERS131080:ERU131201 FBO131080:FBQ131201 FLK131080:FLM131201 FVG131080:FVI131201 GFC131080:GFE131201 GOY131080:GPA131201 GYU131080:GYW131201 HIQ131080:HIS131201 HSM131080:HSO131201 ICI131080:ICK131201 IME131080:IMG131201 IWA131080:IWC131201 JFW131080:JFY131201 JPS131080:JPU131201 JZO131080:JZQ131201 KJK131080:KJM131201 KTG131080:KTI131201 LDC131080:LDE131201 LMY131080:LNA131201 LWU131080:LWW131201 MGQ131080:MGS131201 MQM131080:MQO131201 NAI131080:NAK131201 NKE131080:NKG131201 NUA131080:NUC131201 ODW131080:ODY131201 ONS131080:ONU131201 OXO131080:OXQ131201 PHK131080:PHM131201 PRG131080:PRI131201 QBC131080:QBE131201 QKY131080:QLA131201 QUU131080:QUW131201 REQ131080:RES131201 ROM131080:ROO131201 RYI131080:RYK131201 SIE131080:SIG131201 SSA131080:SSC131201 TBW131080:TBY131201 TLS131080:TLU131201 TVO131080:TVQ131201 UFK131080:UFM131201 UPG131080:UPI131201 UZC131080:UZE131201 VIY131080:VJA131201 VSU131080:VSW131201 WCQ131080:WCS131201 WMM131080:WMO131201 WWI131080:WWK131201 AA196616:AC196737 JW196616:JY196737 TS196616:TU196737 ADO196616:ADQ196737 ANK196616:ANM196737 AXG196616:AXI196737 BHC196616:BHE196737 BQY196616:BRA196737 CAU196616:CAW196737 CKQ196616:CKS196737 CUM196616:CUO196737 DEI196616:DEK196737 DOE196616:DOG196737 DYA196616:DYC196737 EHW196616:EHY196737 ERS196616:ERU196737 FBO196616:FBQ196737 FLK196616:FLM196737 FVG196616:FVI196737 GFC196616:GFE196737 GOY196616:GPA196737 GYU196616:GYW196737 HIQ196616:HIS196737 HSM196616:HSO196737 ICI196616:ICK196737 IME196616:IMG196737 IWA196616:IWC196737 JFW196616:JFY196737 JPS196616:JPU196737 JZO196616:JZQ196737 KJK196616:KJM196737 KTG196616:KTI196737 LDC196616:LDE196737 LMY196616:LNA196737 LWU196616:LWW196737 MGQ196616:MGS196737 MQM196616:MQO196737 NAI196616:NAK196737 NKE196616:NKG196737 NUA196616:NUC196737 ODW196616:ODY196737 ONS196616:ONU196737 OXO196616:OXQ196737 PHK196616:PHM196737 PRG196616:PRI196737 QBC196616:QBE196737 QKY196616:QLA196737 QUU196616:QUW196737 REQ196616:RES196737 ROM196616:ROO196737 RYI196616:RYK196737 SIE196616:SIG196737 SSA196616:SSC196737 TBW196616:TBY196737 TLS196616:TLU196737 TVO196616:TVQ196737 UFK196616:UFM196737 UPG196616:UPI196737 UZC196616:UZE196737 VIY196616:VJA196737 VSU196616:VSW196737 WCQ196616:WCS196737 WMM196616:WMO196737 WWI196616:WWK196737 AA262152:AC262273 JW262152:JY262273 TS262152:TU262273 ADO262152:ADQ262273 ANK262152:ANM262273 AXG262152:AXI262273 BHC262152:BHE262273 BQY262152:BRA262273 CAU262152:CAW262273 CKQ262152:CKS262273 CUM262152:CUO262273 DEI262152:DEK262273 DOE262152:DOG262273 DYA262152:DYC262273 EHW262152:EHY262273 ERS262152:ERU262273 FBO262152:FBQ262273 FLK262152:FLM262273 FVG262152:FVI262273 GFC262152:GFE262273 GOY262152:GPA262273 GYU262152:GYW262273 HIQ262152:HIS262273 HSM262152:HSO262273 ICI262152:ICK262273 IME262152:IMG262273 IWA262152:IWC262273 JFW262152:JFY262273 JPS262152:JPU262273 JZO262152:JZQ262273 KJK262152:KJM262273 KTG262152:KTI262273 LDC262152:LDE262273 LMY262152:LNA262273 LWU262152:LWW262273 MGQ262152:MGS262273 MQM262152:MQO262273 NAI262152:NAK262273 NKE262152:NKG262273 NUA262152:NUC262273 ODW262152:ODY262273 ONS262152:ONU262273 OXO262152:OXQ262273 PHK262152:PHM262273 PRG262152:PRI262273 QBC262152:QBE262273 QKY262152:QLA262273 QUU262152:QUW262273 REQ262152:RES262273 ROM262152:ROO262273 RYI262152:RYK262273 SIE262152:SIG262273 SSA262152:SSC262273 TBW262152:TBY262273 TLS262152:TLU262273 TVO262152:TVQ262273 UFK262152:UFM262273 UPG262152:UPI262273 UZC262152:UZE262273 VIY262152:VJA262273 VSU262152:VSW262273 WCQ262152:WCS262273 WMM262152:WMO262273 WWI262152:WWK262273 AA327688:AC327809 JW327688:JY327809 TS327688:TU327809 ADO327688:ADQ327809 ANK327688:ANM327809 AXG327688:AXI327809 BHC327688:BHE327809 BQY327688:BRA327809 CAU327688:CAW327809 CKQ327688:CKS327809 CUM327688:CUO327809 DEI327688:DEK327809 DOE327688:DOG327809 DYA327688:DYC327809 EHW327688:EHY327809 ERS327688:ERU327809 FBO327688:FBQ327809 FLK327688:FLM327809 FVG327688:FVI327809 GFC327688:GFE327809 GOY327688:GPA327809 GYU327688:GYW327809 HIQ327688:HIS327809 HSM327688:HSO327809 ICI327688:ICK327809 IME327688:IMG327809 IWA327688:IWC327809 JFW327688:JFY327809 JPS327688:JPU327809 JZO327688:JZQ327809 KJK327688:KJM327809 KTG327688:KTI327809 LDC327688:LDE327809 LMY327688:LNA327809 LWU327688:LWW327809 MGQ327688:MGS327809 MQM327688:MQO327809 NAI327688:NAK327809 NKE327688:NKG327809 NUA327688:NUC327809 ODW327688:ODY327809 ONS327688:ONU327809 OXO327688:OXQ327809 PHK327688:PHM327809 PRG327688:PRI327809 QBC327688:QBE327809 QKY327688:QLA327809 QUU327688:QUW327809 REQ327688:RES327809 ROM327688:ROO327809 RYI327688:RYK327809 SIE327688:SIG327809 SSA327688:SSC327809 TBW327688:TBY327809 TLS327688:TLU327809 TVO327688:TVQ327809 UFK327688:UFM327809 UPG327688:UPI327809 UZC327688:UZE327809 VIY327688:VJA327809 VSU327688:VSW327809 WCQ327688:WCS327809 WMM327688:WMO327809 WWI327688:WWK327809 AA393224:AC393345 JW393224:JY393345 TS393224:TU393345 ADO393224:ADQ393345 ANK393224:ANM393345 AXG393224:AXI393345 BHC393224:BHE393345 BQY393224:BRA393345 CAU393224:CAW393345 CKQ393224:CKS393345 CUM393224:CUO393345 DEI393224:DEK393345 DOE393224:DOG393345 DYA393224:DYC393345 EHW393224:EHY393345 ERS393224:ERU393345 FBO393224:FBQ393345 FLK393224:FLM393345 FVG393224:FVI393345 GFC393224:GFE393345 GOY393224:GPA393345 GYU393224:GYW393345 HIQ393224:HIS393345 HSM393224:HSO393345 ICI393224:ICK393345 IME393224:IMG393345 IWA393224:IWC393345 JFW393224:JFY393345 JPS393224:JPU393345 JZO393224:JZQ393345 KJK393224:KJM393345 KTG393224:KTI393345 LDC393224:LDE393345 LMY393224:LNA393345 LWU393224:LWW393345 MGQ393224:MGS393345 MQM393224:MQO393345 NAI393224:NAK393345 NKE393224:NKG393345 NUA393224:NUC393345 ODW393224:ODY393345 ONS393224:ONU393345 OXO393224:OXQ393345 PHK393224:PHM393345 PRG393224:PRI393345 QBC393224:QBE393345 QKY393224:QLA393345 QUU393224:QUW393345 REQ393224:RES393345 ROM393224:ROO393345 RYI393224:RYK393345 SIE393224:SIG393345 SSA393224:SSC393345 TBW393224:TBY393345 TLS393224:TLU393345 TVO393224:TVQ393345 UFK393224:UFM393345 UPG393224:UPI393345 UZC393224:UZE393345 VIY393224:VJA393345 VSU393224:VSW393345 WCQ393224:WCS393345 WMM393224:WMO393345 WWI393224:WWK393345 AA458760:AC458881 JW458760:JY458881 TS458760:TU458881 ADO458760:ADQ458881 ANK458760:ANM458881 AXG458760:AXI458881 BHC458760:BHE458881 BQY458760:BRA458881 CAU458760:CAW458881 CKQ458760:CKS458881 CUM458760:CUO458881 DEI458760:DEK458881 DOE458760:DOG458881 DYA458760:DYC458881 EHW458760:EHY458881 ERS458760:ERU458881 FBO458760:FBQ458881 FLK458760:FLM458881 FVG458760:FVI458881 GFC458760:GFE458881 GOY458760:GPA458881 GYU458760:GYW458881 HIQ458760:HIS458881 HSM458760:HSO458881 ICI458760:ICK458881 IME458760:IMG458881 IWA458760:IWC458881 JFW458760:JFY458881 JPS458760:JPU458881 JZO458760:JZQ458881 KJK458760:KJM458881 KTG458760:KTI458881 LDC458760:LDE458881 LMY458760:LNA458881 LWU458760:LWW458881 MGQ458760:MGS458881 MQM458760:MQO458881 NAI458760:NAK458881 NKE458760:NKG458881 NUA458760:NUC458881 ODW458760:ODY458881 ONS458760:ONU458881 OXO458760:OXQ458881 PHK458760:PHM458881 PRG458760:PRI458881 QBC458760:QBE458881 QKY458760:QLA458881 QUU458760:QUW458881 REQ458760:RES458881 ROM458760:ROO458881 RYI458760:RYK458881 SIE458760:SIG458881 SSA458760:SSC458881 TBW458760:TBY458881 TLS458760:TLU458881 TVO458760:TVQ458881 UFK458760:UFM458881 UPG458760:UPI458881 UZC458760:UZE458881 VIY458760:VJA458881 VSU458760:VSW458881 WCQ458760:WCS458881 WMM458760:WMO458881 WWI458760:WWK458881 AA524296:AC524417 JW524296:JY524417 TS524296:TU524417 ADO524296:ADQ524417 ANK524296:ANM524417 AXG524296:AXI524417 BHC524296:BHE524417 BQY524296:BRA524417 CAU524296:CAW524417 CKQ524296:CKS524417 CUM524296:CUO524417 DEI524296:DEK524417 DOE524296:DOG524417 DYA524296:DYC524417 EHW524296:EHY524417 ERS524296:ERU524417 FBO524296:FBQ524417 FLK524296:FLM524417 FVG524296:FVI524417 GFC524296:GFE524417 GOY524296:GPA524417 GYU524296:GYW524417 HIQ524296:HIS524417 HSM524296:HSO524417 ICI524296:ICK524417 IME524296:IMG524417 IWA524296:IWC524417 JFW524296:JFY524417 JPS524296:JPU524417 JZO524296:JZQ524417 KJK524296:KJM524417 KTG524296:KTI524417 LDC524296:LDE524417 LMY524296:LNA524417 LWU524296:LWW524417 MGQ524296:MGS524417 MQM524296:MQO524417 NAI524296:NAK524417 NKE524296:NKG524417 NUA524296:NUC524417 ODW524296:ODY524417 ONS524296:ONU524417 OXO524296:OXQ524417 PHK524296:PHM524417 PRG524296:PRI524417 QBC524296:QBE524417 QKY524296:QLA524417 QUU524296:QUW524417 REQ524296:RES524417 ROM524296:ROO524417 RYI524296:RYK524417 SIE524296:SIG524417 SSA524296:SSC524417 TBW524296:TBY524417 TLS524296:TLU524417 TVO524296:TVQ524417 UFK524296:UFM524417 UPG524296:UPI524417 UZC524296:UZE524417 VIY524296:VJA524417 VSU524296:VSW524417 WCQ524296:WCS524417 WMM524296:WMO524417 WWI524296:WWK524417 AA589832:AC589953 JW589832:JY589953 TS589832:TU589953 ADO589832:ADQ589953 ANK589832:ANM589953 AXG589832:AXI589953 BHC589832:BHE589953 BQY589832:BRA589953 CAU589832:CAW589953 CKQ589832:CKS589953 CUM589832:CUO589953 DEI589832:DEK589953 DOE589832:DOG589953 DYA589832:DYC589953 EHW589832:EHY589953 ERS589832:ERU589953 FBO589832:FBQ589953 FLK589832:FLM589953 FVG589832:FVI589953 GFC589832:GFE589953 GOY589832:GPA589953 GYU589832:GYW589953 HIQ589832:HIS589953 HSM589832:HSO589953 ICI589832:ICK589953 IME589832:IMG589953 IWA589832:IWC589953 JFW589832:JFY589953 JPS589832:JPU589953 JZO589832:JZQ589953 KJK589832:KJM589953 KTG589832:KTI589953 LDC589832:LDE589953 LMY589832:LNA589953 LWU589832:LWW589953 MGQ589832:MGS589953 MQM589832:MQO589953 NAI589832:NAK589953 NKE589832:NKG589953 NUA589832:NUC589953 ODW589832:ODY589953 ONS589832:ONU589953 OXO589832:OXQ589953 PHK589832:PHM589953 PRG589832:PRI589953 QBC589832:QBE589953 QKY589832:QLA589953 QUU589832:QUW589953 REQ589832:RES589953 ROM589832:ROO589953 RYI589832:RYK589953 SIE589832:SIG589953 SSA589832:SSC589953 TBW589832:TBY589953 TLS589832:TLU589953 TVO589832:TVQ589953 UFK589832:UFM589953 UPG589832:UPI589953 UZC589832:UZE589953 VIY589832:VJA589953 VSU589832:VSW589953 WCQ589832:WCS589953 WMM589832:WMO589953 WWI589832:WWK589953 AA655368:AC655489 JW655368:JY655489 TS655368:TU655489 ADO655368:ADQ655489 ANK655368:ANM655489 AXG655368:AXI655489 BHC655368:BHE655489 BQY655368:BRA655489 CAU655368:CAW655489 CKQ655368:CKS655489 CUM655368:CUO655489 DEI655368:DEK655489 DOE655368:DOG655489 DYA655368:DYC655489 EHW655368:EHY655489 ERS655368:ERU655489 FBO655368:FBQ655489 FLK655368:FLM655489 FVG655368:FVI655489 GFC655368:GFE655489 GOY655368:GPA655489 GYU655368:GYW655489 HIQ655368:HIS655489 HSM655368:HSO655489 ICI655368:ICK655489 IME655368:IMG655489 IWA655368:IWC655489 JFW655368:JFY655489 JPS655368:JPU655489 JZO655368:JZQ655489 KJK655368:KJM655489 KTG655368:KTI655489 LDC655368:LDE655489 LMY655368:LNA655489 LWU655368:LWW655489 MGQ655368:MGS655489 MQM655368:MQO655489 NAI655368:NAK655489 NKE655368:NKG655489 NUA655368:NUC655489 ODW655368:ODY655489 ONS655368:ONU655489 OXO655368:OXQ655489 PHK655368:PHM655489 PRG655368:PRI655489 QBC655368:QBE655489 QKY655368:QLA655489 QUU655368:QUW655489 REQ655368:RES655489 ROM655368:ROO655489 RYI655368:RYK655489 SIE655368:SIG655489 SSA655368:SSC655489 TBW655368:TBY655489 TLS655368:TLU655489 TVO655368:TVQ655489 UFK655368:UFM655489 UPG655368:UPI655489 UZC655368:UZE655489 VIY655368:VJA655489 VSU655368:VSW655489 WCQ655368:WCS655489 WMM655368:WMO655489 WWI655368:WWK655489 AA720904:AC721025 JW720904:JY721025 TS720904:TU721025 ADO720904:ADQ721025 ANK720904:ANM721025 AXG720904:AXI721025 BHC720904:BHE721025 BQY720904:BRA721025 CAU720904:CAW721025 CKQ720904:CKS721025 CUM720904:CUO721025 DEI720904:DEK721025 DOE720904:DOG721025 DYA720904:DYC721025 EHW720904:EHY721025 ERS720904:ERU721025 FBO720904:FBQ721025 FLK720904:FLM721025 FVG720904:FVI721025 GFC720904:GFE721025 GOY720904:GPA721025 GYU720904:GYW721025 HIQ720904:HIS721025 HSM720904:HSO721025 ICI720904:ICK721025 IME720904:IMG721025 IWA720904:IWC721025 JFW720904:JFY721025 JPS720904:JPU721025 JZO720904:JZQ721025 KJK720904:KJM721025 KTG720904:KTI721025 LDC720904:LDE721025 LMY720904:LNA721025 LWU720904:LWW721025 MGQ720904:MGS721025 MQM720904:MQO721025 NAI720904:NAK721025 NKE720904:NKG721025 NUA720904:NUC721025 ODW720904:ODY721025 ONS720904:ONU721025 OXO720904:OXQ721025 PHK720904:PHM721025 PRG720904:PRI721025 QBC720904:QBE721025 QKY720904:QLA721025 QUU720904:QUW721025 REQ720904:RES721025 ROM720904:ROO721025 RYI720904:RYK721025 SIE720904:SIG721025 SSA720904:SSC721025 TBW720904:TBY721025 TLS720904:TLU721025 TVO720904:TVQ721025 UFK720904:UFM721025 UPG720904:UPI721025 UZC720904:UZE721025 VIY720904:VJA721025 VSU720904:VSW721025 WCQ720904:WCS721025 WMM720904:WMO721025 WWI720904:WWK721025 AA786440:AC786561 JW786440:JY786561 TS786440:TU786561 ADO786440:ADQ786561 ANK786440:ANM786561 AXG786440:AXI786561 BHC786440:BHE786561 BQY786440:BRA786561 CAU786440:CAW786561 CKQ786440:CKS786561 CUM786440:CUO786561 DEI786440:DEK786561 DOE786440:DOG786561 DYA786440:DYC786561 EHW786440:EHY786561 ERS786440:ERU786561 FBO786440:FBQ786561 FLK786440:FLM786561 FVG786440:FVI786561 GFC786440:GFE786561 GOY786440:GPA786561 GYU786440:GYW786561 HIQ786440:HIS786561 HSM786440:HSO786561 ICI786440:ICK786561 IME786440:IMG786561 IWA786440:IWC786561 JFW786440:JFY786561 JPS786440:JPU786561 JZO786440:JZQ786561 KJK786440:KJM786561 KTG786440:KTI786561 LDC786440:LDE786561 LMY786440:LNA786561 LWU786440:LWW786561 MGQ786440:MGS786561 MQM786440:MQO786561 NAI786440:NAK786561 NKE786440:NKG786561 NUA786440:NUC786561 ODW786440:ODY786561 ONS786440:ONU786561 OXO786440:OXQ786561 PHK786440:PHM786561 PRG786440:PRI786561 QBC786440:QBE786561 QKY786440:QLA786561 QUU786440:QUW786561 REQ786440:RES786561 ROM786440:ROO786561 RYI786440:RYK786561 SIE786440:SIG786561 SSA786440:SSC786561 TBW786440:TBY786561 TLS786440:TLU786561 TVO786440:TVQ786561 UFK786440:UFM786561 UPG786440:UPI786561 UZC786440:UZE786561 VIY786440:VJA786561 VSU786440:VSW786561 WCQ786440:WCS786561 WMM786440:WMO786561 WWI786440:WWK786561 AA851976:AC852097 JW851976:JY852097 TS851976:TU852097 ADO851976:ADQ852097 ANK851976:ANM852097 AXG851976:AXI852097 BHC851976:BHE852097 BQY851976:BRA852097 CAU851976:CAW852097 CKQ851976:CKS852097 CUM851976:CUO852097 DEI851976:DEK852097 DOE851976:DOG852097 DYA851976:DYC852097 EHW851976:EHY852097 ERS851976:ERU852097 FBO851976:FBQ852097 FLK851976:FLM852097 FVG851976:FVI852097 GFC851976:GFE852097 GOY851976:GPA852097 GYU851976:GYW852097 HIQ851976:HIS852097 HSM851976:HSO852097 ICI851976:ICK852097 IME851976:IMG852097 IWA851976:IWC852097 JFW851976:JFY852097 JPS851976:JPU852097 JZO851976:JZQ852097 KJK851976:KJM852097 KTG851976:KTI852097 LDC851976:LDE852097 LMY851976:LNA852097 LWU851976:LWW852097 MGQ851976:MGS852097 MQM851976:MQO852097 NAI851976:NAK852097 NKE851976:NKG852097 NUA851976:NUC852097 ODW851976:ODY852097 ONS851976:ONU852097 OXO851976:OXQ852097 PHK851976:PHM852097 PRG851976:PRI852097 QBC851976:QBE852097 QKY851976:QLA852097 QUU851976:QUW852097 REQ851976:RES852097 ROM851976:ROO852097 RYI851976:RYK852097 SIE851976:SIG852097 SSA851976:SSC852097 TBW851976:TBY852097 TLS851976:TLU852097 TVO851976:TVQ852097 UFK851976:UFM852097 UPG851976:UPI852097 UZC851976:UZE852097 VIY851976:VJA852097 VSU851976:VSW852097 WCQ851976:WCS852097 WMM851976:WMO852097 WWI851976:WWK852097 AA917512:AC917633 JW917512:JY917633 TS917512:TU917633 ADO917512:ADQ917633 ANK917512:ANM917633 AXG917512:AXI917633 BHC917512:BHE917633 BQY917512:BRA917633 CAU917512:CAW917633 CKQ917512:CKS917633 CUM917512:CUO917633 DEI917512:DEK917633 DOE917512:DOG917633 DYA917512:DYC917633 EHW917512:EHY917633 ERS917512:ERU917633 FBO917512:FBQ917633 FLK917512:FLM917633 FVG917512:FVI917633 GFC917512:GFE917633 GOY917512:GPA917633 GYU917512:GYW917633 HIQ917512:HIS917633 HSM917512:HSO917633 ICI917512:ICK917633 IME917512:IMG917633 IWA917512:IWC917633 JFW917512:JFY917633 JPS917512:JPU917633 JZO917512:JZQ917633 KJK917512:KJM917633 KTG917512:KTI917633 LDC917512:LDE917633 LMY917512:LNA917633 LWU917512:LWW917633 MGQ917512:MGS917633 MQM917512:MQO917633 NAI917512:NAK917633 NKE917512:NKG917633 NUA917512:NUC917633 ODW917512:ODY917633 ONS917512:ONU917633 OXO917512:OXQ917633 PHK917512:PHM917633 PRG917512:PRI917633 QBC917512:QBE917633 QKY917512:QLA917633 QUU917512:QUW917633 REQ917512:RES917633 ROM917512:ROO917633 RYI917512:RYK917633 SIE917512:SIG917633 SSA917512:SSC917633 TBW917512:TBY917633 TLS917512:TLU917633 TVO917512:TVQ917633 UFK917512:UFM917633 UPG917512:UPI917633 UZC917512:UZE917633 VIY917512:VJA917633 VSU917512:VSW917633 WCQ917512:WCS917633 WMM917512:WMO917633 WWI917512:WWK917633 AA983048:AC983169 JW983048:JY983169 TS983048:TU983169 ADO983048:ADQ983169 ANK983048:ANM983169 AXG983048:AXI983169 BHC983048:BHE983169 BQY983048:BRA983169 CAU983048:CAW983169 CKQ983048:CKS983169 CUM983048:CUO983169 DEI983048:DEK983169 DOE983048:DOG983169 DYA983048:DYC983169 EHW983048:EHY983169 ERS983048:ERU983169 FBO983048:FBQ983169 FLK983048:FLM983169 FVG983048:FVI983169 GFC983048:GFE983169 GOY983048:GPA983169 GYU983048:GYW983169 HIQ983048:HIS983169 HSM983048:HSO983169 ICI983048:ICK983169 IME983048:IMG983169 IWA983048:IWC983169 JFW983048:JFY983169 JPS983048:JPU983169 JZO983048:JZQ983169 KJK983048:KJM983169 KTG983048:KTI983169 LDC983048:LDE983169 LMY983048:LNA983169 LWU983048:LWW983169 MGQ983048:MGS983169 MQM983048:MQO983169 NAI983048:NAK983169 NKE983048:NKG983169 NUA983048:NUC983169 ODW983048:ODY983169 ONS983048:ONU983169 OXO983048:OXQ983169 PHK983048:PHM983169 PRG983048:PRI983169 QBC983048:QBE983169 QKY983048:QLA983169 QUU983048:QUW983169 REQ983048:RES983169 ROM983048:ROO983169 RYI983048:RYK983169 SIE983048:SIG983169 SSA983048:SSC983169 TBW983048:TBY983169 TLS983048:TLU983169 TVO983048:TVQ983169 UFK983048:UFM983169 UPG983048:UPI983169 UZC983048:UZE983169 VIY983048:VJA983169 VSU983048:VSW983169 WCQ983048:WCS983169 WMM983048:WMO983169 WWI983048:WWK983169 U8:Y129 JQ8:JU129 TM8:TQ129 ADI8:ADM129 ANE8:ANI129 AXA8:AXE129 BGW8:BHA129 BQS8:BQW129 CAO8:CAS129 CKK8:CKO129 CUG8:CUK129 DEC8:DEG129 DNY8:DOC129 DXU8:DXY129 EHQ8:EHU129 ERM8:ERQ129 FBI8:FBM129 FLE8:FLI129 FVA8:FVE129 GEW8:GFA129 GOS8:GOW129 GYO8:GYS129 HIK8:HIO129 HSG8:HSK129 ICC8:ICG129 ILY8:IMC129 IVU8:IVY129 JFQ8:JFU129 JPM8:JPQ129 JZI8:JZM129 KJE8:KJI129 KTA8:KTE129 LCW8:LDA129 LMS8:LMW129 LWO8:LWS129 MGK8:MGO129 MQG8:MQK129 NAC8:NAG129 NJY8:NKC129 NTU8:NTY129 ODQ8:ODU129 ONM8:ONQ129 OXI8:OXM129 PHE8:PHI129 PRA8:PRE129 QAW8:QBA129 QKS8:QKW129 QUO8:QUS129 REK8:REO129 ROG8:ROK129 RYC8:RYG129 SHY8:SIC129 SRU8:SRY129 TBQ8:TBU129 TLM8:TLQ129 TVI8:TVM129 UFE8:UFI129 UPA8:UPE129 UYW8:UZA129 VIS8:VIW129 VSO8:VSS129 WCK8:WCO129 WMG8:WMK129 WWC8:WWG129 U65544:Y65665 JQ65544:JU65665 TM65544:TQ65665 ADI65544:ADM65665 ANE65544:ANI65665 AXA65544:AXE65665 BGW65544:BHA65665 BQS65544:BQW65665 CAO65544:CAS65665 CKK65544:CKO65665 CUG65544:CUK65665 DEC65544:DEG65665 DNY65544:DOC65665 DXU65544:DXY65665 EHQ65544:EHU65665 ERM65544:ERQ65665 FBI65544:FBM65665 FLE65544:FLI65665 FVA65544:FVE65665 GEW65544:GFA65665 GOS65544:GOW65665 GYO65544:GYS65665 HIK65544:HIO65665 HSG65544:HSK65665 ICC65544:ICG65665 ILY65544:IMC65665 IVU65544:IVY65665 JFQ65544:JFU65665 JPM65544:JPQ65665 JZI65544:JZM65665 KJE65544:KJI65665 KTA65544:KTE65665 LCW65544:LDA65665 LMS65544:LMW65665 LWO65544:LWS65665 MGK65544:MGO65665 MQG65544:MQK65665 NAC65544:NAG65665 NJY65544:NKC65665 NTU65544:NTY65665 ODQ65544:ODU65665 ONM65544:ONQ65665 OXI65544:OXM65665 PHE65544:PHI65665 PRA65544:PRE65665 QAW65544:QBA65665 QKS65544:QKW65665 QUO65544:QUS65665 REK65544:REO65665 ROG65544:ROK65665 RYC65544:RYG65665 SHY65544:SIC65665 SRU65544:SRY65665 TBQ65544:TBU65665 TLM65544:TLQ65665 TVI65544:TVM65665 UFE65544:UFI65665 UPA65544:UPE65665 UYW65544:UZA65665 VIS65544:VIW65665 VSO65544:VSS65665 WCK65544:WCO65665 WMG65544:WMK65665 WWC65544:WWG65665 U131080:Y131201 JQ131080:JU131201 TM131080:TQ131201 ADI131080:ADM131201 ANE131080:ANI131201 AXA131080:AXE131201 BGW131080:BHA131201 BQS131080:BQW131201 CAO131080:CAS131201 CKK131080:CKO131201 CUG131080:CUK131201 DEC131080:DEG131201 DNY131080:DOC131201 DXU131080:DXY131201 EHQ131080:EHU131201 ERM131080:ERQ131201 FBI131080:FBM131201 FLE131080:FLI131201 FVA131080:FVE131201 GEW131080:GFA131201 GOS131080:GOW131201 GYO131080:GYS131201 HIK131080:HIO131201 HSG131080:HSK131201 ICC131080:ICG131201 ILY131080:IMC131201 IVU131080:IVY131201 JFQ131080:JFU131201 JPM131080:JPQ131201 JZI131080:JZM131201 KJE131080:KJI131201 KTA131080:KTE131201 LCW131080:LDA131201 LMS131080:LMW131201 LWO131080:LWS131201 MGK131080:MGO131201 MQG131080:MQK131201 NAC131080:NAG131201 NJY131080:NKC131201 NTU131080:NTY131201 ODQ131080:ODU131201 ONM131080:ONQ131201 OXI131080:OXM131201 PHE131080:PHI131201 PRA131080:PRE131201 QAW131080:QBA131201 QKS131080:QKW131201 QUO131080:QUS131201 REK131080:REO131201 ROG131080:ROK131201 RYC131080:RYG131201 SHY131080:SIC131201 SRU131080:SRY131201 TBQ131080:TBU131201 TLM131080:TLQ131201 TVI131080:TVM131201 UFE131080:UFI131201 UPA131080:UPE131201 UYW131080:UZA131201 VIS131080:VIW131201 VSO131080:VSS131201 WCK131080:WCO131201 WMG131080:WMK131201 WWC131080:WWG131201 U196616:Y196737 JQ196616:JU196737 TM196616:TQ196737 ADI196616:ADM196737 ANE196616:ANI196737 AXA196616:AXE196737 BGW196616:BHA196737 BQS196616:BQW196737 CAO196616:CAS196737 CKK196616:CKO196737 CUG196616:CUK196737 DEC196616:DEG196737 DNY196616:DOC196737 DXU196616:DXY196737 EHQ196616:EHU196737 ERM196616:ERQ196737 FBI196616:FBM196737 FLE196616:FLI196737 FVA196616:FVE196737 GEW196616:GFA196737 GOS196616:GOW196737 GYO196616:GYS196737 HIK196616:HIO196737 HSG196616:HSK196737 ICC196616:ICG196737 ILY196616:IMC196737 IVU196616:IVY196737 JFQ196616:JFU196737 JPM196616:JPQ196737 JZI196616:JZM196737 KJE196616:KJI196737 KTA196616:KTE196737 LCW196616:LDA196737 LMS196616:LMW196737 LWO196616:LWS196737 MGK196616:MGO196737 MQG196616:MQK196737 NAC196616:NAG196737 NJY196616:NKC196737 NTU196616:NTY196737 ODQ196616:ODU196737 ONM196616:ONQ196737 OXI196616:OXM196737 PHE196616:PHI196737 PRA196616:PRE196737 QAW196616:QBA196737 QKS196616:QKW196737 QUO196616:QUS196737 REK196616:REO196737 ROG196616:ROK196737 RYC196616:RYG196737 SHY196616:SIC196737 SRU196616:SRY196737 TBQ196616:TBU196737 TLM196616:TLQ196737 TVI196616:TVM196737 UFE196616:UFI196737 UPA196616:UPE196737 UYW196616:UZA196737 VIS196616:VIW196737 VSO196616:VSS196737 WCK196616:WCO196737 WMG196616:WMK196737 WWC196616:WWG196737 U262152:Y262273 JQ262152:JU262273 TM262152:TQ262273 ADI262152:ADM262273 ANE262152:ANI262273 AXA262152:AXE262273 BGW262152:BHA262273 BQS262152:BQW262273 CAO262152:CAS262273 CKK262152:CKO262273 CUG262152:CUK262273 DEC262152:DEG262273 DNY262152:DOC262273 DXU262152:DXY262273 EHQ262152:EHU262273 ERM262152:ERQ262273 FBI262152:FBM262273 FLE262152:FLI262273 FVA262152:FVE262273 GEW262152:GFA262273 GOS262152:GOW262273 GYO262152:GYS262273 HIK262152:HIO262273 HSG262152:HSK262273 ICC262152:ICG262273 ILY262152:IMC262273 IVU262152:IVY262273 JFQ262152:JFU262273 JPM262152:JPQ262273 JZI262152:JZM262273 KJE262152:KJI262273 KTA262152:KTE262273 LCW262152:LDA262273 LMS262152:LMW262273 LWO262152:LWS262273 MGK262152:MGO262273 MQG262152:MQK262273 NAC262152:NAG262273 NJY262152:NKC262273 NTU262152:NTY262273 ODQ262152:ODU262273 ONM262152:ONQ262273 OXI262152:OXM262273 PHE262152:PHI262273 PRA262152:PRE262273 QAW262152:QBA262273 QKS262152:QKW262273 QUO262152:QUS262273 REK262152:REO262273 ROG262152:ROK262273 RYC262152:RYG262273 SHY262152:SIC262273 SRU262152:SRY262273 TBQ262152:TBU262273 TLM262152:TLQ262273 TVI262152:TVM262273 UFE262152:UFI262273 UPA262152:UPE262273 UYW262152:UZA262273 VIS262152:VIW262273 VSO262152:VSS262273 WCK262152:WCO262273 WMG262152:WMK262273 WWC262152:WWG262273 U327688:Y327809 JQ327688:JU327809 TM327688:TQ327809 ADI327688:ADM327809 ANE327688:ANI327809 AXA327688:AXE327809 BGW327688:BHA327809 BQS327688:BQW327809 CAO327688:CAS327809 CKK327688:CKO327809 CUG327688:CUK327809 DEC327688:DEG327809 DNY327688:DOC327809 DXU327688:DXY327809 EHQ327688:EHU327809 ERM327688:ERQ327809 FBI327688:FBM327809 FLE327688:FLI327809 FVA327688:FVE327809 GEW327688:GFA327809 GOS327688:GOW327809 GYO327688:GYS327809 HIK327688:HIO327809 HSG327688:HSK327809 ICC327688:ICG327809 ILY327688:IMC327809 IVU327688:IVY327809 JFQ327688:JFU327809 JPM327688:JPQ327809 JZI327688:JZM327809 KJE327688:KJI327809 KTA327688:KTE327809 LCW327688:LDA327809 LMS327688:LMW327809 LWO327688:LWS327809 MGK327688:MGO327809 MQG327688:MQK327809 NAC327688:NAG327809 NJY327688:NKC327809 NTU327688:NTY327809 ODQ327688:ODU327809 ONM327688:ONQ327809 OXI327688:OXM327809 PHE327688:PHI327809 PRA327688:PRE327809 QAW327688:QBA327809 QKS327688:QKW327809 QUO327688:QUS327809 REK327688:REO327809 ROG327688:ROK327809 RYC327688:RYG327809 SHY327688:SIC327809 SRU327688:SRY327809 TBQ327688:TBU327809 TLM327688:TLQ327809 TVI327688:TVM327809 UFE327688:UFI327809 UPA327688:UPE327809 UYW327688:UZA327809 VIS327688:VIW327809 VSO327688:VSS327809 WCK327688:WCO327809 WMG327688:WMK327809 WWC327688:WWG327809 U393224:Y393345 JQ393224:JU393345 TM393224:TQ393345 ADI393224:ADM393345 ANE393224:ANI393345 AXA393224:AXE393345 BGW393224:BHA393345 BQS393224:BQW393345 CAO393224:CAS393345 CKK393224:CKO393345 CUG393224:CUK393345 DEC393224:DEG393345 DNY393224:DOC393345 DXU393224:DXY393345 EHQ393224:EHU393345 ERM393224:ERQ393345 FBI393224:FBM393345 FLE393224:FLI393345 FVA393224:FVE393345 GEW393224:GFA393345 GOS393224:GOW393345 GYO393224:GYS393345 HIK393224:HIO393345 HSG393224:HSK393345 ICC393224:ICG393345 ILY393224:IMC393345 IVU393224:IVY393345 JFQ393224:JFU393345 JPM393224:JPQ393345 JZI393224:JZM393345 KJE393224:KJI393345 KTA393224:KTE393345 LCW393224:LDA393345 LMS393224:LMW393345 LWO393224:LWS393345 MGK393224:MGO393345 MQG393224:MQK393345 NAC393224:NAG393345 NJY393224:NKC393345 NTU393224:NTY393345 ODQ393224:ODU393345 ONM393224:ONQ393345 OXI393224:OXM393345 PHE393224:PHI393345 PRA393224:PRE393345 QAW393224:QBA393345 QKS393224:QKW393345 QUO393224:QUS393345 REK393224:REO393345 ROG393224:ROK393345 RYC393224:RYG393345 SHY393224:SIC393345 SRU393224:SRY393345 TBQ393224:TBU393345 TLM393224:TLQ393345 TVI393224:TVM393345 UFE393224:UFI393345 UPA393224:UPE393345 UYW393224:UZA393345 VIS393224:VIW393345 VSO393224:VSS393345 WCK393224:WCO393345 WMG393224:WMK393345 WWC393224:WWG393345 U458760:Y458881 JQ458760:JU458881 TM458760:TQ458881 ADI458760:ADM458881 ANE458760:ANI458881 AXA458760:AXE458881 BGW458760:BHA458881 BQS458760:BQW458881 CAO458760:CAS458881 CKK458760:CKO458881 CUG458760:CUK458881 DEC458760:DEG458881 DNY458760:DOC458881 DXU458760:DXY458881 EHQ458760:EHU458881 ERM458760:ERQ458881 FBI458760:FBM458881 FLE458760:FLI458881 FVA458760:FVE458881 GEW458760:GFA458881 GOS458760:GOW458881 GYO458760:GYS458881 HIK458760:HIO458881 HSG458760:HSK458881 ICC458760:ICG458881 ILY458760:IMC458881 IVU458760:IVY458881 JFQ458760:JFU458881 JPM458760:JPQ458881 JZI458760:JZM458881 KJE458760:KJI458881 KTA458760:KTE458881 LCW458760:LDA458881 LMS458760:LMW458881 LWO458760:LWS458881 MGK458760:MGO458881 MQG458760:MQK458881 NAC458760:NAG458881 NJY458760:NKC458881 NTU458760:NTY458881 ODQ458760:ODU458881 ONM458760:ONQ458881 OXI458760:OXM458881 PHE458760:PHI458881 PRA458760:PRE458881 QAW458760:QBA458881 QKS458760:QKW458881 QUO458760:QUS458881 REK458760:REO458881 ROG458760:ROK458881 RYC458760:RYG458881 SHY458760:SIC458881 SRU458760:SRY458881 TBQ458760:TBU458881 TLM458760:TLQ458881 TVI458760:TVM458881 UFE458760:UFI458881 UPA458760:UPE458881 UYW458760:UZA458881 VIS458760:VIW458881 VSO458760:VSS458881 WCK458760:WCO458881 WMG458760:WMK458881 WWC458760:WWG458881 U524296:Y524417 JQ524296:JU524417 TM524296:TQ524417 ADI524296:ADM524417 ANE524296:ANI524417 AXA524296:AXE524417 BGW524296:BHA524417 BQS524296:BQW524417 CAO524296:CAS524417 CKK524296:CKO524417 CUG524296:CUK524417 DEC524296:DEG524417 DNY524296:DOC524417 DXU524296:DXY524417 EHQ524296:EHU524417 ERM524296:ERQ524417 FBI524296:FBM524417 FLE524296:FLI524417 FVA524296:FVE524417 GEW524296:GFA524417 GOS524296:GOW524417 GYO524296:GYS524417 HIK524296:HIO524417 HSG524296:HSK524417 ICC524296:ICG524417 ILY524296:IMC524417 IVU524296:IVY524417 JFQ524296:JFU524417 JPM524296:JPQ524417 JZI524296:JZM524417 KJE524296:KJI524417 KTA524296:KTE524417 LCW524296:LDA524417 LMS524296:LMW524417 LWO524296:LWS524417 MGK524296:MGO524417 MQG524296:MQK524417 NAC524296:NAG524417 NJY524296:NKC524417 NTU524296:NTY524417 ODQ524296:ODU524417 ONM524296:ONQ524417 OXI524296:OXM524417 PHE524296:PHI524417 PRA524296:PRE524417 QAW524296:QBA524417 QKS524296:QKW524417 QUO524296:QUS524417 REK524296:REO524417 ROG524296:ROK524417 RYC524296:RYG524417 SHY524296:SIC524417 SRU524296:SRY524417 TBQ524296:TBU524417 TLM524296:TLQ524417 TVI524296:TVM524417 UFE524296:UFI524417 UPA524296:UPE524417 UYW524296:UZA524417 VIS524296:VIW524417 VSO524296:VSS524417 WCK524296:WCO524417 WMG524296:WMK524417 WWC524296:WWG524417 U589832:Y589953 JQ589832:JU589953 TM589832:TQ589953 ADI589832:ADM589953 ANE589832:ANI589953 AXA589832:AXE589953 BGW589832:BHA589953 BQS589832:BQW589953 CAO589832:CAS589953 CKK589832:CKO589953 CUG589832:CUK589953 DEC589832:DEG589953 DNY589832:DOC589953 DXU589832:DXY589953 EHQ589832:EHU589953 ERM589832:ERQ589953 FBI589832:FBM589953 FLE589832:FLI589953 FVA589832:FVE589953 GEW589832:GFA589953 GOS589832:GOW589953 GYO589832:GYS589953 HIK589832:HIO589953 HSG589832:HSK589953 ICC589832:ICG589953 ILY589832:IMC589953 IVU589832:IVY589953 JFQ589832:JFU589953 JPM589832:JPQ589953 JZI589832:JZM589953 KJE589832:KJI589953 KTA589832:KTE589953 LCW589832:LDA589953 LMS589832:LMW589953 LWO589832:LWS589953 MGK589832:MGO589953 MQG589832:MQK589953 NAC589832:NAG589953 NJY589832:NKC589953 NTU589832:NTY589953 ODQ589832:ODU589953 ONM589832:ONQ589953 OXI589832:OXM589953 PHE589832:PHI589953 PRA589832:PRE589953 QAW589832:QBA589953 QKS589832:QKW589953 QUO589832:QUS589953 REK589832:REO589953 ROG589832:ROK589953 RYC589832:RYG589953 SHY589832:SIC589953 SRU589832:SRY589953 TBQ589832:TBU589953 TLM589832:TLQ589953 TVI589832:TVM589953 UFE589832:UFI589953 UPA589832:UPE589953 UYW589832:UZA589953 VIS589832:VIW589953 VSO589832:VSS589953 WCK589832:WCO589953 WMG589832:WMK589953 WWC589832:WWG589953 U655368:Y655489 JQ655368:JU655489 TM655368:TQ655489 ADI655368:ADM655489 ANE655368:ANI655489 AXA655368:AXE655489 BGW655368:BHA655489 BQS655368:BQW655489 CAO655368:CAS655489 CKK655368:CKO655489 CUG655368:CUK655489 DEC655368:DEG655489 DNY655368:DOC655489 DXU655368:DXY655489 EHQ655368:EHU655489 ERM655368:ERQ655489 FBI655368:FBM655489 FLE655368:FLI655489 FVA655368:FVE655489 GEW655368:GFA655489 GOS655368:GOW655489 GYO655368:GYS655489 HIK655368:HIO655489 HSG655368:HSK655489 ICC655368:ICG655489 ILY655368:IMC655489 IVU655368:IVY655489 JFQ655368:JFU655489 JPM655368:JPQ655489 JZI655368:JZM655489 KJE655368:KJI655489 KTA655368:KTE655489 LCW655368:LDA655489 LMS655368:LMW655489 LWO655368:LWS655489 MGK655368:MGO655489 MQG655368:MQK655489 NAC655368:NAG655489 NJY655368:NKC655489 NTU655368:NTY655489 ODQ655368:ODU655489 ONM655368:ONQ655489 OXI655368:OXM655489 PHE655368:PHI655489 PRA655368:PRE655489 QAW655368:QBA655489 QKS655368:QKW655489 QUO655368:QUS655489 REK655368:REO655489 ROG655368:ROK655489 RYC655368:RYG655489 SHY655368:SIC655489 SRU655368:SRY655489 TBQ655368:TBU655489 TLM655368:TLQ655489 TVI655368:TVM655489 UFE655368:UFI655489 UPA655368:UPE655489 UYW655368:UZA655489 VIS655368:VIW655489 VSO655368:VSS655489 WCK655368:WCO655489 WMG655368:WMK655489 WWC655368:WWG655489 U720904:Y721025 JQ720904:JU721025 TM720904:TQ721025 ADI720904:ADM721025 ANE720904:ANI721025 AXA720904:AXE721025 BGW720904:BHA721025 BQS720904:BQW721025 CAO720904:CAS721025 CKK720904:CKO721025 CUG720904:CUK721025 DEC720904:DEG721025 DNY720904:DOC721025 DXU720904:DXY721025 EHQ720904:EHU721025 ERM720904:ERQ721025 FBI720904:FBM721025 FLE720904:FLI721025 FVA720904:FVE721025 GEW720904:GFA721025 GOS720904:GOW721025 GYO720904:GYS721025 HIK720904:HIO721025 HSG720904:HSK721025 ICC720904:ICG721025 ILY720904:IMC721025 IVU720904:IVY721025 JFQ720904:JFU721025 JPM720904:JPQ721025 JZI720904:JZM721025 KJE720904:KJI721025 KTA720904:KTE721025 LCW720904:LDA721025 LMS720904:LMW721025 LWO720904:LWS721025 MGK720904:MGO721025 MQG720904:MQK721025 NAC720904:NAG721025 NJY720904:NKC721025 NTU720904:NTY721025 ODQ720904:ODU721025 ONM720904:ONQ721025 OXI720904:OXM721025 PHE720904:PHI721025 PRA720904:PRE721025 QAW720904:QBA721025 QKS720904:QKW721025 QUO720904:QUS721025 REK720904:REO721025 ROG720904:ROK721025 RYC720904:RYG721025 SHY720904:SIC721025 SRU720904:SRY721025 TBQ720904:TBU721025 TLM720904:TLQ721025 TVI720904:TVM721025 UFE720904:UFI721025 UPA720904:UPE721025 UYW720904:UZA721025 VIS720904:VIW721025 VSO720904:VSS721025 WCK720904:WCO721025 WMG720904:WMK721025 WWC720904:WWG721025 U786440:Y786561 JQ786440:JU786561 TM786440:TQ786561 ADI786440:ADM786561 ANE786440:ANI786561 AXA786440:AXE786561 BGW786440:BHA786561 BQS786440:BQW786561 CAO786440:CAS786561 CKK786440:CKO786561 CUG786440:CUK786561 DEC786440:DEG786561 DNY786440:DOC786561 DXU786440:DXY786561 EHQ786440:EHU786561 ERM786440:ERQ786561 FBI786440:FBM786561 FLE786440:FLI786561 FVA786440:FVE786561 GEW786440:GFA786561 GOS786440:GOW786561 GYO786440:GYS786561 HIK786440:HIO786561 HSG786440:HSK786561 ICC786440:ICG786561 ILY786440:IMC786561 IVU786440:IVY786561 JFQ786440:JFU786561 JPM786440:JPQ786561 JZI786440:JZM786561 KJE786440:KJI786561 KTA786440:KTE786561 LCW786440:LDA786561 LMS786440:LMW786561 LWO786440:LWS786561 MGK786440:MGO786561 MQG786440:MQK786561 NAC786440:NAG786561 NJY786440:NKC786561 NTU786440:NTY786561 ODQ786440:ODU786561 ONM786440:ONQ786561 OXI786440:OXM786561 PHE786440:PHI786561 PRA786440:PRE786561 QAW786440:QBA786561 QKS786440:QKW786561 QUO786440:QUS786561 REK786440:REO786561 ROG786440:ROK786561 RYC786440:RYG786561 SHY786440:SIC786561 SRU786440:SRY786561 TBQ786440:TBU786561 TLM786440:TLQ786561 TVI786440:TVM786561 UFE786440:UFI786561 UPA786440:UPE786561 UYW786440:UZA786561 VIS786440:VIW786561 VSO786440:VSS786561 WCK786440:WCO786561 WMG786440:WMK786561 WWC786440:WWG786561 U851976:Y852097 JQ851976:JU852097 TM851976:TQ852097 ADI851976:ADM852097 ANE851976:ANI852097 AXA851976:AXE852097 BGW851976:BHA852097 BQS851976:BQW852097 CAO851976:CAS852097 CKK851976:CKO852097 CUG851976:CUK852097 DEC851976:DEG852097 DNY851976:DOC852097 DXU851976:DXY852097 EHQ851976:EHU852097 ERM851976:ERQ852097 FBI851976:FBM852097 FLE851976:FLI852097 FVA851976:FVE852097 GEW851976:GFA852097 GOS851976:GOW852097 GYO851976:GYS852097 HIK851976:HIO852097 HSG851976:HSK852097 ICC851976:ICG852097 ILY851976:IMC852097 IVU851976:IVY852097 JFQ851976:JFU852097 JPM851976:JPQ852097 JZI851976:JZM852097 KJE851976:KJI852097 KTA851976:KTE852097 LCW851976:LDA852097 LMS851976:LMW852097 LWO851976:LWS852097 MGK851976:MGO852097 MQG851976:MQK852097 NAC851976:NAG852097 NJY851976:NKC852097 NTU851976:NTY852097 ODQ851976:ODU852097 ONM851976:ONQ852097 OXI851976:OXM852097 PHE851976:PHI852097 PRA851976:PRE852097 QAW851976:QBA852097 QKS851976:QKW852097 QUO851976:QUS852097 REK851976:REO852097 ROG851976:ROK852097 RYC851976:RYG852097 SHY851976:SIC852097 SRU851976:SRY852097 TBQ851976:TBU852097 TLM851976:TLQ852097 TVI851976:TVM852097 UFE851976:UFI852097 UPA851976:UPE852097 UYW851976:UZA852097 VIS851976:VIW852097 VSO851976:VSS852097 WCK851976:WCO852097 WMG851976:WMK852097 WWC851976:WWG852097 U917512:Y917633 JQ917512:JU917633 TM917512:TQ917633 ADI917512:ADM917633 ANE917512:ANI917633 AXA917512:AXE917633 BGW917512:BHA917633 BQS917512:BQW917633 CAO917512:CAS917633 CKK917512:CKO917633 CUG917512:CUK917633 DEC917512:DEG917633 DNY917512:DOC917633 DXU917512:DXY917633 EHQ917512:EHU917633 ERM917512:ERQ917633 FBI917512:FBM917633 FLE917512:FLI917633 FVA917512:FVE917633 GEW917512:GFA917633 GOS917512:GOW917633 GYO917512:GYS917633 HIK917512:HIO917633 HSG917512:HSK917633 ICC917512:ICG917633 ILY917512:IMC917633 IVU917512:IVY917633 JFQ917512:JFU917633 JPM917512:JPQ917633 JZI917512:JZM917633 KJE917512:KJI917633 KTA917512:KTE917633 LCW917512:LDA917633 LMS917512:LMW917633 LWO917512:LWS917633 MGK917512:MGO917633 MQG917512:MQK917633 NAC917512:NAG917633 NJY917512:NKC917633 NTU917512:NTY917633 ODQ917512:ODU917633 ONM917512:ONQ917633 OXI917512:OXM917633 PHE917512:PHI917633 PRA917512:PRE917633 QAW917512:QBA917633 QKS917512:QKW917633 QUO917512:QUS917633 REK917512:REO917633 ROG917512:ROK917633 RYC917512:RYG917633 SHY917512:SIC917633 SRU917512:SRY917633 TBQ917512:TBU917633 TLM917512:TLQ917633 TVI917512:TVM917633 UFE917512:UFI917633 UPA917512:UPE917633 UYW917512:UZA917633 VIS917512:VIW917633 VSO917512:VSS917633 WCK917512:WCO917633 WMG917512:WMK917633 WWC917512:WWG917633 U983048:Y983169 JQ983048:JU983169 TM983048:TQ983169 ADI983048:ADM983169 ANE983048:ANI983169 AXA983048:AXE983169 BGW983048:BHA983169 BQS983048:BQW983169 CAO983048:CAS983169 CKK983048:CKO983169 CUG983048:CUK983169 DEC983048:DEG983169 DNY983048:DOC983169 DXU983048:DXY983169 EHQ983048:EHU983169 ERM983048:ERQ983169 FBI983048:FBM983169 FLE983048:FLI983169 FVA983048:FVE983169 GEW983048:GFA983169 GOS983048:GOW983169 GYO983048:GYS983169 HIK983048:HIO983169 HSG983048:HSK983169 ICC983048:ICG983169 ILY983048:IMC983169 IVU983048:IVY983169 JFQ983048:JFU983169 JPM983048:JPQ983169 JZI983048:JZM983169 KJE983048:KJI983169 KTA983048:KTE983169 LCW983048:LDA983169 LMS983048:LMW983169 LWO983048:LWS983169 MGK983048:MGO983169 MQG983048:MQK983169 NAC983048:NAG983169 NJY983048:NKC983169 NTU983048:NTY983169 ODQ983048:ODU983169 ONM983048:ONQ983169 OXI983048:OXM983169 PHE983048:PHI983169 PRA983048:PRE983169 QAW983048:QBA983169 QKS983048:QKW983169 QUO983048:QUS983169 REK983048:REO983169 ROG983048:ROK983169 RYC983048:RYG983169 SHY983048:SIC983169 SRU983048:SRY983169 TBQ983048:TBU983169 TLM983048:TLQ983169 TVI983048:TVM983169 UFE983048:UFI983169 UPA983048:UPE983169 UYW983048:UZA983169 VIS983048:VIW983169 VSO983048:VSS983169 WCK983048:WCO983169 WMG983048:WMK983169 WWC983048:WWG983169 K94:P129 JG94:JL129 TC94:TH129 ACY94:ADD129 AMU94:AMZ129 AWQ94:AWV129 BGM94:BGR129 BQI94:BQN129 CAE94:CAJ129 CKA94:CKF129 CTW94:CUB129 DDS94:DDX129 DNO94:DNT129 DXK94:DXP129 EHG94:EHL129 ERC94:ERH129 FAY94:FBD129 FKU94:FKZ129 FUQ94:FUV129 GEM94:GER129 GOI94:GON129 GYE94:GYJ129 HIA94:HIF129 HRW94:HSB129 IBS94:IBX129 ILO94:ILT129 IVK94:IVP129 JFG94:JFL129 JPC94:JPH129 JYY94:JZD129 KIU94:KIZ129 KSQ94:KSV129 LCM94:LCR129 LMI94:LMN129 LWE94:LWJ129 MGA94:MGF129 MPW94:MQB129 MZS94:MZX129 NJO94:NJT129 NTK94:NTP129 ODG94:ODL129 ONC94:ONH129 OWY94:OXD129 PGU94:PGZ129 PQQ94:PQV129 QAM94:QAR129 QKI94:QKN129 QUE94:QUJ129 REA94:REF129 RNW94:ROB129 RXS94:RXX129 SHO94:SHT129 SRK94:SRP129 TBG94:TBL129 TLC94:TLH129 TUY94:TVD129 UEU94:UEZ129 UOQ94:UOV129 UYM94:UYR129 VII94:VIN129 VSE94:VSJ129 WCA94:WCF129 WLW94:WMB129 WVS94:WVX129 K65630:P65665 JG65630:JL65665 TC65630:TH65665 ACY65630:ADD65665 AMU65630:AMZ65665 AWQ65630:AWV65665 BGM65630:BGR65665 BQI65630:BQN65665 CAE65630:CAJ65665 CKA65630:CKF65665 CTW65630:CUB65665 DDS65630:DDX65665 DNO65630:DNT65665 DXK65630:DXP65665 EHG65630:EHL65665 ERC65630:ERH65665 FAY65630:FBD65665 FKU65630:FKZ65665 FUQ65630:FUV65665 GEM65630:GER65665 GOI65630:GON65665 GYE65630:GYJ65665 HIA65630:HIF65665 HRW65630:HSB65665 IBS65630:IBX65665 ILO65630:ILT65665 IVK65630:IVP65665 JFG65630:JFL65665 JPC65630:JPH65665 JYY65630:JZD65665 KIU65630:KIZ65665 KSQ65630:KSV65665 LCM65630:LCR65665 LMI65630:LMN65665 LWE65630:LWJ65665 MGA65630:MGF65665 MPW65630:MQB65665 MZS65630:MZX65665 NJO65630:NJT65665 NTK65630:NTP65665 ODG65630:ODL65665 ONC65630:ONH65665 OWY65630:OXD65665 PGU65630:PGZ65665 PQQ65630:PQV65665 QAM65630:QAR65665 QKI65630:QKN65665 QUE65630:QUJ65665 REA65630:REF65665 RNW65630:ROB65665 RXS65630:RXX65665 SHO65630:SHT65665 SRK65630:SRP65665 TBG65630:TBL65665 TLC65630:TLH65665 TUY65630:TVD65665 UEU65630:UEZ65665 UOQ65630:UOV65665 UYM65630:UYR65665 VII65630:VIN65665 VSE65630:VSJ65665 WCA65630:WCF65665 WLW65630:WMB65665 WVS65630:WVX65665 K131166:P131201 JG131166:JL131201 TC131166:TH131201 ACY131166:ADD131201 AMU131166:AMZ131201 AWQ131166:AWV131201 BGM131166:BGR131201 BQI131166:BQN131201 CAE131166:CAJ131201 CKA131166:CKF131201 CTW131166:CUB131201 DDS131166:DDX131201 DNO131166:DNT131201 DXK131166:DXP131201 EHG131166:EHL131201 ERC131166:ERH131201 FAY131166:FBD131201 FKU131166:FKZ131201 FUQ131166:FUV131201 GEM131166:GER131201 GOI131166:GON131201 GYE131166:GYJ131201 HIA131166:HIF131201 HRW131166:HSB131201 IBS131166:IBX131201 ILO131166:ILT131201 IVK131166:IVP131201 JFG131166:JFL131201 JPC131166:JPH131201 JYY131166:JZD131201 KIU131166:KIZ131201 KSQ131166:KSV131201 LCM131166:LCR131201 LMI131166:LMN131201 LWE131166:LWJ131201 MGA131166:MGF131201 MPW131166:MQB131201 MZS131166:MZX131201 NJO131166:NJT131201 NTK131166:NTP131201 ODG131166:ODL131201 ONC131166:ONH131201 OWY131166:OXD131201 PGU131166:PGZ131201 PQQ131166:PQV131201 QAM131166:QAR131201 QKI131166:QKN131201 QUE131166:QUJ131201 REA131166:REF131201 RNW131166:ROB131201 RXS131166:RXX131201 SHO131166:SHT131201 SRK131166:SRP131201 TBG131166:TBL131201 TLC131166:TLH131201 TUY131166:TVD131201 UEU131166:UEZ131201 UOQ131166:UOV131201 UYM131166:UYR131201 VII131166:VIN131201 VSE131166:VSJ131201 WCA131166:WCF131201 WLW131166:WMB131201 WVS131166:WVX131201 K196702:P196737 JG196702:JL196737 TC196702:TH196737 ACY196702:ADD196737 AMU196702:AMZ196737 AWQ196702:AWV196737 BGM196702:BGR196737 BQI196702:BQN196737 CAE196702:CAJ196737 CKA196702:CKF196737 CTW196702:CUB196737 DDS196702:DDX196737 DNO196702:DNT196737 DXK196702:DXP196737 EHG196702:EHL196737 ERC196702:ERH196737 FAY196702:FBD196737 FKU196702:FKZ196737 FUQ196702:FUV196737 GEM196702:GER196737 GOI196702:GON196737 GYE196702:GYJ196737 HIA196702:HIF196737 HRW196702:HSB196737 IBS196702:IBX196737 ILO196702:ILT196737 IVK196702:IVP196737 JFG196702:JFL196737 JPC196702:JPH196737 JYY196702:JZD196737 KIU196702:KIZ196737 KSQ196702:KSV196737 LCM196702:LCR196737 LMI196702:LMN196737 LWE196702:LWJ196737 MGA196702:MGF196737 MPW196702:MQB196737 MZS196702:MZX196737 NJO196702:NJT196737 NTK196702:NTP196737 ODG196702:ODL196737 ONC196702:ONH196737 OWY196702:OXD196737 PGU196702:PGZ196737 PQQ196702:PQV196737 QAM196702:QAR196737 QKI196702:QKN196737 QUE196702:QUJ196737 REA196702:REF196737 RNW196702:ROB196737 RXS196702:RXX196737 SHO196702:SHT196737 SRK196702:SRP196737 TBG196702:TBL196737 TLC196702:TLH196737 TUY196702:TVD196737 UEU196702:UEZ196737 UOQ196702:UOV196737 UYM196702:UYR196737 VII196702:VIN196737 VSE196702:VSJ196737 WCA196702:WCF196737 WLW196702:WMB196737 WVS196702:WVX196737 K262238:P262273 JG262238:JL262273 TC262238:TH262273 ACY262238:ADD262273 AMU262238:AMZ262273 AWQ262238:AWV262273 BGM262238:BGR262273 BQI262238:BQN262273 CAE262238:CAJ262273 CKA262238:CKF262273 CTW262238:CUB262273 DDS262238:DDX262273 DNO262238:DNT262273 DXK262238:DXP262273 EHG262238:EHL262273 ERC262238:ERH262273 FAY262238:FBD262273 FKU262238:FKZ262273 FUQ262238:FUV262273 GEM262238:GER262273 GOI262238:GON262273 GYE262238:GYJ262273 HIA262238:HIF262273 HRW262238:HSB262273 IBS262238:IBX262273 ILO262238:ILT262273 IVK262238:IVP262273 JFG262238:JFL262273 JPC262238:JPH262273 JYY262238:JZD262273 KIU262238:KIZ262273 KSQ262238:KSV262273 LCM262238:LCR262273 LMI262238:LMN262273 LWE262238:LWJ262273 MGA262238:MGF262273 MPW262238:MQB262273 MZS262238:MZX262273 NJO262238:NJT262273 NTK262238:NTP262273 ODG262238:ODL262273 ONC262238:ONH262273 OWY262238:OXD262273 PGU262238:PGZ262273 PQQ262238:PQV262273 QAM262238:QAR262273 QKI262238:QKN262273 QUE262238:QUJ262273 REA262238:REF262273 RNW262238:ROB262273 RXS262238:RXX262273 SHO262238:SHT262273 SRK262238:SRP262273 TBG262238:TBL262273 TLC262238:TLH262273 TUY262238:TVD262273 UEU262238:UEZ262273 UOQ262238:UOV262273 UYM262238:UYR262273 VII262238:VIN262273 VSE262238:VSJ262273 WCA262238:WCF262273 WLW262238:WMB262273 WVS262238:WVX262273 K327774:P327809 JG327774:JL327809 TC327774:TH327809 ACY327774:ADD327809 AMU327774:AMZ327809 AWQ327774:AWV327809 BGM327774:BGR327809 BQI327774:BQN327809 CAE327774:CAJ327809 CKA327774:CKF327809 CTW327774:CUB327809 DDS327774:DDX327809 DNO327774:DNT327809 DXK327774:DXP327809 EHG327774:EHL327809 ERC327774:ERH327809 FAY327774:FBD327809 FKU327774:FKZ327809 FUQ327774:FUV327809 GEM327774:GER327809 GOI327774:GON327809 GYE327774:GYJ327809 HIA327774:HIF327809 HRW327774:HSB327809 IBS327774:IBX327809 ILO327774:ILT327809 IVK327774:IVP327809 JFG327774:JFL327809 JPC327774:JPH327809 JYY327774:JZD327809 KIU327774:KIZ327809 KSQ327774:KSV327809 LCM327774:LCR327809 LMI327774:LMN327809 LWE327774:LWJ327809 MGA327774:MGF327809 MPW327774:MQB327809 MZS327774:MZX327809 NJO327774:NJT327809 NTK327774:NTP327809 ODG327774:ODL327809 ONC327774:ONH327809 OWY327774:OXD327809 PGU327774:PGZ327809 PQQ327774:PQV327809 QAM327774:QAR327809 QKI327774:QKN327809 QUE327774:QUJ327809 REA327774:REF327809 RNW327774:ROB327809 RXS327774:RXX327809 SHO327774:SHT327809 SRK327774:SRP327809 TBG327774:TBL327809 TLC327774:TLH327809 TUY327774:TVD327809 UEU327774:UEZ327809 UOQ327774:UOV327809 UYM327774:UYR327809 VII327774:VIN327809 VSE327774:VSJ327809 WCA327774:WCF327809 WLW327774:WMB327809 WVS327774:WVX327809 K393310:P393345 JG393310:JL393345 TC393310:TH393345 ACY393310:ADD393345 AMU393310:AMZ393345 AWQ393310:AWV393345 BGM393310:BGR393345 BQI393310:BQN393345 CAE393310:CAJ393345 CKA393310:CKF393345 CTW393310:CUB393345 DDS393310:DDX393345 DNO393310:DNT393345 DXK393310:DXP393345 EHG393310:EHL393345 ERC393310:ERH393345 FAY393310:FBD393345 FKU393310:FKZ393345 FUQ393310:FUV393345 GEM393310:GER393345 GOI393310:GON393345 GYE393310:GYJ393345 HIA393310:HIF393345 HRW393310:HSB393345 IBS393310:IBX393345 ILO393310:ILT393345 IVK393310:IVP393345 JFG393310:JFL393345 JPC393310:JPH393345 JYY393310:JZD393345 KIU393310:KIZ393345 KSQ393310:KSV393345 LCM393310:LCR393345 LMI393310:LMN393345 LWE393310:LWJ393345 MGA393310:MGF393345 MPW393310:MQB393345 MZS393310:MZX393345 NJO393310:NJT393345 NTK393310:NTP393345 ODG393310:ODL393345 ONC393310:ONH393345 OWY393310:OXD393345 PGU393310:PGZ393345 PQQ393310:PQV393345 QAM393310:QAR393345 QKI393310:QKN393345 QUE393310:QUJ393345 REA393310:REF393345 RNW393310:ROB393345 RXS393310:RXX393345 SHO393310:SHT393345 SRK393310:SRP393345 TBG393310:TBL393345 TLC393310:TLH393345 TUY393310:TVD393345 UEU393310:UEZ393345 UOQ393310:UOV393345 UYM393310:UYR393345 VII393310:VIN393345 VSE393310:VSJ393345 WCA393310:WCF393345 WLW393310:WMB393345 WVS393310:WVX393345 K458846:P458881 JG458846:JL458881 TC458846:TH458881 ACY458846:ADD458881 AMU458846:AMZ458881 AWQ458846:AWV458881 BGM458846:BGR458881 BQI458846:BQN458881 CAE458846:CAJ458881 CKA458846:CKF458881 CTW458846:CUB458881 DDS458846:DDX458881 DNO458846:DNT458881 DXK458846:DXP458881 EHG458846:EHL458881 ERC458846:ERH458881 FAY458846:FBD458881 FKU458846:FKZ458881 FUQ458846:FUV458881 GEM458846:GER458881 GOI458846:GON458881 GYE458846:GYJ458881 HIA458846:HIF458881 HRW458846:HSB458881 IBS458846:IBX458881 ILO458846:ILT458881 IVK458846:IVP458881 JFG458846:JFL458881 JPC458846:JPH458881 JYY458846:JZD458881 KIU458846:KIZ458881 KSQ458846:KSV458881 LCM458846:LCR458881 LMI458846:LMN458881 LWE458846:LWJ458881 MGA458846:MGF458881 MPW458846:MQB458881 MZS458846:MZX458881 NJO458846:NJT458881 NTK458846:NTP458881 ODG458846:ODL458881 ONC458846:ONH458881 OWY458846:OXD458881 PGU458846:PGZ458881 PQQ458846:PQV458881 QAM458846:QAR458881 QKI458846:QKN458881 QUE458846:QUJ458881 REA458846:REF458881 RNW458846:ROB458881 RXS458846:RXX458881 SHO458846:SHT458881 SRK458846:SRP458881 TBG458846:TBL458881 TLC458846:TLH458881 TUY458846:TVD458881 UEU458846:UEZ458881 UOQ458846:UOV458881 UYM458846:UYR458881 VII458846:VIN458881 VSE458846:VSJ458881 WCA458846:WCF458881 WLW458846:WMB458881 WVS458846:WVX458881 K524382:P524417 JG524382:JL524417 TC524382:TH524417 ACY524382:ADD524417 AMU524382:AMZ524417 AWQ524382:AWV524417 BGM524382:BGR524417 BQI524382:BQN524417 CAE524382:CAJ524417 CKA524382:CKF524417 CTW524382:CUB524417 DDS524382:DDX524417 DNO524382:DNT524417 DXK524382:DXP524417 EHG524382:EHL524417 ERC524382:ERH524417 FAY524382:FBD524417 FKU524382:FKZ524417 FUQ524382:FUV524417 GEM524382:GER524417 GOI524382:GON524417 GYE524382:GYJ524417 HIA524382:HIF524417 HRW524382:HSB524417 IBS524382:IBX524417 ILO524382:ILT524417 IVK524382:IVP524417 JFG524382:JFL524417 JPC524382:JPH524417 JYY524382:JZD524417 KIU524382:KIZ524417 KSQ524382:KSV524417 LCM524382:LCR524417 LMI524382:LMN524417 LWE524382:LWJ524417 MGA524382:MGF524417 MPW524382:MQB524417 MZS524382:MZX524417 NJO524382:NJT524417 NTK524382:NTP524417 ODG524382:ODL524417 ONC524382:ONH524417 OWY524382:OXD524417 PGU524382:PGZ524417 PQQ524382:PQV524417 QAM524382:QAR524417 QKI524382:QKN524417 QUE524382:QUJ524417 REA524382:REF524417 RNW524382:ROB524417 RXS524382:RXX524417 SHO524382:SHT524417 SRK524382:SRP524417 TBG524382:TBL524417 TLC524382:TLH524417 TUY524382:TVD524417 UEU524382:UEZ524417 UOQ524382:UOV524417 UYM524382:UYR524417 VII524382:VIN524417 VSE524382:VSJ524417 WCA524382:WCF524417 WLW524382:WMB524417 WVS524382:WVX524417 K589918:P589953 JG589918:JL589953 TC589918:TH589953 ACY589918:ADD589953 AMU589918:AMZ589953 AWQ589918:AWV589953 BGM589918:BGR589953 BQI589918:BQN589953 CAE589918:CAJ589953 CKA589918:CKF589953 CTW589918:CUB589953 DDS589918:DDX589953 DNO589918:DNT589953 DXK589918:DXP589953 EHG589918:EHL589953 ERC589918:ERH589953 FAY589918:FBD589953 FKU589918:FKZ589953 FUQ589918:FUV589953 GEM589918:GER589953 GOI589918:GON589953 GYE589918:GYJ589953 HIA589918:HIF589953 HRW589918:HSB589953 IBS589918:IBX589953 ILO589918:ILT589953 IVK589918:IVP589953 JFG589918:JFL589953 JPC589918:JPH589953 JYY589918:JZD589953 KIU589918:KIZ589953 KSQ589918:KSV589953 LCM589918:LCR589953 LMI589918:LMN589953 LWE589918:LWJ589953 MGA589918:MGF589953 MPW589918:MQB589953 MZS589918:MZX589953 NJO589918:NJT589953 NTK589918:NTP589953 ODG589918:ODL589953 ONC589918:ONH589953 OWY589918:OXD589953 PGU589918:PGZ589953 PQQ589918:PQV589953 QAM589918:QAR589953 QKI589918:QKN589953 QUE589918:QUJ589953 REA589918:REF589953 RNW589918:ROB589953 RXS589918:RXX589953 SHO589918:SHT589953 SRK589918:SRP589953 TBG589918:TBL589953 TLC589918:TLH589953 TUY589918:TVD589953 UEU589918:UEZ589953 UOQ589918:UOV589953 UYM589918:UYR589953 VII589918:VIN589953 VSE589918:VSJ589953 WCA589918:WCF589953 WLW589918:WMB589953 WVS589918:WVX589953 K655454:P655489 JG655454:JL655489 TC655454:TH655489 ACY655454:ADD655489 AMU655454:AMZ655489 AWQ655454:AWV655489 BGM655454:BGR655489 BQI655454:BQN655489 CAE655454:CAJ655489 CKA655454:CKF655489 CTW655454:CUB655489 DDS655454:DDX655489 DNO655454:DNT655489 DXK655454:DXP655489 EHG655454:EHL655489 ERC655454:ERH655489 FAY655454:FBD655489 FKU655454:FKZ655489 FUQ655454:FUV655489 GEM655454:GER655489 GOI655454:GON655489 GYE655454:GYJ655489 HIA655454:HIF655489 HRW655454:HSB655489 IBS655454:IBX655489 ILO655454:ILT655489 IVK655454:IVP655489 JFG655454:JFL655489 JPC655454:JPH655489 JYY655454:JZD655489 KIU655454:KIZ655489 KSQ655454:KSV655489 LCM655454:LCR655489 LMI655454:LMN655489 LWE655454:LWJ655489 MGA655454:MGF655489 MPW655454:MQB655489 MZS655454:MZX655489 NJO655454:NJT655489 NTK655454:NTP655489 ODG655454:ODL655489 ONC655454:ONH655489 OWY655454:OXD655489 PGU655454:PGZ655489 PQQ655454:PQV655489 QAM655454:QAR655489 QKI655454:QKN655489 QUE655454:QUJ655489 REA655454:REF655489 RNW655454:ROB655489 RXS655454:RXX655489 SHO655454:SHT655489 SRK655454:SRP655489 TBG655454:TBL655489 TLC655454:TLH655489 TUY655454:TVD655489 UEU655454:UEZ655489 UOQ655454:UOV655489 UYM655454:UYR655489 VII655454:VIN655489 VSE655454:VSJ655489 WCA655454:WCF655489 WLW655454:WMB655489 WVS655454:WVX655489 K720990:P721025 JG720990:JL721025 TC720990:TH721025 ACY720990:ADD721025 AMU720990:AMZ721025 AWQ720990:AWV721025 BGM720990:BGR721025 BQI720990:BQN721025 CAE720990:CAJ721025 CKA720990:CKF721025 CTW720990:CUB721025 DDS720990:DDX721025 DNO720990:DNT721025 DXK720990:DXP721025 EHG720990:EHL721025 ERC720990:ERH721025 FAY720990:FBD721025 FKU720990:FKZ721025 FUQ720990:FUV721025 GEM720990:GER721025 GOI720990:GON721025 GYE720990:GYJ721025 HIA720990:HIF721025 HRW720990:HSB721025 IBS720990:IBX721025 ILO720990:ILT721025 IVK720990:IVP721025 JFG720990:JFL721025 JPC720990:JPH721025 JYY720990:JZD721025 KIU720990:KIZ721025 KSQ720990:KSV721025 LCM720990:LCR721025 LMI720990:LMN721025 LWE720990:LWJ721025 MGA720990:MGF721025 MPW720990:MQB721025 MZS720990:MZX721025 NJO720990:NJT721025 NTK720990:NTP721025 ODG720990:ODL721025 ONC720990:ONH721025 OWY720990:OXD721025 PGU720990:PGZ721025 PQQ720990:PQV721025 QAM720990:QAR721025 QKI720990:QKN721025 QUE720990:QUJ721025 REA720990:REF721025 RNW720990:ROB721025 RXS720990:RXX721025 SHO720990:SHT721025 SRK720990:SRP721025 TBG720990:TBL721025 TLC720990:TLH721025 TUY720990:TVD721025 UEU720990:UEZ721025 UOQ720990:UOV721025 UYM720990:UYR721025 VII720990:VIN721025 VSE720990:VSJ721025 WCA720990:WCF721025 WLW720990:WMB721025 WVS720990:WVX721025 K786526:P786561 JG786526:JL786561 TC786526:TH786561 ACY786526:ADD786561 AMU786526:AMZ786561 AWQ786526:AWV786561 BGM786526:BGR786561 BQI786526:BQN786561 CAE786526:CAJ786561 CKA786526:CKF786561 CTW786526:CUB786561 DDS786526:DDX786561 DNO786526:DNT786561 DXK786526:DXP786561 EHG786526:EHL786561 ERC786526:ERH786561 FAY786526:FBD786561 FKU786526:FKZ786561 FUQ786526:FUV786561 GEM786526:GER786561 GOI786526:GON786561 GYE786526:GYJ786561 HIA786526:HIF786561 HRW786526:HSB786561 IBS786526:IBX786561 ILO786526:ILT786561 IVK786526:IVP786561 JFG786526:JFL786561 JPC786526:JPH786561 JYY786526:JZD786561 KIU786526:KIZ786561 KSQ786526:KSV786561 LCM786526:LCR786561 LMI786526:LMN786561 LWE786526:LWJ786561 MGA786526:MGF786561 MPW786526:MQB786561 MZS786526:MZX786561 NJO786526:NJT786561 NTK786526:NTP786561 ODG786526:ODL786561 ONC786526:ONH786561 OWY786526:OXD786561 PGU786526:PGZ786561 PQQ786526:PQV786561 QAM786526:QAR786561 QKI786526:QKN786561 QUE786526:QUJ786561 REA786526:REF786561 RNW786526:ROB786561 RXS786526:RXX786561 SHO786526:SHT786561 SRK786526:SRP786561 TBG786526:TBL786561 TLC786526:TLH786561 TUY786526:TVD786561 UEU786526:UEZ786561 UOQ786526:UOV786561 UYM786526:UYR786561 VII786526:VIN786561 VSE786526:VSJ786561 WCA786526:WCF786561 WLW786526:WMB786561 WVS786526:WVX786561 K852062:P852097 JG852062:JL852097 TC852062:TH852097 ACY852062:ADD852097 AMU852062:AMZ852097 AWQ852062:AWV852097 BGM852062:BGR852097 BQI852062:BQN852097 CAE852062:CAJ852097 CKA852062:CKF852097 CTW852062:CUB852097 DDS852062:DDX852097 DNO852062:DNT852097 DXK852062:DXP852097 EHG852062:EHL852097 ERC852062:ERH852097 FAY852062:FBD852097 FKU852062:FKZ852097 FUQ852062:FUV852097 GEM852062:GER852097 GOI852062:GON852097 GYE852062:GYJ852097 HIA852062:HIF852097 HRW852062:HSB852097 IBS852062:IBX852097 ILO852062:ILT852097 IVK852062:IVP852097 JFG852062:JFL852097 JPC852062:JPH852097 JYY852062:JZD852097 KIU852062:KIZ852097 KSQ852062:KSV852097 LCM852062:LCR852097 LMI852062:LMN852097 LWE852062:LWJ852097 MGA852062:MGF852097 MPW852062:MQB852097 MZS852062:MZX852097 NJO852062:NJT852097 NTK852062:NTP852097 ODG852062:ODL852097 ONC852062:ONH852097 OWY852062:OXD852097 PGU852062:PGZ852097 PQQ852062:PQV852097 QAM852062:QAR852097 QKI852062:QKN852097 QUE852062:QUJ852097 REA852062:REF852097 RNW852062:ROB852097 RXS852062:RXX852097 SHO852062:SHT852097 SRK852062:SRP852097 TBG852062:TBL852097 TLC852062:TLH852097 TUY852062:TVD852097 UEU852062:UEZ852097 UOQ852062:UOV852097 UYM852062:UYR852097 VII852062:VIN852097 VSE852062:VSJ852097 WCA852062:WCF852097 WLW852062:WMB852097 WVS852062:WVX852097 K917598:P917633 JG917598:JL917633 TC917598:TH917633 ACY917598:ADD917633 AMU917598:AMZ917633 AWQ917598:AWV917633 BGM917598:BGR917633 BQI917598:BQN917633 CAE917598:CAJ917633 CKA917598:CKF917633 CTW917598:CUB917633 DDS917598:DDX917633 DNO917598:DNT917633 DXK917598:DXP917633 EHG917598:EHL917633 ERC917598:ERH917633 FAY917598:FBD917633 FKU917598:FKZ917633 FUQ917598:FUV917633 GEM917598:GER917633 GOI917598:GON917633 GYE917598:GYJ917633 HIA917598:HIF917633 HRW917598:HSB917633 IBS917598:IBX917633 ILO917598:ILT917633 IVK917598:IVP917633 JFG917598:JFL917633 JPC917598:JPH917633 JYY917598:JZD917633 KIU917598:KIZ917633 KSQ917598:KSV917633 LCM917598:LCR917633 LMI917598:LMN917633 LWE917598:LWJ917633 MGA917598:MGF917633 MPW917598:MQB917633 MZS917598:MZX917633 NJO917598:NJT917633 NTK917598:NTP917633 ODG917598:ODL917633 ONC917598:ONH917633 OWY917598:OXD917633 PGU917598:PGZ917633 PQQ917598:PQV917633 QAM917598:QAR917633 QKI917598:QKN917633 QUE917598:QUJ917633 REA917598:REF917633 RNW917598:ROB917633 RXS917598:RXX917633 SHO917598:SHT917633 SRK917598:SRP917633 TBG917598:TBL917633 TLC917598:TLH917633 TUY917598:TVD917633 UEU917598:UEZ917633 UOQ917598:UOV917633 UYM917598:UYR917633 VII917598:VIN917633 VSE917598:VSJ917633 WCA917598:WCF917633 WLW917598:WMB917633 WVS917598:WVX917633 K983134:P983169 JG983134:JL983169 TC983134:TH983169 ACY983134:ADD983169 AMU983134:AMZ983169 AWQ983134:AWV983169 BGM983134:BGR983169 BQI983134:BQN983169 CAE983134:CAJ983169 CKA983134:CKF983169 CTW983134:CUB983169 DDS983134:DDX983169 DNO983134:DNT983169 DXK983134:DXP983169 EHG983134:EHL983169 ERC983134:ERH983169 FAY983134:FBD983169 FKU983134:FKZ983169 FUQ983134:FUV983169 GEM983134:GER983169 GOI983134:GON983169 GYE983134:GYJ983169 HIA983134:HIF983169 HRW983134:HSB983169 IBS983134:IBX983169 ILO983134:ILT983169 IVK983134:IVP983169 JFG983134:JFL983169 JPC983134:JPH983169 JYY983134:JZD983169 KIU983134:KIZ983169 KSQ983134:KSV983169 LCM983134:LCR983169 LMI983134:LMN983169 LWE983134:LWJ983169 MGA983134:MGF983169 MPW983134:MQB983169 MZS983134:MZX983169 NJO983134:NJT983169 NTK983134:NTP983169 ODG983134:ODL983169 ONC983134:ONH983169 OWY983134:OXD983169 PGU983134:PGZ983169 PQQ983134:PQV983169 QAM983134:QAR983169 QKI983134:QKN983169 QUE983134:QUJ983169 REA983134:REF983169 RNW983134:ROB983169 RXS983134:RXX983169 SHO983134:SHT983169 SRK983134:SRP983169 TBG983134:TBL983169 TLC983134:TLH983169 TUY983134:TVD983169 UEU983134:UEZ983169 UOQ983134:UOV983169 UYM983134:UYR983169 VII983134:VIN983169 VSE983134:VSJ983169 WCA983134:WCF983169 WLW983134:WMB983169 WVS983134:WVX983169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4"/>
  <sheetViews>
    <sheetView topLeftCell="A10" workbookViewId="0">
      <selection activeCell="B35" sqref="B35"/>
    </sheetView>
  </sheetViews>
  <sheetFormatPr defaultRowHeight="15" x14ac:dyDescent="0.25"/>
  <cols>
    <col min="2" max="2" width="71.5703125" customWidth="1"/>
    <col min="3" max="3" width="2.42578125" customWidth="1"/>
    <col min="4" max="4" width="27.42578125" customWidth="1"/>
    <col min="5" max="5" width="24.7109375" customWidth="1"/>
  </cols>
  <sheetData>
    <row r="1" spans="1:4" ht="80.25" customHeight="1" x14ac:dyDescent="0.5">
      <c r="A1" s="467" t="s">
        <v>1641</v>
      </c>
      <c r="B1" s="467"/>
      <c r="C1" s="467"/>
      <c r="D1" s="467"/>
    </row>
    <row r="2" spans="1:4" ht="17.25" x14ac:dyDescent="0.35">
      <c r="A2" s="445"/>
      <c r="B2" s="9"/>
      <c r="C2" s="9"/>
      <c r="D2" s="10"/>
    </row>
    <row r="3" spans="1:4" ht="18" x14ac:dyDescent="0.35">
      <c r="A3" s="471" t="s">
        <v>1630</v>
      </c>
      <c r="B3" s="471"/>
      <c r="C3" s="471"/>
      <c r="D3" s="471"/>
    </row>
    <row r="4" spans="1:4" ht="19.5" x14ac:dyDescent="0.35">
      <c r="A4" s="445"/>
      <c r="B4" s="11"/>
      <c r="C4" s="9"/>
      <c r="D4" s="10"/>
    </row>
    <row r="5" spans="1:4" ht="19.5" x14ac:dyDescent="0.35">
      <c r="A5" s="422"/>
      <c r="B5" s="423" t="s">
        <v>1600</v>
      </c>
      <c r="C5" s="423"/>
      <c r="D5" s="424">
        <v>218</v>
      </c>
    </row>
    <row r="6" spans="1:4" ht="17.25" x14ac:dyDescent="0.35">
      <c r="A6" s="422">
        <v>1</v>
      </c>
      <c r="B6" s="423" t="s">
        <v>2</v>
      </c>
      <c r="C6" s="423" t="s">
        <v>1</v>
      </c>
      <c r="D6" s="430" t="str">
        <f>VLOOKUP(D5,Inforation!A2:G412,2,FALSE)</f>
        <v>‡gvt mvnv`vZ †nv‡mb</v>
      </c>
    </row>
    <row r="7" spans="1:4" ht="17.25" x14ac:dyDescent="0.35">
      <c r="A7" s="422">
        <v>2</v>
      </c>
      <c r="B7" s="423" t="s">
        <v>4</v>
      </c>
      <c r="C7" s="423" t="s">
        <v>1</v>
      </c>
      <c r="D7" s="430" t="str">
        <f>VLOOKUP(D6,Inforation!B2:G412,2,FALSE)</f>
        <v>†mKkb Awdmvi</v>
      </c>
    </row>
    <row r="8" spans="1:4" ht="17.25" x14ac:dyDescent="0.35">
      <c r="A8" s="422">
        <v>3</v>
      </c>
      <c r="B8" s="423" t="s">
        <v>1649</v>
      </c>
      <c r="C8" s="423" t="s">
        <v>1</v>
      </c>
      <c r="D8" s="439"/>
    </row>
    <row r="9" spans="1:4" ht="17.25" x14ac:dyDescent="0.35">
      <c r="A9" s="422">
        <v>4</v>
      </c>
      <c r="B9" s="423" t="s">
        <v>5</v>
      </c>
      <c r="C9" s="423" t="s">
        <v>1</v>
      </c>
      <c r="D9" s="430" t="str">
        <f>VLOOKUP(D6,Inforation!B2:G412,3,FALSE)</f>
        <v>A_© I wnmve</v>
      </c>
    </row>
    <row r="10" spans="1:4" ht="17.25" x14ac:dyDescent="0.35">
      <c r="A10" s="422">
        <v>5</v>
      </c>
      <c r="B10" s="423" t="s">
        <v>1611</v>
      </c>
      <c r="C10" s="423" t="s">
        <v>1</v>
      </c>
      <c r="D10" s="425">
        <f>VLOOKUP(D6,Inforation!B2:G413,4,FALSE)</f>
        <v>0</v>
      </c>
    </row>
    <row r="11" spans="1:4" ht="17.25" x14ac:dyDescent="0.35">
      <c r="A11" s="422">
        <v>6</v>
      </c>
      <c r="B11" s="423" t="s">
        <v>1612</v>
      </c>
      <c r="C11" s="423" t="s">
        <v>1</v>
      </c>
      <c r="D11" s="430" t="str">
        <f>VLOOKUP(D6,Inforation!B2:G414,5,FALSE)</f>
        <v>0124100063454</v>
      </c>
    </row>
    <row r="12" spans="1:4" ht="17.25" x14ac:dyDescent="0.35">
      <c r="A12" s="422">
        <v>7</v>
      </c>
      <c r="B12" s="423" t="s">
        <v>1650</v>
      </c>
      <c r="C12" s="423" t="s">
        <v>1</v>
      </c>
      <c r="D12" s="430"/>
    </row>
    <row r="13" spans="1:4" ht="17.25" x14ac:dyDescent="0.35">
      <c r="A13" s="422">
        <v>8</v>
      </c>
      <c r="B13" s="423" t="s">
        <v>1656</v>
      </c>
      <c r="C13" s="423" t="s">
        <v>1</v>
      </c>
      <c r="D13" s="425">
        <f>VLOOKUP('Fixation '!D6,Inforation!B2:G413,6,FALSE)</f>
        <v>28100</v>
      </c>
    </row>
    <row r="14" spans="1:4" ht="17.25" x14ac:dyDescent="0.35">
      <c r="A14" s="468">
        <v>9</v>
      </c>
      <c r="B14" s="427" t="s">
        <v>1651</v>
      </c>
      <c r="C14" s="423" t="s">
        <v>1</v>
      </c>
      <c r="D14" s="425"/>
    </row>
    <row r="15" spans="1:4" ht="17.25" x14ac:dyDescent="0.35">
      <c r="A15" s="468"/>
      <c r="B15" s="427" t="s">
        <v>1653</v>
      </c>
      <c r="C15" s="423" t="s">
        <v>1</v>
      </c>
      <c r="D15" s="430" t="s">
        <v>1633</v>
      </c>
    </row>
    <row r="16" spans="1:4" ht="17.25" x14ac:dyDescent="0.35">
      <c r="A16" s="468"/>
      <c r="B16" s="427" t="s">
        <v>1654</v>
      </c>
      <c r="C16" s="423" t="s">
        <v>1</v>
      </c>
      <c r="D16" s="426">
        <v>22000</v>
      </c>
    </row>
    <row r="17" spans="1:5" ht="17.25" x14ac:dyDescent="0.35">
      <c r="A17" s="422">
        <v>10</v>
      </c>
      <c r="B17" s="423" t="s">
        <v>1655</v>
      </c>
      <c r="C17" s="423" t="s">
        <v>1</v>
      </c>
      <c r="D17" s="425">
        <f>D13-D16</f>
        <v>6100</v>
      </c>
    </row>
    <row r="18" spans="1:5" ht="17.25" x14ac:dyDescent="0.35">
      <c r="A18" s="468">
        <v>11</v>
      </c>
      <c r="B18" s="427" t="s">
        <v>1603</v>
      </c>
      <c r="C18" s="423" t="s">
        <v>1</v>
      </c>
      <c r="D18" s="425"/>
    </row>
    <row r="19" spans="1:5" ht="17.25" x14ac:dyDescent="0.35">
      <c r="A19" s="468"/>
      <c r="B19" s="427" t="s">
        <v>1652</v>
      </c>
      <c r="C19" s="423" t="s">
        <v>1</v>
      </c>
      <c r="D19" s="430" t="s">
        <v>1633</v>
      </c>
    </row>
    <row r="20" spans="1:5" ht="17.25" x14ac:dyDescent="0.35">
      <c r="A20" s="468"/>
      <c r="B20" s="427" t="s">
        <v>1607</v>
      </c>
      <c r="C20" s="423" t="s">
        <v>1</v>
      </c>
      <c r="D20" s="426">
        <v>44000</v>
      </c>
    </row>
    <row r="21" spans="1:5" ht="17.25" x14ac:dyDescent="0.35">
      <c r="A21" s="422">
        <v>12</v>
      </c>
      <c r="B21" s="427" t="s">
        <v>1610</v>
      </c>
      <c r="C21" s="423" t="s">
        <v>1</v>
      </c>
      <c r="D21" s="425">
        <f>D17+D20</f>
        <v>50100</v>
      </c>
    </row>
    <row r="22" spans="1:5" ht="17.25" x14ac:dyDescent="0.35">
      <c r="A22" s="422">
        <v>13</v>
      </c>
      <c r="B22" s="427" t="s">
        <v>1667</v>
      </c>
      <c r="C22" s="423" t="s">
        <v>1</v>
      </c>
      <c r="D22" s="433">
        <v>51000</v>
      </c>
    </row>
    <row r="23" spans="1:5" ht="34.5" x14ac:dyDescent="0.35">
      <c r="A23" s="446">
        <v>14</v>
      </c>
      <c r="B23" s="427" t="s">
        <v>1668</v>
      </c>
      <c r="C23" s="423" t="s">
        <v>1</v>
      </c>
      <c r="D23" s="426">
        <v>53500</v>
      </c>
    </row>
    <row r="24" spans="1:5" ht="17.25" x14ac:dyDescent="0.35">
      <c r="A24" s="465">
        <v>15</v>
      </c>
      <c r="B24" s="457" t="s">
        <v>1665</v>
      </c>
      <c r="C24" s="423"/>
      <c r="D24" s="426">
        <f>D23-D22</f>
        <v>2500</v>
      </c>
    </row>
    <row r="25" spans="1:5" ht="17.25" x14ac:dyDescent="0.35">
      <c r="A25" s="458">
        <v>16</v>
      </c>
      <c r="B25" s="459" t="s">
        <v>1669</v>
      </c>
      <c r="C25" s="460" t="s">
        <v>1</v>
      </c>
      <c r="D25" s="461">
        <f>D22-D13</f>
        <v>22900</v>
      </c>
    </row>
    <row r="26" spans="1:5" ht="17.25" x14ac:dyDescent="0.35">
      <c r="A26" s="468">
        <v>17</v>
      </c>
      <c r="B26" s="423" t="s">
        <v>1670</v>
      </c>
      <c r="C26" s="423" t="s">
        <v>1</v>
      </c>
      <c r="D26" s="425"/>
    </row>
    <row r="27" spans="1:5" ht="17.25" x14ac:dyDescent="0.35">
      <c r="A27" s="468"/>
      <c r="B27" s="423" t="s">
        <v>1605</v>
      </c>
      <c r="C27" s="423" t="s">
        <v>1</v>
      </c>
      <c r="D27" s="425">
        <f>D25*40%</f>
        <v>9160</v>
      </c>
    </row>
    <row r="28" spans="1:5" ht="17.25" x14ac:dyDescent="0.35">
      <c r="A28" s="468"/>
      <c r="B28" s="423" t="s">
        <v>1606</v>
      </c>
      <c r="C28" s="423" t="s">
        <v>1</v>
      </c>
      <c r="D28" s="425"/>
    </row>
    <row r="29" spans="1:5" ht="17.25" x14ac:dyDescent="0.35">
      <c r="A29" s="468">
        <v>18</v>
      </c>
      <c r="B29" s="423" t="s">
        <v>1670</v>
      </c>
      <c r="C29" s="423" t="s">
        <v>1</v>
      </c>
      <c r="D29" s="425"/>
    </row>
    <row r="30" spans="1:5" ht="17.25" x14ac:dyDescent="0.35">
      <c r="A30" s="468"/>
      <c r="B30" s="423" t="s">
        <v>1660</v>
      </c>
      <c r="C30" s="423" t="s">
        <v>1</v>
      </c>
      <c r="D30" s="425">
        <f>D25*70%</f>
        <v>16029.999999999998</v>
      </c>
    </row>
    <row r="31" spans="1:5" ht="17.25" x14ac:dyDescent="0.35">
      <c r="A31" s="468"/>
      <c r="B31" s="423" t="s">
        <v>1661</v>
      </c>
      <c r="C31" s="423" t="s">
        <v>1</v>
      </c>
      <c r="D31" s="425"/>
    </row>
    <row r="32" spans="1:5" ht="17.25" x14ac:dyDescent="0.35">
      <c r="A32" s="466">
        <v>19</v>
      </c>
      <c r="B32" s="450" t="s">
        <v>1666</v>
      </c>
      <c r="C32" s="450" t="s">
        <v>1</v>
      </c>
      <c r="D32" s="439">
        <f>D13+D30+D24</f>
        <v>46630</v>
      </c>
      <c r="E32" s="456"/>
    </row>
    <row r="33" spans="1:4" ht="17.25" x14ac:dyDescent="0.35">
      <c r="A33" s="526">
        <v>20</v>
      </c>
      <c r="B33" s="423" t="s">
        <v>1670</v>
      </c>
      <c r="C33" s="450" t="s">
        <v>1</v>
      </c>
      <c r="D33" s="439"/>
    </row>
    <row r="34" spans="1:4" ht="17.25" x14ac:dyDescent="0.35">
      <c r="A34" s="527"/>
      <c r="B34" s="450" t="s">
        <v>1662</v>
      </c>
      <c r="C34" s="450" t="s">
        <v>1</v>
      </c>
      <c r="D34" s="439">
        <f>D25*100%</f>
        <v>22900</v>
      </c>
    </row>
    <row r="35" spans="1:4" ht="17.25" x14ac:dyDescent="0.35">
      <c r="A35" s="528"/>
      <c r="B35" s="450" t="s">
        <v>1663</v>
      </c>
      <c r="C35" s="450" t="s">
        <v>1</v>
      </c>
      <c r="D35" s="439"/>
    </row>
    <row r="36" spans="1:4" ht="17.25" x14ac:dyDescent="0.35">
      <c r="A36" s="452">
        <v>21</v>
      </c>
      <c r="B36" s="450" t="s">
        <v>1664</v>
      </c>
      <c r="C36" s="450" t="s">
        <v>1</v>
      </c>
      <c r="D36" s="439">
        <f>D13+D27</f>
        <v>37260</v>
      </c>
    </row>
    <row r="37" spans="1:4" ht="17.25" x14ac:dyDescent="0.35">
      <c r="A37" s="452">
        <v>22</v>
      </c>
      <c r="B37" s="450" t="s">
        <v>1677</v>
      </c>
      <c r="C37" s="450" t="s">
        <v>1</v>
      </c>
      <c r="D37" s="439">
        <f>D23</f>
        <v>53500</v>
      </c>
    </row>
    <row r="38" spans="1:4" ht="17.25" x14ac:dyDescent="0.35">
      <c r="A38" s="422">
        <v>23</v>
      </c>
      <c r="B38" s="451" t="s">
        <v>1659</v>
      </c>
      <c r="C38" s="450" t="s">
        <v>1</v>
      </c>
      <c r="D38" s="439">
        <v>56200</v>
      </c>
    </row>
    <row r="39" spans="1:4" ht="17.25" x14ac:dyDescent="0.35">
      <c r="A39" s="452">
        <v>24</v>
      </c>
      <c r="B39" s="423" t="s">
        <v>7</v>
      </c>
      <c r="C39" s="450" t="s">
        <v>1</v>
      </c>
      <c r="D39" s="432">
        <v>46759</v>
      </c>
    </row>
    <row r="40" spans="1:4" ht="17.25" x14ac:dyDescent="0.35">
      <c r="A40" s="447"/>
      <c r="B40" s="441"/>
      <c r="C40" s="441"/>
      <c r="D40" s="442"/>
    </row>
    <row r="41" spans="1:4" ht="17.25" x14ac:dyDescent="0.35">
      <c r="A41" s="447"/>
      <c r="B41" s="441"/>
      <c r="C41" s="441"/>
      <c r="D41" s="442"/>
    </row>
    <row r="42" spans="1:4" ht="17.25" x14ac:dyDescent="0.35">
      <c r="A42" s="447"/>
      <c r="B42" s="441"/>
      <c r="C42" s="441"/>
      <c r="D42" s="443" t="s">
        <v>1635</v>
      </c>
    </row>
    <row r="43" spans="1:4" ht="17.25" x14ac:dyDescent="0.35">
      <c r="A43" s="447"/>
      <c r="B43" s="441"/>
      <c r="C43" s="472" t="s">
        <v>1636</v>
      </c>
      <c r="D43" s="472"/>
    </row>
    <row r="44" spans="1:4" ht="17.25" x14ac:dyDescent="0.35">
      <c r="A44" s="447"/>
      <c r="B44" s="441"/>
      <c r="C44" s="441"/>
      <c r="D44" s="442"/>
    </row>
    <row r="45" spans="1:4" ht="17.25" x14ac:dyDescent="0.35">
      <c r="A45" s="473"/>
      <c r="B45" s="473"/>
      <c r="C45" s="441"/>
      <c r="D45" s="442"/>
    </row>
    <row r="46" spans="1:4" ht="17.25" x14ac:dyDescent="0.35">
      <c r="A46" s="469" t="s">
        <v>1638</v>
      </c>
      <c r="B46" s="469"/>
      <c r="C46" s="9"/>
      <c r="D46" s="444" t="s">
        <v>1637</v>
      </c>
    </row>
    <row r="47" spans="1:4" ht="17.25" x14ac:dyDescent="0.35">
      <c r="A47" s="445"/>
      <c r="B47" s="9"/>
      <c r="C47" s="9"/>
      <c r="D47" s="10"/>
    </row>
    <row r="48" spans="1:4" ht="21.75" x14ac:dyDescent="0.4">
      <c r="A48" s="445"/>
      <c r="B48" s="429" t="s">
        <v>1622</v>
      </c>
      <c r="C48" s="9"/>
      <c r="D48" s="10"/>
    </row>
    <row r="49" spans="1:4" ht="17.25" x14ac:dyDescent="0.35">
      <c r="A49" s="470" t="s">
        <v>1623</v>
      </c>
      <c r="B49" s="470"/>
      <c r="C49" s="470"/>
      <c r="D49" s="470"/>
    </row>
    <row r="50" spans="1:4" ht="17.25" x14ac:dyDescent="0.35">
      <c r="A50" s="468">
        <v>1</v>
      </c>
      <c r="B50" s="423" t="s">
        <v>1624</v>
      </c>
      <c r="C50" s="423" t="s">
        <v>1</v>
      </c>
      <c r="D50" s="425"/>
    </row>
    <row r="51" spans="1:4" ht="17.25" x14ac:dyDescent="0.35">
      <c r="A51" s="468"/>
      <c r="B51" s="423" t="s">
        <v>1625</v>
      </c>
      <c r="C51" s="423" t="s">
        <v>1</v>
      </c>
      <c r="D51" s="425"/>
    </row>
    <row r="52" spans="1:4" ht="17.25" x14ac:dyDescent="0.35">
      <c r="A52" s="422">
        <v>2</v>
      </c>
      <c r="B52" s="423" t="s">
        <v>1626</v>
      </c>
      <c r="C52" s="423" t="s">
        <v>1</v>
      </c>
      <c r="D52" s="425"/>
    </row>
    <row r="53" spans="1:4" ht="17.25" x14ac:dyDescent="0.35">
      <c r="A53" s="468">
        <v>3</v>
      </c>
      <c r="B53" s="423" t="s">
        <v>1627</v>
      </c>
      <c r="C53" s="423" t="s">
        <v>1</v>
      </c>
      <c r="D53" s="425"/>
    </row>
    <row r="54" spans="1:4" ht="17.25" x14ac:dyDescent="0.35">
      <c r="A54" s="468"/>
      <c r="B54" s="423" t="s">
        <v>1628</v>
      </c>
      <c r="C54" s="423" t="s">
        <v>1</v>
      </c>
      <c r="D54" s="425"/>
    </row>
    <row r="55" spans="1:4" ht="17.25" x14ac:dyDescent="0.35">
      <c r="A55" s="422">
        <v>4</v>
      </c>
      <c r="B55" s="423" t="s">
        <v>1629</v>
      </c>
      <c r="C55" s="423" t="s">
        <v>1</v>
      </c>
      <c r="D55" s="425"/>
    </row>
    <row r="56" spans="1:4" ht="19.5" x14ac:dyDescent="0.35">
      <c r="A56" s="12"/>
      <c r="B56" s="13"/>
      <c r="C56" s="13"/>
      <c r="D56" s="14"/>
    </row>
    <row r="57" spans="1:4" ht="19.5" x14ac:dyDescent="0.35">
      <c r="A57" s="12"/>
      <c r="B57" s="13"/>
      <c r="C57" s="13"/>
      <c r="D57" s="14"/>
    </row>
    <row r="58" spans="1:4" ht="17.25" x14ac:dyDescent="0.35">
      <c r="A58" s="469" t="s">
        <v>1639</v>
      </c>
      <c r="B58" s="469"/>
      <c r="C58" s="9"/>
      <c r="D58" s="444" t="s">
        <v>1640</v>
      </c>
    </row>
    <row r="59" spans="1:4" ht="19.5" x14ac:dyDescent="0.35">
      <c r="A59" s="12"/>
      <c r="B59" s="13"/>
      <c r="C59" s="13"/>
      <c r="D59" s="14"/>
    </row>
    <row r="63" spans="1:4" ht="17.25" x14ac:dyDescent="0.35">
      <c r="A63" s="436">
        <v>17</v>
      </c>
      <c r="B63" s="437" t="s">
        <v>1657</v>
      </c>
      <c r="C63" s="423" t="s">
        <v>1</v>
      </c>
      <c r="D63" s="438">
        <f>D13+D27</f>
        <v>37260</v>
      </c>
    </row>
    <row r="64" spans="1:4" ht="34.5" x14ac:dyDescent="0.35">
      <c r="A64" s="436">
        <v>18</v>
      </c>
      <c r="B64" s="449" t="s">
        <v>1658</v>
      </c>
      <c r="C64" s="423" t="s">
        <v>1</v>
      </c>
      <c r="D64" s="438">
        <f>D63+2500</f>
        <v>39760</v>
      </c>
    </row>
  </sheetData>
  <mergeCells count="14">
    <mergeCell ref="A53:A54"/>
    <mergeCell ref="A58:B58"/>
    <mergeCell ref="A33:A35"/>
    <mergeCell ref="C43:D43"/>
    <mergeCell ref="A45:B45"/>
    <mergeCell ref="A46:B46"/>
    <mergeCell ref="A49:D49"/>
    <mergeCell ref="A50:A51"/>
    <mergeCell ref="A29:A31"/>
    <mergeCell ref="A1:D1"/>
    <mergeCell ref="A3:D3"/>
    <mergeCell ref="A14:A16"/>
    <mergeCell ref="A18:A20"/>
    <mergeCell ref="A26:A28"/>
  </mergeCells>
  <dataValidations count="1">
    <dataValidation type="list" allowBlank="1" showInputMessage="1" showErrorMessage="1" sqref="D15 D19">
      <formula1>"গ্রেড - ১ , গ্রেড - ২ , গ্রেড -৩ , গ্রেড - ৪ , গ্রেড - ৫ , গ্রেড - ৬ , গ্রেড - ৭ , গ্রেড - ৮ , গ্রেড - ৯ , গ্রেড - ১০ , গ্রেড - ১১ , গ্রেড - ১২ , গ্রেড - ১৩ , গ্রেড - ১৪ , গ্রেড - ১৫ , গ্রেড - ১৬ , গ্রেড - ১৭ , গ্রেড - ১৮ ,  গ্রেড - ১৯ , গ্রেড - ২০  "</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Inforation!$A:$A</xm:f>
          </x14:formula1>
          <xm:sqref>D5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8"/>
  <sheetViews>
    <sheetView topLeftCell="A28" workbookViewId="0">
      <selection activeCell="D37" sqref="D37"/>
    </sheetView>
  </sheetViews>
  <sheetFormatPr defaultRowHeight="15" x14ac:dyDescent="0.25"/>
  <cols>
    <col min="2" max="2" width="62.140625" customWidth="1"/>
    <col min="3" max="3" width="4" style="464" customWidth="1"/>
    <col min="4" max="4" width="27.7109375" customWidth="1"/>
  </cols>
  <sheetData>
    <row r="1" spans="1:4" ht="83.25" customHeight="1" x14ac:dyDescent="0.5">
      <c r="A1" s="467" t="s">
        <v>1641</v>
      </c>
      <c r="B1" s="467"/>
      <c r="C1" s="467"/>
      <c r="D1" s="467"/>
    </row>
    <row r="2" spans="1:4" ht="17.25" x14ac:dyDescent="0.35">
      <c r="A2" s="453"/>
      <c r="B2" s="9"/>
      <c r="C2" s="453"/>
      <c r="D2" s="10"/>
    </row>
    <row r="3" spans="1:4" ht="18" x14ac:dyDescent="0.35">
      <c r="A3" s="471" t="s">
        <v>1630</v>
      </c>
      <c r="B3" s="471"/>
      <c r="C3" s="471"/>
      <c r="D3" s="471"/>
    </row>
    <row r="4" spans="1:4" ht="19.5" x14ac:dyDescent="0.35">
      <c r="A4" s="453"/>
      <c r="B4" s="11"/>
      <c r="C4" s="453"/>
      <c r="D4" s="10"/>
    </row>
    <row r="5" spans="1:4" ht="19.5" x14ac:dyDescent="0.35">
      <c r="A5" s="422"/>
      <c r="B5" s="423" t="s">
        <v>1600</v>
      </c>
      <c r="C5" s="422"/>
      <c r="D5" s="424">
        <v>218</v>
      </c>
    </row>
    <row r="6" spans="1:4" ht="17.25" x14ac:dyDescent="0.35">
      <c r="A6" s="422">
        <v>1</v>
      </c>
      <c r="B6" s="423" t="s">
        <v>2</v>
      </c>
      <c r="C6" s="422" t="s">
        <v>1</v>
      </c>
      <c r="D6" s="430" t="str">
        <f>VLOOKUP(D5,Inforation!A2:G412,2,FALSE)</f>
        <v>‡gvt mvnv`vZ †nv‡mb</v>
      </c>
    </row>
    <row r="7" spans="1:4" ht="17.25" x14ac:dyDescent="0.35">
      <c r="A7" s="422">
        <v>2</v>
      </c>
      <c r="B7" s="423" t="s">
        <v>4</v>
      </c>
      <c r="C7" s="422" t="s">
        <v>1</v>
      </c>
      <c r="D7" s="430" t="str">
        <f>VLOOKUP(D6,Inforation!B2:G412,2,FALSE)</f>
        <v>†mKkb Awdmvi</v>
      </c>
    </row>
    <row r="8" spans="1:4" ht="17.25" x14ac:dyDescent="0.35">
      <c r="A8" s="422">
        <v>3</v>
      </c>
      <c r="B8" s="423" t="s">
        <v>3</v>
      </c>
      <c r="C8" s="422" t="s">
        <v>1</v>
      </c>
      <c r="D8" s="439"/>
    </row>
    <row r="9" spans="1:4" ht="17.25" x14ac:dyDescent="0.35">
      <c r="A9" s="422">
        <v>4</v>
      </c>
      <c r="B9" s="423" t="s">
        <v>5</v>
      </c>
      <c r="C9" s="422" t="s">
        <v>1</v>
      </c>
      <c r="D9" s="430" t="str">
        <f>VLOOKUP(D6,Inforation!B2:G412,3,FALSE)</f>
        <v>A_© I wnmve</v>
      </c>
    </row>
    <row r="10" spans="1:4" ht="17.25" x14ac:dyDescent="0.35">
      <c r="A10" s="422">
        <v>5</v>
      </c>
      <c r="B10" s="423" t="s">
        <v>1611</v>
      </c>
      <c r="C10" s="422" t="s">
        <v>1</v>
      </c>
      <c r="D10" s="425">
        <f>VLOOKUP(D6,Inforation!B2:G413,4,FALSE)</f>
        <v>0</v>
      </c>
    </row>
    <row r="11" spans="1:4" ht="17.25" x14ac:dyDescent="0.35">
      <c r="A11" s="422">
        <v>6</v>
      </c>
      <c r="B11" s="423" t="s">
        <v>1612</v>
      </c>
      <c r="C11" s="422" t="s">
        <v>1</v>
      </c>
      <c r="D11" s="430" t="str">
        <f>VLOOKUP(D6,Inforation!B2:G414,5,FALSE)</f>
        <v>0124100063454</v>
      </c>
    </row>
    <row r="12" spans="1:4" ht="17.25" x14ac:dyDescent="0.35">
      <c r="A12" s="454">
        <v>8</v>
      </c>
      <c r="B12" s="423" t="s">
        <v>0</v>
      </c>
      <c r="C12" s="422" t="s">
        <v>1</v>
      </c>
      <c r="D12" s="425">
        <f>VLOOKUP('Fixation '!D6,Inforation!B2:G413,6,FALSE)</f>
        <v>28100</v>
      </c>
    </row>
    <row r="13" spans="1:4" ht="17.25" x14ac:dyDescent="0.35">
      <c r="A13" s="468">
        <v>9</v>
      </c>
      <c r="B13" s="427" t="s">
        <v>1678</v>
      </c>
      <c r="C13" s="422"/>
      <c r="D13" s="425"/>
    </row>
    <row r="14" spans="1:4" ht="17.25" x14ac:dyDescent="0.35">
      <c r="A14" s="468"/>
      <c r="B14" s="427" t="s">
        <v>1679</v>
      </c>
      <c r="C14" s="422"/>
      <c r="D14" s="430" t="s">
        <v>1633</v>
      </c>
    </row>
    <row r="15" spans="1:4" ht="17.25" x14ac:dyDescent="0.35">
      <c r="A15" s="468"/>
      <c r="B15" s="427" t="s">
        <v>1607</v>
      </c>
      <c r="C15" s="422" t="s">
        <v>1</v>
      </c>
      <c r="D15" s="426">
        <v>22000</v>
      </c>
    </row>
    <row r="16" spans="1:4" ht="17.25" x14ac:dyDescent="0.35">
      <c r="A16" s="422">
        <v>10</v>
      </c>
      <c r="B16" s="423" t="s">
        <v>1609</v>
      </c>
      <c r="C16" s="422" t="s">
        <v>1</v>
      </c>
      <c r="D16" s="425">
        <f>D12-D15</f>
        <v>6100</v>
      </c>
    </row>
    <row r="17" spans="1:4" ht="17.25" x14ac:dyDescent="0.35">
      <c r="A17" s="468">
        <v>11</v>
      </c>
      <c r="B17" s="427" t="s">
        <v>1603</v>
      </c>
      <c r="C17" s="422"/>
      <c r="D17" s="425"/>
    </row>
    <row r="18" spans="1:4" ht="17.25" x14ac:dyDescent="0.35">
      <c r="A18" s="468"/>
      <c r="B18" s="427" t="s">
        <v>1679</v>
      </c>
      <c r="C18" s="422" t="s">
        <v>1</v>
      </c>
      <c r="D18" s="430" t="s">
        <v>1633</v>
      </c>
    </row>
    <row r="19" spans="1:4" ht="17.25" x14ac:dyDescent="0.35">
      <c r="A19" s="468"/>
      <c r="B19" s="427" t="s">
        <v>1608</v>
      </c>
      <c r="C19" s="422" t="s">
        <v>1</v>
      </c>
      <c r="D19" s="426">
        <v>44000</v>
      </c>
    </row>
    <row r="20" spans="1:4" ht="17.25" x14ac:dyDescent="0.35">
      <c r="A20" s="422">
        <v>12</v>
      </c>
      <c r="B20" s="427" t="s">
        <v>1610</v>
      </c>
      <c r="C20" s="422" t="s">
        <v>1</v>
      </c>
      <c r="D20" s="425">
        <f>D16+D19</f>
        <v>50100</v>
      </c>
    </row>
    <row r="21" spans="1:4" ht="17.25" x14ac:dyDescent="0.35">
      <c r="A21" s="422">
        <v>13</v>
      </c>
      <c r="B21" s="427" t="s">
        <v>1604</v>
      </c>
      <c r="C21" s="422" t="s">
        <v>1</v>
      </c>
      <c r="D21" s="433">
        <v>51000</v>
      </c>
    </row>
    <row r="22" spans="1:4" ht="34.5" x14ac:dyDescent="0.35">
      <c r="A22" s="454">
        <v>14</v>
      </c>
      <c r="B22" s="427" t="s">
        <v>1642</v>
      </c>
      <c r="C22" s="422" t="s">
        <v>1</v>
      </c>
      <c r="D22" s="426">
        <v>53500</v>
      </c>
    </row>
    <row r="23" spans="1:4" ht="17.25" x14ac:dyDescent="0.35">
      <c r="A23" s="431">
        <v>15</v>
      </c>
      <c r="B23" s="427" t="s">
        <v>1643</v>
      </c>
      <c r="C23" s="422" t="s">
        <v>1</v>
      </c>
      <c r="D23" s="425">
        <f>D21-D12</f>
        <v>22900</v>
      </c>
    </row>
    <row r="24" spans="1:4" ht="17.25" x14ac:dyDescent="0.35">
      <c r="A24" s="468">
        <v>16</v>
      </c>
      <c r="B24" s="423" t="s">
        <v>1680</v>
      </c>
      <c r="C24" s="422" t="s">
        <v>1</v>
      </c>
      <c r="D24" s="425"/>
    </row>
    <row r="25" spans="1:4" ht="17.25" x14ac:dyDescent="0.35">
      <c r="A25" s="468"/>
      <c r="B25" s="423" t="s">
        <v>1605</v>
      </c>
      <c r="C25" s="422"/>
      <c r="D25" s="425">
        <f>D23*40%</f>
        <v>9160</v>
      </c>
    </row>
    <row r="26" spans="1:4" ht="17.25" x14ac:dyDescent="0.35">
      <c r="A26" s="468"/>
      <c r="B26" s="423" t="s">
        <v>1606</v>
      </c>
      <c r="C26" s="422"/>
      <c r="D26" s="425"/>
    </row>
    <row r="27" spans="1:4" ht="17.25" x14ac:dyDescent="0.35">
      <c r="A27" s="436">
        <v>17</v>
      </c>
      <c r="B27" s="437" t="s">
        <v>1632</v>
      </c>
      <c r="C27" s="436" t="s">
        <v>1</v>
      </c>
      <c r="D27" s="438">
        <f>D12+D25</f>
        <v>37260</v>
      </c>
    </row>
    <row r="28" spans="1:4" ht="17.25" x14ac:dyDescent="0.35">
      <c r="A28" s="436">
        <v>18</v>
      </c>
      <c r="B28" s="449" t="s">
        <v>1671</v>
      </c>
      <c r="C28" s="436"/>
      <c r="D28" s="438">
        <f>D27+2500</f>
        <v>39760</v>
      </c>
    </row>
    <row r="29" spans="1:4" ht="17.25" x14ac:dyDescent="0.35">
      <c r="A29" s="468">
        <v>19</v>
      </c>
      <c r="B29" s="423" t="s">
        <v>1681</v>
      </c>
      <c r="C29" s="422" t="s">
        <v>1</v>
      </c>
      <c r="D29" s="425"/>
    </row>
    <row r="30" spans="1:4" ht="17.25" x14ac:dyDescent="0.35">
      <c r="A30" s="468"/>
      <c r="B30" s="423" t="s">
        <v>1660</v>
      </c>
      <c r="C30" s="422"/>
      <c r="D30" s="425">
        <f>D23*70%</f>
        <v>16029.999999999998</v>
      </c>
    </row>
    <row r="31" spans="1:4" ht="17.25" x14ac:dyDescent="0.35">
      <c r="A31" s="468"/>
      <c r="B31" s="423" t="s">
        <v>1661</v>
      </c>
      <c r="C31" s="422" t="s">
        <v>1</v>
      </c>
      <c r="D31" s="425"/>
    </row>
    <row r="32" spans="1:4" ht="17.25" x14ac:dyDescent="0.35">
      <c r="A32" s="422">
        <v>20</v>
      </c>
      <c r="B32" s="434" t="s">
        <v>1644</v>
      </c>
      <c r="C32" s="462"/>
      <c r="D32" s="435">
        <f>D12+D30</f>
        <v>44130</v>
      </c>
    </row>
    <row r="33" spans="1:4" ht="17.25" x14ac:dyDescent="0.35">
      <c r="A33" s="529">
        <v>21</v>
      </c>
      <c r="B33" s="423" t="s">
        <v>1645</v>
      </c>
      <c r="C33" s="463"/>
      <c r="D33" s="439">
        <f>D32+2500</f>
        <v>46630</v>
      </c>
    </row>
    <row r="34" spans="1:4" ht="17.25" x14ac:dyDescent="0.35">
      <c r="A34" s="530"/>
      <c r="B34" s="423" t="s">
        <v>1646</v>
      </c>
      <c r="C34" s="463"/>
      <c r="D34" s="439">
        <f>D23*30%</f>
        <v>6870</v>
      </c>
    </row>
    <row r="35" spans="1:4" ht="17.25" x14ac:dyDescent="0.35">
      <c r="A35" s="531"/>
      <c r="B35" s="423" t="s">
        <v>1647</v>
      </c>
      <c r="C35" s="463"/>
      <c r="D35" s="439"/>
    </row>
    <row r="36" spans="1:4" ht="17.25" x14ac:dyDescent="0.35">
      <c r="A36" s="422">
        <v>22</v>
      </c>
      <c r="B36" s="423" t="s">
        <v>1648</v>
      </c>
      <c r="C36" s="463"/>
      <c r="D36" s="439">
        <f>D32+D34+2500</f>
        <v>53500</v>
      </c>
    </row>
    <row r="37" spans="1:4" ht="34.5" x14ac:dyDescent="0.35">
      <c r="A37" s="454">
        <v>23</v>
      </c>
      <c r="B37" s="427" t="s">
        <v>1631</v>
      </c>
      <c r="C37" s="422" t="s">
        <v>1</v>
      </c>
      <c r="D37" s="425">
        <v>56200</v>
      </c>
    </row>
    <row r="38" spans="1:4" ht="17.25" x14ac:dyDescent="0.35">
      <c r="A38" s="422">
        <v>24</v>
      </c>
      <c r="B38" s="423" t="s">
        <v>7</v>
      </c>
      <c r="C38" s="422" t="s">
        <v>1</v>
      </c>
      <c r="D38" s="432">
        <v>46759</v>
      </c>
    </row>
    <row r="39" spans="1:4" ht="17.25" x14ac:dyDescent="0.35">
      <c r="A39" s="455"/>
      <c r="B39" s="441"/>
      <c r="C39" s="455"/>
      <c r="D39" s="442"/>
    </row>
    <row r="40" spans="1:4" ht="17.25" x14ac:dyDescent="0.35">
      <c r="A40" s="455"/>
      <c r="B40" s="441"/>
      <c r="C40" s="455"/>
      <c r="D40" s="442"/>
    </row>
    <row r="41" spans="1:4" ht="17.25" x14ac:dyDescent="0.35">
      <c r="A41" s="455"/>
      <c r="B41" s="441"/>
      <c r="C41" s="455"/>
      <c r="D41" s="443" t="s">
        <v>1635</v>
      </c>
    </row>
    <row r="42" spans="1:4" ht="17.25" x14ac:dyDescent="0.35">
      <c r="A42" s="455"/>
      <c r="B42" s="441"/>
      <c r="C42" s="472" t="s">
        <v>1636</v>
      </c>
      <c r="D42" s="472"/>
    </row>
    <row r="43" spans="1:4" ht="17.25" x14ac:dyDescent="0.35">
      <c r="A43" s="455"/>
      <c r="B43" s="441"/>
      <c r="C43" s="455"/>
      <c r="D43" s="442"/>
    </row>
    <row r="44" spans="1:4" ht="17.25" x14ac:dyDescent="0.35">
      <c r="A44" s="473"/>
      <c r="B44" s="473"/>
      <c r="C44" s="455"/>
      <c r="D44" s="442"/>
    </row>
    <row r="45" spans="1:4" ht="17.25" x14ac:dyDescent="0.35">
      <c r="A45" s="469" t="s">
        <v>1638</v>
      </c>
      <c r="B45" s="469"/>
      <c r="C45" s="453"/>
      <c r="D45" s="444" t="s">
        <v>1637</v>
      </c>
    </row>
    <row r="46" spans="1:4" ht="17.25" x14ac:dyDescent="0.35">
      <c r="A46" s="453"/>
      <c r="B46" s="9"/>
      <c r="C46" s="453"/>
      <c r="D46" s="10"/>
    </row>
    <row r="47" spans="1:4" ht="21.75" x14ac:dyDescent="0.4">
      <c r="A47" s="453"/>
      <c r="B47" s="429" t="s">
        <v>1622</v>
      </c>
      <c r="C47" s="453"/>
      <c r="D47" s="10"/>
    </row>
    <row r="48" spans="1:4" ht="17.25" x14ac:dyDescent="0.35">
      <c r="A48" s="470" t="s">
        <v>1623</v>
      </c>
      <c r="B48" s="470"/>
      <c r="C48" s="470"/>
      <c r="D48" s="470"/>
    </row>
    <row r="49" spans="1:4" ht="17.25" x14ac:dyDescent="0.35">
      <c r="A49" s="468">
        <v>1</v>
      </c>
      <c r="B49" s="423" t="s">
        <v>1624</v>
      </c>
      <c r="C49" s="422" t="s">
        <v>1</v>
      </c>
      <c r="D49" s="425"/>
    </row>
    <row r="50" spans="1:4" ht="17.25" x14ac:dyDescent="0.35">
      <c r="A50" s="468"/>
      <c r="B50" s="423" t="s">
        <v>1625</v>
      </c>
      <c r="C50" s="422" t="s">
        <v>1</v>
      </c>
      <c r="D50" s="425"/>
    </row>
    <row r="51" spans="1:4" ht="17.25" x14ac:dyDescent="0.35">
      <c r="A51" s="422">
        <v>2</v>
      </c>
      <c r="B51" s="423" t="s">
        <v>1626</v>
      </c>
      <c r="C51" s="422" t="s">
        <v>1</v>
      </c>
      <c r="D51" s="425"/>
    </row>
    <row r="52" spans="1:4" ht="17.25" x14ac:dyDescent="0.35">
      <c r="A52" s="468">
        <v>3</v>
      </c>
      <c r="B52" s="423" t="s">
        <v>1627</v>
      </c>
      <c r="C52" s="422" t="s">
        <v>1</v>
      </c>
      <c r="D52" s="425"/>
    </row>
    <row r="53" spans="1:4" ht="17.25" x14ac:dyDescent="0.35">
      <c r="A53" s="468"/>
      <c r="B53" s="423" t="s">
        <v>1628</v>
      </c>
      <c r="C53" s="422" t="s">
        <v>1</v>
      </c>
      <c r="D53" s="425"/>
    </row>
    <row r="54" spans="1:4" ht="17.25" x14ac:dyDescent="0.35">
      <c r="A54" s="422">
        <v>4</v>
      </c>
      <c r="B54" s="423" t="s">
        <v>1629</v>
      </c>
      <c r="C54" s="422" t="s">
        <v>1</v>
      </c>
      <c r="D54" s="425"/>
    </row>
    <row r="55" spans="1:4" ht="19.5" x14ac:dyDescent="0.35">
      <c r="A55" s="12"/>
      <c r="B55" s="13"/>
      <c r="C55" s="12"/>
      <c r="D55" s="14"/>
    </row>
    <row r="56" spans="1:4" ht="19.5" x14ac:dyDescent="0.35">
      <c r="A56" s="12"/>
      <c r="B56" s="13"/>
      <c r="C56" s="12"/>
      <c r="D56" s="14"/>
    </row>
    <row r="57" spans="1:4" ht="17.25" x14ac:dyDescent="0.35">
      <c r="A57" s="469" t="s">
        <v>1639</v>
      </c>
      <c r="B57" s="469"/>
      <c r="C57" s="453"/>
      <c r="D57" s="444" t="s">
        <v>1640</v>
      </c>
    </row>
    <row r="58" spans="1:4" ht="19.5" x14ac:dyDescent="0.35">
      <c r="A58" s="12"/>
      <c r="B58" s="13"/>
      <c r="C58" s="12"/>
      <c r="D58" s="14"/>
    </row>
  </sheetData>
  <mergeCells count="14">
    <mergeCell ref="A52:A53"/>
    <mergeCell ref="A57:B57"/>
    <mergeCell ref="A33:A35"/>
    <mergeCell ref="C42:D42"/>
    <mergeCell ref="A44:B44"/>
    <mergeCell ref="A45:B45"/>
    <mergeCell ref="A48:D48"/>
    <mergeCell ref="A49:A50"/>
    <mergeCell ref="A29:A31"/>
    <mergeCell ref="A1:D1"/>
    <mergeCell ref="A3:D3"/>
    <mergeCell ref="A13:A15"/>
    <mergeCell ref="A17:A19"/>
    <mergeCell ref="A24:A26"/>
  </mergeCells>
  <dataValidations count="1">
    <dataValidation type="list" allowBlank="1" showInputMessage="1" showErrorMessage="1" sqref="D14 D18">
      <formula1>"গ্রেড - ১ , গ্রেড - ২ , গ্রেড -৩ , গ্রেড - ৪ , গ্রেড - ৫ , গ্রেড - ৬ , গ্রেড - ৭ , গ্রেড - ৮ , গ্রেড - ৯ , গ্রেড - ১০ , গ্রেড - ১১ , গ্রেড - ১২ , গ্রেড - ১৩ , গ্রেড - ১৪ , গ্রেড - ১৫ , গ্রেড - ১৬ , গ্রেড - ১৭ , গ্রেড - ১৮ ,  গ্রেড - ১৯ , গ্রেড - ২০  "</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Inforation!$A:$A</xm:f>
          </x14:formula1>
          <xm:sqref>D5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Fixation </vt:lpstr>
      <vt:lpstr>Inforation</vt:lpstr>
      <vt:lpstr>Sheet1</vt:lpstr>
      <vt:lpstr>Sheet2</vt:lpstr>
      <vt:lpstr>Sheet3</vt:lpstr>
      <vt:lpstr>Sheet4</vt:lpstr>
      <vt:lpstr>Sheet5</vt:lpstr>
      <vt:lpstr>Sheet6</vt:lpstr>
      <vt:lpstr>'Fixation '!Print_Area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2026-10-12T14:24:04Z</dcterms:modified>
</cp:coreProperties>
</file>